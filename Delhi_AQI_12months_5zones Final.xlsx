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nshpal\Desktop\Ansh Pal\Projects\"/>
    </mc:Choice>
  </mc:AlternateContent>
  <xr:revisionPtr revIDLastSave="0" documentId="13_ncr:1_{5D7F532A-DB2D-4DC8-B7B5-E11699F8B336}" xr6:coauthVersionLast="47" xr6:coauthVersionMax="47" xr10:uidLastSave="{00000000-0000-0000-0000-000000000000}"/>
  <bookViews>
    <workbookView xWindow="-108" yWindow="-108" windowWidth="23256" windowHeight="12456" firstSheet="1" activeTab="1" xr2:uid="{00000000-000D-0000-FFFF-FFFF00000000}"/>
  </bookViews>
  <sheets>
    <sheet name="Objective Requirement" sheetId="8" r:id="rId1"/>
    <sheet name="Dashboard" sheetId="3" r:id="rId2"/>
    <sheet name="KPIs" sheetId="9" r:id="rId3"/>
    <sheet name="Zones level analysis" sheetId="2" r:id="rId4"/>
    <sheet name="Seasonal level analysis" sheetId="4" r:id="rId5"/>
    <sheet name="Polluntant level Analysis" sheetId="5" r:id="rId6"/>
    <sheet name="AQI Category Analysis" sheetId="6" r:id="rId7"/>
    <sheet name="Delhi AQI Data" sheetId="1" r:id="rId8"/>
  </sheets>
  <definedNames>
    <definedName name="_xlnm._FilterDatabase" localSheetId="7" hidden="1">'Delhi AQI Data'!$A$1:$T$1826</definedName>
    <definedName name="Slicer_AQI_Category">#N/A</definedName>
    <definedName name="Slicer_Dominant_Pollutant">#N/A</definedName>
    <definedName name="Slicer_Months__Date">#N/A</definedName>
    <definedName name="Slicer_Zon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 i="9" l="1"/>
  <c r="D22" i="9"/>
  <c r="D16" i="9"/>
  <c r="D13" i="9"/>
  <c r="D10" i="9"/>
  <c r="D24" i="5" l="1"/>
  <c r="D23" i="5"/>
  <c r="D22" i="4"/>
  <c r="D21" i="4"/>
  <c r="B27" i="2"/>
  <c r="C16" i="2"/>
  <c r="S3" i="1" l="1" a="1"/>
  <c r="S3" i="1" s="1"/>
  <c r="S4" i="1" a="1"/>
  <c r="S4" i="1" s="1"/>
  <c r="S5" i="1" a="1"/>
  <c r="S5" i="1" s="1"/>
  <c r="S6" i="1" a="1"/>
  <c r="S6" i="1" s="1"/>
  <c r="S7" i="1" a="1"/>
  <c r="S7" i="1" s="1"/>
  <c r="S8" i="1" a="1"/>
  <c r="S8" i="1" s="1"/>
  <c r="S9" i="1" a="1"/>
  <c r="S9" i="1" s="1"/>
  <c r="S10" i="1" a="1"/>
  <c r="S10" i="1" s="1"/>
  <c r="S11" i="1" a="1"/>
  <c r="S11" i="1" s="1"/>
  <c r="S12" i="1" a="1"/>
  <c r="S12" i="1" s="1"/>
  <c r="S13" i="1" a="1"/>
  <c r="S13" i="1" s="1"/>
  <c r="S14" i="1" a="1"/>
  <c r="S14" i="1" s="1"/>
  <c r="S15" i="1" a="1"/>
  <c r="S15" i="1" s="1"/>
  <c r="S16" i="1" a="1"/>
  <c r="S16" i="1"/>
  <c r="S17" i="1" a="1"/>
  <c r="S17" i="1" s="1"/>
  <c r="S18" i="1" a="1"/>
  <c r="S18" i="1" s="1"/>
  <c r="S19" i="1" a="1"/>
  <c r="S19" i="1" s="1"/>
  <c r="S20" i="1" a="1"/>
  <c r="S20" i="1" s="1"/>
  <c r="S21" i="1" a="1"/>
  <c r="S21" i="1" s="1"/>
  <c r="S22" i="1" a="1"/>
  <c r="S22" i="1" s="1"/>
  <c r="S23" i="1" a="1"/>
  <c r="S23" i="1" s="1"/>
  <c r="S24" i="1" a="1"/>
  <c r="S24" i="1" s="1"/>
  <c r="S25" i="1" a="1"/>
  <c r="S25" i="1" s="1"/>
  <c r="S26" i="1" a="1"/>
  <c r="S26" i="1" s="1"/>
  <c r="S27" i="1" a="1"/>
  <c r="S27" i="1" s="1"/>
  <c r="S28" i="1" a="1"/>
  <c r="S28" i="1" s="1"/>
  <c r="S29" i="1" a="1"/>
  <c r="S29" i="1" s="1"/>
  <c r="S30" i="1" a="1"/>
  <c r="S30" i="1" s="1"/>
  <c r="S31" i="1" a="1"/>
  <c r="S31" i="1" s="1"/>
  <c r="S32" i="1" a="1"/>
  <c r="S32" i="1" s="1"/>
  <c r="S33" i="1" a="1"/>
  <c r="S33" i="1" s="1"/>
  <c r="S34" i="1" a="1"/>
  <c r="S34" i="1" s="1"/>
  <c r="S35" i="1" a="1"/>
  <c r="S35" i="1" s="1"/>
  <c r="S36" i="1" a="1"/>
  <c r="S36" i="1" s="1"/>
  <c r="S37" i="1" a="1"/>
  <c r="S37" i="1" s="1"/>
  <c r="S38" i="1" a="1"/>
  <c r="S38" i="1" s="1"/>
  <c r="S39" i="1" a="1"/>
  <c r="S39" i="1" s="1"/>
  <c r="S40" i="1" a="1"/>
  <c r="S40" i="1" s="1"/>
  <c r="S41" i="1" a="1"/>
  <c r="S41" i="1" s="1"/>
  <c r="S42" i="1" a="1"/>
  <c r="S42" i="1" s="1"/>
  <c r="S43" i="1" a="1"/>
  <c r="S43" i="1" s="1"/>
  <c r="S44" i="1" a="1"/>
  <c r="S44" i="1" s="1"/>
  <c r="S45" i="1" a="1"/>
  <c r="S45" i="1" s="1"/>
  <c r="S46" i="1" a="1"/>
  <c r="S46" i="1" s="1"/>
  <c r="S47" i="1" a="1"/>
  <c r="S47" i="1" s="1"/>
  <c r="S48" i="1" a="1"/>
  <c r="S48" i="1" s="1"/>
  <c r="S49" i="1" a="1"/>
  <c r="S49" i="1" s="1"/>
  <c r="S50" i="1" a="1"/>
  <c r="S50" i="1" s="1"/>
  <c r="S51" i="1" a="1"/>
  <c r="S51" i="1" s="1"/>
  <c r="S52" i="1" a="1"/>
  <c r="S52" i="1" s="1"/>
  <c r="S53" i="1" a="1"/>
  <c r="S53" i="1" s="1"/>
  <c r="S54" i="1" a="1"/>
  <c r="S54" i="1" s="1"/>
  <c r="S55" i="1" a="1"/>
  <c r="S55" i="1" s="1"/>
  <c r="S56" i="1" a="1"/>
  <c r="S56" i="1" s="1"/>
  <c r="S57" i="1" a="1"/>
  <c r="S57" i="1" s="1"/>
  <c r="S58" i="1" a="1"/>
  <c r="S58" i="1" s="1"/>
  <c r="S59" i="1" a="1"/>
  <c r="S59" i="1" s="1"/>
  <c r="S60" i="1" a="1"/>
  <c r="S60" i="1" s="1"/>
  <c r="S61" i="1" a="1"/>
  <c r="S61" i="1" s="1"/>
  <c r="S62" i="1" a="1"/>
  <c r="S62" i="1" s="1"/>
  <c r="S63" i="1" a="1"/>
  <c r="S63" i="1" s="1"/>
  <c r="S64" i="1" a="1"/>
  <c r="S64" i="1" s="1"/>
  <c r="S65" i="1" a="1"/>
  <c r="S65" i="1" s="1"/>
  <c r="S66" i="1" a="1"/>
  <c r="S66" i="1" s="1"/>
  <c r="S67" i="1" a="1"/>
  <c r="S67" i="1" s="1"/>
  <c r="S68" i="1" a="1"/>
  <c r="S68" i="1" s="1"/>
  <c r="S69" i="1" a="1"/>
  <c r="S69" i="1" s="1"/>
  <c r="S70" i="1" a="1"/>
  <c r="S70" i="1" s="1"/>
  <c r="S71" i="1" a="1"/>
  <c r="S71" i="1" s="1"/>
  <c r="S72" i="1" a="1"/>
  <c r="S72" i="1" s="1"/>
  <c r="S73" i="1" a="1"/>
  <c r="S73" i="1" s="1"/>
  <c r="S74" i="1" a="1"/>
  <c r="S74" i="1" s="1"/>
  <c r="S75" i="1" a="1"/>
  <c r="S75" i="1" s="1"/>
  <c r="S76" i="1" a="1"/>
  <c r="S76" i="1" s="1"/>
  <c r="S77" i="1" a="1"/>
  <c r="S77" i="1" s="1"/>
  <c r="S78" i="1" a="1"/>
  <c r="S78" i="1" s="1"/>
  <c r="S79" i="1" a="1"/>
  <c r="S79" i="1" s="1"/>
  <c r="S80" i="1" a="1"/>
  <c r="S80" i="1" s="1"/>
  <c r="S81" i="1" a="1"/>
  <c r="S81" i="1" s="1"/>
  <c r="S82" i="1" a="1"/>
  <c r="S82" i="1" s="1"/>
  <c r="S83" i="1" a="1"/>
  <c r="S83" i="1" s="1"/>
  <c r="S84" i="1" a="1"/>
  <c r="S84" i="1" s="1"/>
  <c r="S85" i="1" a="1"/>
  <c r="S85" i="1" s="1"/>
  <c r="S86" i="1" a="1"/>
  <c r="S86" i="1" s="1"/>
  <c r="S87" i="1" a="1"/>
  <c r="S87" i="1" s="1"/>
  <c r="S88" i="1" a="1"/>
  <c r="S88" i="1" s="1"/>
  <c r="S89" i="1" a="1"/>
  <c r="S89" i="1" s="1"/>
  <c r="S90" i="1" a="1"/>
  <c r="S90" i="1" s="1"/>
  <c r="S91" i="1" a="1"/>
  <c r="S91" i="1" s="1"/>
  <c r="S92" i="1" a="1"/>
  <c r="S92" i="1" s="1"/>
  <c r="S93" i="1" a="1"/>
  <c r="S93" i="1" s="1"/>
  <c r="S94" i="1" a="1"/>
  <c r="S94" i="1" s="1"/>
  <c r="S95" i="1" a="1"/>
  <c r="S95" i="1" s="1"/>
  <c r="S96" i="1" a="1"/>
  <c r="S96" i="1" s="1"/>
  <c r="S97" i="1" a="1"/>
  <c r="S97" i="1" s="1"/>
  <c r="S98" i="1" a="1"/>
  <c r="S98" i="1" s="1"/>
  <c r="S99" i="1" a="1"/>
  <c r="S99" i="1" s="1"/>
  <c r="S100" i="1" a="1"/>
  <c r="S100" i="1" s="1"/>
  <c r="S101" i="1" a="1"/>
  <c r="S101" i="1" s="1"/>
  <c r="S102" i="1" a="1"/>
  <c r="S102" i="1" s="1"/>
  <c r="S103" i="1" a="1"/>
  <c r="S103" i="1" s="1"/>
  <c r="S104" i="1" a="1"/>
  <c r="S104" i="1" s="1"/>
  <c r="S105" i="1" a="1"/>
  <c r="S105" i="1" s="1"/>
  <c r="S106" i="1" a="1"/>
  <c r="S106" i="1" s="1"/>
  <c r="S107" i="1" a="1"/>
  <c r="S107" i="1" s="1"/>
  <c r="S108" i="1" a="1"/>
  <c r="S108" i="1" s="1"/>
  <c r="S109" i="1" a="1"/>
  <c r="S109" i="1" s="1"/>
  <c r="S110" i="1" a="1"/>
  <c r="S110" i="1" s="1"/>
  <c r="S111" i="1" a="1"/>
  <c r="S111" i="1" s="1"/>
  <c r="S112" i="1" a="1"/>
  <c r="S112" i="1" s="1"/>
  <c r="S113" i="1" a="1"/>
  <c r="S113" i="1" s="1"/>
  <c r="S114" i="1" a="1"/>
  <c r="S114" i="1" s="1"/>
  <c r="S115" i="1" a="1"/>
  <c r="S115" i="1" s="1"/>
  <c r="S116" i="1" a="1"/>
  <c r="S116" i="1" s="1"/>
  <c r="S117" i="1" a="1"/>
  <c r="S117" i="1" s="1"/>
  <c r="S118" i="1" a="1"/>
  <c r="S118" i="1" s="1"/>
  <c r="S119" i="1" a="1"/>
  <c r="S119" i="1" s="1"/>
  <c r="S120" i="1" a="1"/>
  <c r="S120" i="1" s="1"/>
  <c r="S121" i="1" a="1"/>
  <c r="S121" i="1" s="1"/>
  <c r="S122" i="1" a="1"/>
  <c r="S122" i="1" s="1"/>
  <c r="S123" i="1" a="1"/>
  <c r="S123" i="1" s="1"/>
  <c r="S124" i="1" a="1"/>
  <c r="S124" i="1" s="1"/>
  <c r="S125" i="1" a="1"/>
  <c r="S125" i="1" s="1"/>
  <c r="S126" i="1" a="1"/>
  <c r="S126" i="1" s="1"/>
  <c r="S127" i="1" a="1"/>
  <c r="S127" i="1" s="1"/>
  <c r="S128" i="1" a="1"/>
  <c r="S128" i="1" s="1"/>
  <c r="S129" i="1" a="1"/>
  <c r="S129" i="1" s="1"/>
  <c r="S130" i="1" a="1"/>
  <c r="S130" i="1" s="1"/>
  <c r="S131" i="1" a="1"/>
  <c r="S131" i="1" s="1"/>
  <c r="S132" i="1" a="1"/>
  <c r="S132" i="1" s="1"/>
  <c r="S133" i="1" a="1"/>
  <c r="S133" i="1" s="1"/>
  <c r="S134" i="1" a="1"/>
  <c r="S134" i="1" s="1"/>
  <c r="S135" i="1" a="1"/>
  <c r="S135" i="1" s="1"/>
  <c r="S136" i="1" a="1"/>
  <c r="S136" i="1" s="1"/>
  <c r="S137" i="1" a="1"/>
  <c r="S137" i="1" s="1"/>
  <c r="S138" i="1" a="1"/>
  <c r="S138" i="1" s="1"/>
  <c r="S139" i="1" a="1"/>
  <c r="S139" i="1" s="1"/>
  <c r="S140" i="1" a="1"/>
  <c r="S140" i="1" s="1"/>
  <c r="S141" i="1" a="1"/>
  <c r="S141" i="1" s="1"/>
  <c r="S142" i="1" a="1"/>
  <c r="S142" i="1" s="1"/>
  <c r="S143" i="1" a="1"/>
  <c r="S143" i="1" s="1"/>
  <c r="S144" i="1" a="1"/>
  <c r="S144" i="1" s="1"/>
  <c r="S145" i="1" a="1"/>
  <c r="S145" i="1" s="1"/>
  <c r="S146" i="1" a="1"/>
  <c r="S146" i="1" s="1"/>
  <c r="S147" i="1" a="1"/>
  <c r="S147" i="1" s="1"/>
  <c r="S148" i="1" a="1"/>
  <c r="S148" i="1" s="1"/>
  <c r="S149" i="1" a="1"/>
  <c r="S149" i="1" s="1"/>
  <c r="S150" i="1" a="1"/>
  <c r="S150" i="1" s="1"/>
  <c r="S151" i="1" a="1"/>
  <c r="S151" i="1" s="1"/>
  <c r="S152" i="1" a="1"/>
  <c r="S152" i="1" s="1"/>
  <c r="S153" i="1" a="1"/>
  <c r="S153" i="1" s="1"/>
  <c r="S154" i="1" a="1"/>
  <c r="S154" i="1" s="1"/>
  <c r="S155" i="1" a="1"/>
  <c r="S155" i="1" s="1"/>
  <c r="S156" i="1" a="1"/>
  <c r="S156" i="1" s="1"/>
  <c r="S157" i="1" a="1"/>
  <c r="S157" i="1" s="1"/>
  <c r="S158" i="1" a="1"/>
  <c r="S158" i="1" s="1"/>
  <c r="S159" i="1" a="1"/>
  <c r="S159" i="1" s="1"/>
  <c r="S160" i="1" a="1"/>
  <c r="S160" i="1" s="1"/>
  <c r="S161" i="1" a="1"/>
  <c r="S161" i="1" s="1"/>
  <c r="S162" i="1" a="1"/>
  <c r="S162" i="1" s="1"/>
  <c r="S163" i="1" a="1"/>
  <c r="S163" i="1" s="1"/>
  <c r="S164" i="1" a="1"/>
  <c r="S164" i="1" s="1"/>
  <c r="S165" i="1" a="1"/>
  <c r="S165" i="1" s="1"/>
  <c r="S166" i="1" a="1"/>
  <c r="S166" i="1" s="1"/>
  <c r="S167" i="1" a="1"/>
  <c r="S167" i="1" s="1"/>
  <c r="S168" i="1" a="1"/>
  <c r="S168" i="1" s="1"/>
  <c r="S169" i="1" a="1"/>
  <c r="S169" i="1" s="1"/>
  <c r="S170" i="1" a="1"/>
  <c r="S170" i="1" s="1"/>
  <c r="S171" i="1" a="1"/>
  <c r="S171" i="1" s="1"/>
  <c r="S172" i="1" a="1"/>
  <c r="S172" i="1" s="1"/>
  <c r="S173" i="1" a="1"/>
  <c r="S173" i="1" s="1"/>
  <c r="S174" i="1" a="1"/>
  <c r="S174" i="1" s="1"/>
  <c r="S175" i="1" a="1"/>
  <c r="S175" i="1" s="1"/>
  <c r="S176" i="1" a="1"/>
  <c r="S176" i="1" s="1"/>
  <c r="S177" i="1" a="1"/>
  <c r="S177" i="1" s="1"/>
  <c r="S178" i="1" a="1"/>
  <c r="S178" i="1" s="1"/>
  <c r="S179" i="1" a="1"/>
  <c r="S179" i="1" s="1"/>
  <c r="S180" i="1" a="1"/>
  <c r="S180" i="1" s="1"/>
  <c r="S181" i="1" a="1"/>
  <c r="S181" i="1" s="1"/>
  <c r="S182" i="1" a="1"/>
  <c r="S182" i="1" s="1"/>
  <c r="S183" i="1" a="1"/>
  <c r="S183" i="1" s="1"/>
  <c r="S184" i="1" a="1"/>
  <c r="S184" i="1" s="1"/>
  <c r="S185" i="1" a="1"/>
  <c r="S185" i="1" s="1"/>
  <c r="S186" i="1" a="1"/>
  <c r="S186" i="1" s="1"/>
  <c r="S187" i="1" a="1"/>
  <c r="S187" i="1" s="1"/>
  <c r="S188" i="1" a="1"/>
  <c r="S188" i="1" s="1"/>
  <c r="S189" i="1" a="1"/>
  <c r="S189" i="1" s="1"/>
  <c r="S190" i="1" a="1"/>
  <c r="S190" i="1" s="1"/>
  <c r="S191" i="1" a="1"/>
  <c r="S191" i="1" s="1"/>
  <c r="S192" i="1" a="1"/>
  <c r="S192" i="1" s="1"/>
  <c r="S193" i="1" a="1"/>
  <c r="S193" i="1" s="1"/>
  <c r="S194" i="1" a="1"/>
  <c r="S194" i="1" s="1"/>
  <c r="S195" i="1" a="1"/>
  <c r="S195" i="1" s="1"/>
  <c r="S196" i="1" a="1"/>
  <c r="S196" i="1" s="1"/>
  <c r="S197" i="1" a="1"/>
  <c r="S197" i="1" s="1"/>
  <c r="S198" i="1" a="1"/>
  <c r="S198" i="1" s="1"/>
  <c r="S199" i="1" a="1"/>
  <c r="S199" i="1" s="1"/>
  <c r="S200" i="1" a="1"/>
  <c r="S200" i="1" s="1"/>
  <c r="S201" i="1" a="1"/>
  <c r="S201" i="1" s="1"/>
  <c r="S202" i="1" a="1"/>
  <c r="S202" i="1" s="1"/>
  <c r="S203" i="1" a="1"/>
  <c r="S203" i="1" s="1"/>
  <c r="S204" i="1" a="1"/>
  <c r="S204" i="1" s="1"/>
  <c r="S205" i="1" a="1"/>
  <c r="S205" i="1" s="1"/>
  <c r="S206" i="1" a="1"/>
  <c r="S206" i="1" s="1"/>
  <c r="S207" i="1" a="1"/>
  <c r="S207" i="1" s="1"/>
  <c r="S208" i="1" a="1"/>
  <c r="S208" i="1" s="1"/>
  <c r="S209" i="1" a="1"/>
  <c r="S209" i="1" s="1"/>
  <c r="S210" i="1" a="1"/>
  <c r="S210" i="1" s="1"/>
  <c r="S211" i="1" a="1"/>
  <c r="S211" i="1" s="1"/>
  <c r="S212" i="1" a="1"/>
  <c r="S212" i="1" s="1"/>
  <c r="S213" i="1" a="1"/>
  <c r="S213" i="1" s="1"/>
  <c r="S214" i="1" a="1"/>
  <c r="S214" i="1" s="1"/>
  <c r="S215" i="1" a="1"/>
  <c r="S215" i="1" s="1"/>
  <c r="S216" i="1" a="1"/>
  <c r="S216" i="1" s="1"/>
  <c r="S217" i="1" a="1"/>
  <c r="S217" i="1" s="1"/>
  <c r="S218" i="1" a="1"/>
  <c r="S218" i="1" s="1"/>
  <c r="S219" i="1" a="1"/>
  <c r="S219" i="1" s="1"/>
  <c r="S220" i="1" a="1"/>
  <c r="S220" i="1" s="1"/>
  <c r="S221" i="1" a="1"/>
  <c r="S221" i="1" s="1"/>
  <c r="S222" i="1" a="1"/>
  <c r="S222" i="1" s="1"/>
  <c r="S223" i="1" a="1"/>
  <c r="S223" i="1" s="1"/>
  <c r="S224" i="1" a="1"/>
  <c r="S224" i="1" s="1"/>
  <c r="S225" i="1" a="1"/>
  <c r="S225" i="1" s="1"/>
  <c r="S226" i="1" a="1"/>
  <c r="S226" i="1" s="1"/>
  <c r="S227" i="1" a="1"/>
  <c r="S227" i="1" s="1"/>
  <c r="S228" i="1" a="1"/>
  <c r="S228" i="1" s="1"/>
  <c r="S229" i="1" a="1"/>
  <c r="S229" i="1" s="1"/>
  <c r="S230" i="1" a="1"/>
  <c r="S230" i="1" s="1"/>
  <c r="S231" i="1" a="1"/>
  <c r="S231" i="1" s="1"/>
  <c r="S232" i="1" a="1"/>
  <c r="S232" i="1" s="1"/>
  <c r="S233" i="1" a="1"/>
  <c r="S233" i="1" s="1"/>
  <c r="S234" i="1" a="1"/>
  <c r="S234" i="1" s="1"/>
  <c r="S235" i="1" a="1"/>
  <c r="S235" i="1" s="1"/>
  <c r="S236" i="1" a="1"/>
  <c r="S236" i="1" s="1"/>
  <c r="S237" i="1" a="1"/>
  <c r="S237" i="1" s="1"/>
  <c r="S238" i="1" a="1"/>
  <c r="S238" i="1" s="1"/>
  <c r="S239" i="1" a="1"/>
  <c r="S239" i="1" s="1"/>
  <c r="S240" i="1" a="1"/>
  <c r="S240" i="1" s="1"/>
  <c r="S241" i="1" a="1"/>
  <c r="S241" i="1" s="1"/>
  <c r="S242" i="1" a="1"/>
  <c r="S242" i="1" s="1"/>
  <c r="S243" i="1" a="1"/>
  <c r="S243" i="1" s="1"/>
  <c r="S244" i="1" a="1"/>
  <c r="S244" i="1" s="1"/>
  <c r="S245" i="1" a="1"/>
  <c r="S245" i="1" s="1"/>
  <c r="S246" i="1" a="1"/>
  <c r="S246" i="1" s="1"/>
  <c r="S247" i="1" a="1"/>
  <c r="S247" i="1" s="1"/>
  <c r="S248" i="1" a="1"/>
  <c r="S248" i="1" s="1"/>
  <c r="S249" i="1" a="1"/>
  <c r="S249" i="1" s="1"/>
  <c r="S250" i="1" a="1"/>
  <c r="S250" i="1" s="1"/>
  <c r="S251" i="1" a="1"/>
  <c r="S251" i="1" s="1"/>
  <c r="S252" i="1" a="1"/>
  <c r="S252" i="1" s="1"/>
  <c r="S253" i="1" a="1"/>
  <c r="S253" i="1" s="1"/>
  <c r="S254" i="1" a="1"/>
  <c r="S254" i="1" s="1"/>
  <c r="S255" i="1" a="1"/>
  <c r="S255" i="1" s="1"/>
  <c r="S256" i="1" a="1"/>
  <c r="S256" i="1" s="1"/>
  <c r="S257" i="1" a="1"/>
  <c r="S257" i="1" s="1"/>
  <c r="S258" i="1" a="1"/>
  <c r="S258" i="1" s="1"/>
  <c r="S259" i="1" a="1"/>
  <c r="S259" i="1" s="1"/>
  <c r="S260" i="1" a="1"/>
  <c r="S260" i="1" s="1"/>
  <c r="S261" i="1" a="1"/>
  <c r="S261" i="1" s="1"/>
  <c r="S262" i="1" a="1"/>
  <c r="S262" i="1" s="1"/>
  <c r="S263" i="1" a="1"/>
  <c r="S263" i="1" s="1"/>
  <c r="S264" i="1" a="1"/>
  <c r="S264" i="1" s="1"/>
  <c r="S265" i="1" a="1"/>
  <c r="S265" i="1" s="1"/>
  <c r="S266" i="1" a="1"/>
  <c r="S266" i="1" s="1"/>
  <c r="S267" i="1" a="1"/>
  <c r="S267" i="1" s="1"/>
  <c r="S268" i="1" a="1"/>
  <c r="S268" i="1" s="1"/>
  <c r="S269" i="1" a="1"/>
  <c r="S269" i="1" s="1"/>
  <c r="S270" i="1" a="1"/>
  <c r="S270" i="1" s="1"/>
  <c r="S271" i="1" a="1"/>
  <c r="S271" i="1" s="1"/>
  <c r="S272" i="1" a="1"/>
  <c r="S272" i="1" s="1"/>
  <c r="S273" i="1" a="1"/>
  <c r="S273" i="1" s="1"/>
  <c r="S274" i="1" a="1"/>
  <c r="S274" i="1" s="1"/>
  <c r="S275" i="1" a="1"/>
  <c r="S275" i="1" s="1"/>
  <c r="S276" i="1" a="1"/>
  <c r="S276" i="1" s="1"/>
  <c r="S277" i="1" a="1"/>
  <c r="S277" i="1"/>
  <c r="S278" i="1" a="1"/>
  <c r="S278" i="1" s="1"/>
  <c r="S279" i="1" a="1"/>
  <c r="S279" i="1" s="1"/>
  <c r="S280" i="1" a="1"/>
  <c r="S280" i="1" s="1"/>
  <c r="S281" i="1" a="1"/>
  <c r="S281" i="1" s="1"/>
  <c r="S282" i="1" a="1"/>
  <c r="S282" i="1" s="1"/>
  <c r="S283" i="1" a="1"/>
  <c r="S283" i="1" s="1"/>
  <c r="S284" i="1" a="1"/>
  <c r="S284" i="1" s="1"/>
  <c r="S285" i="1" a="1"/>
  <c r="S285" i="1" s="1"/>
  <c r="S286" i="1" a="1"/>
  <c r="S286" i="1" s="1"/>
  <c r="S287" i="1" a="1"/>
  <c r="S287" i="1" s="1"/>
  <c r="S288" i="1" a="1"/>
  <c r="S288" i="1" s="1"/>
  <c r="S289" i="1" a="1"/>
  <c r="S289" i="1" s="1"/>
  <c r="S290" i="1" a="1"/>
  <c r="S290" i="1" s="1"/>
  <c r="S291" i="1" a="1"/>
  <c r="S291" i="1" s="1"/>
  <c r="S292" i="1" a="1"/>
  <c r="S292" i="1" s="1"/>
  <c r="S293" i="1" a="1"/>
  <c r="S293" i="1" s="1"/>
  <c r="S294" i="1" a="1"/>
  <c r="S294" i="1" s="1"/>
  <c r="S295" i="1" a="1"/>
  <c r="S295" i="1" s="1"/>
  <c r="S296" i="1" a="1"/>
  <c r="S296" i="1" s="1"/>
  <c r="S297" i="1" a="1"/>
  <c r="S297" i="1" s="1"/>
  <c r="S298" i="1" a="1"/>
  <c r="S298" i="1" s="1"/>
  <c r="S299" i="1" a="1"/>
  <c r="S299" i="1" s="1"/>
  <c r="S300" i="1" a="1"/>
  <c r="S300" i="1" s="1"/>
  <c r="S301" i="1" a="1"/>
  <c r="S301" i="1" s="1"/>
  <c r="S302" i="1" a="1"/>
  <c r="S302" i="1" s="1"/>
  <c r="S303" i="1" a="1"/>
  <c r="S303" i="1" s="1"/>
  <c r="S304" i="1" a="1"/>
  <c r="S304" i="1" s="1"/>
  <c r="S305" i="1" a="1"/>
  <c r="S305" i="1" s="1"/>
  <c r="S306" i="1" a="1"/>
  <c r="S306" i="1" s="1"/>
  <c r="S307" i="1" a="1"/>
  <c r="S307" i="1" s="1"/>
  <c r="S308" i="1" a="1"/>
  <c r="S308" i="1" s="1"/>
  <c r="S309" i="1" a="1"/>
  <c r="S309" i="1" s="1"/>
  <c r="S310" i="1" a="1"/>
  <c r="S310" i="1" s="1"/>
  <c r="S311" i="1" a="1"/>
  <c r="S311" i="1" s="1"/>
  <c r="S312" i="1" a="1"/>
  <c r="S312" i="1" s="1"/>
  <c r="S313" i="1" a="1"/>
  <c r="S313" i="1" s="1"/>
  <c r="S314" i="1" a="1"/>
  <c r="S314" i="1" s="1"/>
  <c r="S315" i="1" a="1"/>
  <c r="S315" i="1" s="1"/>
  <c r="S316" i="1" a="1"/>
  <c r="S316" i="1" s="1"/>
  <c r="S317" i="1" a="1"/>
  <c r="S317" i="1" s="1"/>
  <c r="S318" i="1" a="1"/>
  <c r="S318" i="1" s="1"/>
  <c r="S319" i="1" a="1"/>
  <c r="S319" i="1" s="1"/>
  <c r="S320" i="1" a="1"/>
  <c r="S320" i="1" s="1"/>
  <c r="S321" i="1" a="1"/>
  <c r="S321" i="1" s="1"/>
  <c r="S322" i="1" a="1"/>
  <c r="S322" i="1" s="1"/>
  <c r="S323" i="1" a="1"/>
  <c r="S323" i="1" s="1"/>
  <c r="S324" i="1" a="1"/>
  <c r="S324" i="1" s="1"/>
  <c r="S325" i="1" a="1"/>
  <c r="S325" i="1" s="1"/>
  <c r="S326" i="1" a="1"/>
  <c r="S326" i="1" s="1"/>
  <c r="S327" i="1" a="1"/>
  <c r="S327" i="1" s="1"/>
  <c r="S328" i="1" a="1"/>
  <c r="S328" i="1" s="1"/>
  <c r="S329" i="1" a="1"/>
  <c r="S329" i="1" s="1"/>
  <c r="S330" i="1" a="1"/>
  <c r="S330" i="1" s="1"/>
  <c r="S331" i="1" a="1"/>
  <c r="S331" i="1" s="1"/>
  <c r="S332" i="1" a="1"/>
  <c r="S332" i="1" s="1"/>
  <c r="S333" i="1" a="1"/>
  <c r="S333" i="1" s="1"/>
  <c r="S334" i="1" a="1"/>
  <c r="S334" i="1" s="1"/>
  <c r="S335" i="1" a="1"/>
  <c r="S335" i="1" s="1"/>
  <c r="S336" i="1" a="1"/>
  <c r="S336" i="1" s="1"/>
  <c r="S337" i="1" a="1"/>
  <c r="S337" i="1" s="1"/>
  <c r="S338" i="1" a="1"/>
  <c r="S338" i="1" s="1"/>
  <c r="S339" i="1" a="1"/>
  <c r="S339" i="1" s="1"/>
  <c r="S340" i="1" a="1"/>
  <c r="S340" i="1" s="1"/>
  <c r="S341" i="1" a="1"/>
  <c r="S341" i="1" s="1"/>
  <c r="S342" i="1" a="1"/>
  <c r="S342" i="1" s="1"/>
  <c r="S343" i="1" a="1"/>
  <c r="S343" i="1" s="1"/>
  <c r="S344" i="1" a="1"/>
  <c r="S344" i="1" s="1"/>
  <c r="S345" i="1" a="1"/>
  <c r="S345" i="1" s="1"/>
  <c r="S346" i="1" a="1"/>
  <c r="S346" i="1" s="1"/>
  <c r="S347" i="1" a="1"/>
  <c r="S347" i="1" s="1"/>
  <c r="S348" i="1" a="1"/>
  <c r="S348" i="1" s="1"/>
  <c r="S349" i="1" a="1"/>
  <c r="S349" i="1" s="1"/>
  <c r="S350" i="1" a="1"/>
  <c r="S350" i="1" s="1"/>
  <c r="S351" i="1" a="1"/>
  <c r="S351" i="1" s="1"/>
  <c r="S352" i="1" a="1"/>
  <c r="S352" i="1" s="1"/>
  <c r="S353" i="1" a="1"/>
  <c r="S353" i="1" s="1"/>
  <c r="S354" i="1" a="1"/>
  <c r="S354" i="1" s="1"/>
  <c r="S355" i="1" a="1"/>
  <c r="S355" i="1" s="1"/>
  <c r="S356" i="1" a="1"/>
  <c r="S356" i="1" s="1"/>
  <c r="S357" i="1" a="1"/>
  <c r="S357" i="1" s="1"/>
  <c r="S358" i="1" a="1"/>
  <c r="S358" i="1" s="1"/>
  <c r="S359" i="1" a="1"/>
  <c r="S359" i="1" s="1"/>
  <c r="S360" i="1" a="1"/>
  <c r="S360" i="1" s="1"/>
  <c r="S361" i="1" a="1"/>
  <c r="S361" i="1" s="1"/>
  <c r="S362" i="1" a="1"/>
  <c r="S362" i="1" s="1"/>
  <c r="S363" i="1" a="1"/>
  <c r="S363" i="1" s="1"/>
  <c r="S364" i="1" a="1"/>
  <c r="S364" i="1" s="1"/>
  <c r="S365" i="1" a="1"/>
  <c r="S365" i="1" s="1"/>
  <c r="S366" i="1" a="1"/>
  <c r="S366" i="1" s="1"/>
  <c r="S367" i="1" a="1"/>
  <c r="S367" i="1" s="1"/>
  <c r="S368" i="1" a="1"/>
  <c r="S368" i="1" s="1"/>
  <c r="S369" i="1" a="1"/>
  <c r="S369" i="1" s="1"/>
  <c r="S370" i="1" a="1"/>
  <c r="S370" i="1" s="1"/>
  <c r="S371" i="1" a="1"/>
  <c r="S371" i="1" s="1"/>
  <c r="S372" i="1" a="1"/>
  <c r="S372" i="1" s="1"/>
  <c r="S373" i="1" a="1"/>
  <c r="S373" i="1" s="1"/>
  <c r="S374" i="1" a="1"/>
  <c r="S374" i="1" s="1"/>
  <c r="S375" i="1" a="1"/>
  <c r="S375" i="1" s="1"/>
  <c r="S376" i="1" a="1"/>
  <c r="S376" i="1" s="1"/>
  <c r="S377" i="1" a="1"/>
  <c r="S377" i="1" s="1"/>
  <c r="S378" i="1" a="1"/>
  <c r="S378" i="1" s="1"/>
  <c r="S379" i="1" a="1"/>
  <c r="S379" i="1" s="1"/>
  <c r="S380" i="1" a="1"/>
  <c r="S380" i="1" s="1"/>
  <c r="S381" i="1" a="1"/>
  <c r="S381" i="1" s="1"/>
  <c r="S382" i="1" a="1"/>
  <c r="S382" i="1" s="1"/>
  <c r="S383" i="1" a="1"/>
  <c r="S383" i="1" s="1"/>
  <c r="S384" i="1" a="1"/>
  <c r="S384" i="1" s="1"/>
  <c r="S385" i="1" a="1"/>
  <c r="S385" i="1" s="1"/>
  <c r="S386" i="1" a="1"/>
  <c r="S386" i="1" s="1"/>
  <c r="S387" i="1" a="1"/>
  <c r="S387" i="1" s="1"/>
  <c r="S388" i="1" a="1"/>
  <c r="S388" i="1" s="1"/>
  <c r="S389" i="1" a="1"/>
  <c r="S389" i="1" s="1"/>
  <c r="S390" i="1" a="1"/>
  <c r="S390" i="1" s="1"/>
  <c r="S391" i="1" a="1"/>
  <c r="S391" i="1" s="1"/>
  <c r="S392" i="1" a="1"/>
  <c r="S392" i="1" s="1"/>
  <c r="S393" i="1" a="1"/>
  <c r="S393" i="1" s="1"/>
  <c r="S394" i="1" a="1"/>
  <c r="S394" i="1" s="1"/>
  <c r="S395" i="1" a="1"/>
  <c r="S395" i="1" s="1"/>
  <c r="S396" i="1" a="1"/>
  <c r="S396" i="1" s="1"/>
  <c r="S397" i="1" a="1"/>
  <c r="S397" i="1" s="1"/>
  <c r="S398" i="1" a="1"/>
  <c r="S398" i="1" s="1"/>
  <c r="S399" i="1" a="1"/>
  <c r="S399" i="1" s="1"/>
  <c r="S400" i="1" a="1"/>
  <c r="S400" i="1" s="1"/>
  <c r="S401" i="1" a="1"/>
  <c r="S401" i="1" s="1"/>
  <c r="S402" i="1" a="1"/>
  <c r="S402" i="1" s="1"/>
  <c r="S403" i="1" a="1"/>
  <c r="S403" i="1" s="1"/>
  <c r="S404" i="1" a="1"/>
  <c r="S404" i="1" s="1"/>
  <c r="S405" i="1" a="1"/>
  <c r="S405" i="1" s="1"/>
  <c r="S406" i="1" a="1"/>
  <c r="S406" i="1" s="1"/>
  <c r="S407" i="1" a="1"/>
  <c r="S407" i="1" s="1"/>
  <c r="S408" i="1" a="1"/>
  <c r="S408" i="1" s="1"/>
  <c r="S409" i="1" a="1"/>
  <c r="S409" i="1" s="1"/>
  <c r="S410" i="1" a="1"/>
  <c r="S410" i="1" s="1"/>
  <c r="S411" i="1" a="1"/>
  <c r="S411" i="1" s="1"/>
  <c r="S412" i="1" a="1"/>
  <c r="S412" i="1" s="1"/>
  <c r="S413" i="1" a="1"/>
  <c r="S413" i="1" s="1"/>
  <c r="S414" i="1" a="1"/>
  <c r="S414" i="1" s="1"/>
  <c r="S415" i="1" a="1"/>
  <c r="S415" i="1" s="1"/>
  <c r="S416" i="1" a="1"/>
  <c r="S416" i="1" s="1"/>
  <c r="S417" i="1" a="1"/>
  <c r="S417" i="1" s="1"/>
  <c r="S418" i="1" a="1"/>
  <c r="S418" i="1" s="1"/>
  <c r="S419" i="1" a="1"/>
  <c r="S419" i="1" s="1"/>
  <c r="S420" i="1" a="1"/>
  <c r="S420" i="1" s="1"/>
  <c r="S421" i="1" a="1"/>
  <c r="S421" i="1" s="1"/>
  <c r="S422" i="1" a="1"/>
  <c r="S422" i="1" s="1"/>
  <c r="S423" i="1" a="1"/>
  <c r="S423" i="1" s="1"/>
  <c r="S424" i="1" a="1"/>
  <c r="S424" i="1" s="1"/>
  <c r="S425" i="1" a="1"/>
  <c r="S425" i="1" s="1"/>
  <c r="S426" i="1" a="1"/>
  <c r="S426" i="1" s="1"/>
  <c r="S427" i="1" a="1"/>
  <c r="S427" i="1" s="1"/>
  <c r="S428" i="1" a="1"/>
  <c r="S428" i="1" s="1"/>
  <c r="S429" i="1" a="1"/>
  <c r="S429" i="1" s="1"/>
  <c r="S430" i="1" a="1"/>
  <c r="S430" i="1" s="1"/>
  <c r="S431" i="1" a="1"/>
  <c r="S431" i="1" s="1"/>
  <c r="S432" i="1" a="1"/>
  <c r="S432" i="1" s="1"/>
  <c r="S433" i="1" a="1"/>
  <c r="S433" i="1" s="1"/>
  <c r="S434" i="1" a="1"/>
  <c r="S434" i="1" s="1"/>
  <c r="S435" i="1" a="1"/>
  <c r="S435" i="1" s="1"/>
  <c r="S436" i="1" a="1"/>
  <c r="S436" i="1" s="1"/>
  <c r="S437" i="1" a="1"/>
  <c r="S437" i="1" s="1"/>
  <c r="S438" i="1" a="1"/>
  <c r="S438" i="1"/>
  <c r="S439" i="1" a="1"/>
  <c r="S439" i="1" s="1"/>
  <c r="S440" i="1" a="1"/>
  <c r="S440" i="1" s="1"/>
  <c r="S441" i="1" a="1"/>
  <c r="S441" i="1" s="1"/>
  <c r="S442" i="1" a="1"/>
  <c r="S442" i="1" s="1"/>
  <c r="S443" i="1" a="1"/>
  <c r="S443" i="1" s="1"/>
  <c r="S444" i="1" a="1"/>
  <c r="S444" i="1" s="1"/>
  <c r="S445" i="1" a="1"/>
  <c r="S445" i="1" s="1"/>
  <c r="S446" i="1" a="1"/>
  <c r="S446" i="1" s="1"/>
  <c r="S447" i="1" a="1"/>
  <c r="S447" i="1" s="1"/>
  <c r="S448" i="1" a="1"/>
  <c r="S448" i="1" s="1"/>
  <c r="S449" i="1" a="1"/>
  <c r="S449" i="1" s="1"/>
  <c r="S450" i="1" a="1"/>
  <c r="S450" i="1" s="1"/>
  <c r="S451" i="1" a="1"/>
  <c r="S451" i="1" s="1"/>
  <c r="S452" i="1" a="1"/>
  <c r="S452" i="1" s="1"/>
  <c r="S453" i="1" a="1"/>
  <c r="S453" i="1" s="1"/>
  <c r="S454" i="1" a="1"/>
  <c r="S454" i="1" s="1"/>
  <c r="S455" i="1" a="1"/>
  <c r="S455" i="1" s="1"/>
  <c r="S456" i="1" a="1"/>
  <c r="S456" i="1" s="1"/>
  <c r="S457" i="1" a="1"/>
  <c r="S457" i="1" s="1"/>
  <c r="S458" i="1" a="1"/>
  <c r="S458" i="1" s="1"/>
  <c r="S459" i="1" a="1"/>
  <c r="S459" i="1" s="1"/>
  <c r="S460" i="1" a="1"/>
  <c r="S460" i="1" s="1"/>
  <c r="S461" i="1" a="1"/>
  <c r="S461" i="1" s="1"/>
  <c r="S462" i="1" a="1"/>
  <c r="S462" i="1" s="1"/>
  <c r="S463" i="1" a="1"/>
  <c r="S463" i="1" s="1"/>
  <c r="S464" i="1" a="1"/>
  <c r="S464" i="1" s="1"/>
  <c r="S465" i="1" a="1"/>
  <c r="S465" i="1" s="1"/>
  <c r="S466" i="1" a="1"/>
  <c r="S466" i="1" s="1"/>
  <c r="S467" i="1" a="1"/>
  <c r="S467" i="1" s="1"/>
  <c r="S468" i="1" a="1"/>
  <c r="S468" i="1" s="1"/>
  <c r="S469" i="1" a="1"/>
  <c r="S469" i="1" s="1"/>
  <c r="S470" i="1" a="1"/>
  <c r="S470" i="1" s="1"/>
  <c r="S471" i="1" a="1"/>
  <c r="S471" i="1" s="1"/>
  <c r="S472" i="1" a="1"/>
  <c r="S472" i="1" s="1"/>
  <c r="S473" i="1" a="1"/>
  <c r="S473" i="1" s="1"/>
  <c r="S474" i="1" a="1"/>
  <c r="S474" i="1" s="1"/>
  <c r="S475" i="1" a="1"/>
  <c r="S475" i="1" s="1"/>
  <c r="S476" i="1" a="1"/>
  <c r="S476" i="1" s="1"/>
  <c r="S477" i="1" a="1"/>
  <c r="S477" i="1" s="1"/>
  <c r="S478" i="1" a="1"/>
  <c r="S478" i="1" s="1"/>
  <c r="S479" i="1" a="1"/>
  <c r="S479" i="1" s="1"/>
  <c r="S480" i="1" a="1"/>
  <c r="S480" i="1" s="1"/>
  <c r="S481" i="1" a="1"/>
  <c r="S481" i="1" s="1"/>
  <c r="S482" i="1" a="1"/>
  <c r="S482" i="1" s="1"/>
  <c r="S483" i="1" a="1"/>
  <c r="S483" i="1" s="1"/>
  <c r="S484" i="1" a="1"/>
  <c r="S484" i="1" s="1"/>
  <c r="S485" i="1" a="1"/>
  <c r="S485" i="1" s="1"/>
  <c r="S486" i="1" a="1"/>
  <c r="S486" i="1" s="1"/>
  <c r="S487" i="1" a="1"/>
  <c r="S487" i="1" s="1"/>
  <c r="S488" i="1" a="1"/>
  <c r="S488" i="1" s="1"/>
  <c r="S489" i="1" a="1"/>
  <c r="S489" i="1" s="1"/>
  <c r="S490" i="1" a="1"/>
  <c r="S490" i="1" s="1"/>
  <c r="S491" i="1" a="1"/>
  <c r="S491" i="1" s="1"/>
  <c r="S492" i="1" a="1"/>
  <c r="S492" i="1" s="1"/>
  <c r="S493" i="1" a="1"/>
  <c r="S493" i="1" s="1"/>
  <c r="S494" i="1" a="1"/>
  <c r="S494" i="1" s="1"/>
  <c r="S495" i="1" a="1"/>
  <c r="S495" i="1" s="1"/>
  <c r="S496" i="1" a="1"/>
  <c r="S496" i="1" s="1"/>
  <c r="S497" i="1" a="1"/>
  <c r="S497" i="1" s="1"/>
  <c r="S498" i="1" a="1"/>
  <c r="S498" i="1" s="1"/>
  <c r="S499" i="1" a="1"/>
  <c r="S499" i="1" s="1"/>
  <c r="S500" i="1" a="1"/>
  <c r="S500" i="1" s="1"/>
  <c r="S501" i="1" a="1"/>
  <c r="S501" i="1" s="1"/>
  <c r="S502" i="1" a="1"/>
  <c r="S502" i="1" s="1"/>
  <c r="S503" i="1" a="1"/>
  <c r="S503" i="1" s="1"/>
  <c r="S504" i="1" a="1"/>
  <c r="S504" i="1" s="1"/>
  <c r="S505" i="1" a="1"/>
  <c r="S505" i="1" s="1"/>
  <c r="S506" i="1" a="1"/>
  <c r="S506" i="1" s="1"/>
  <c r="S507" i="1" a="1"/>
  <c r="S507" i="1" s="1"/>
  <c r="S508" i="1" a="1"/>
  <c r="S508" i="1"/>
  <c r="S509" i="1" a="1"/>
  <c r="S509" i="1" s="1"/>
  <c r="S510" i="1" a="1"/>
  <c r="S510" i="1" s="1"/>
  <c r="S511" i="1" a="1"/>
  <c r="S511" i="1" s="1"/>
  <c r="S512" i="1" a="1"/>
  <c r="S512" i="1" s="1"/>
  <c r="S513" i="1" a="1"/>
  <c r="S513" i="1" s="1"/>
  <c r="S514" i="1" a="1"/>
  <c r="S514" i="1" s="1"/>
  <c r="S515" i="1" a="1"/>
  <c r="S515" i="1" s="1"/>
  <c r="S516" i="1" a="1"/>
  <c r="S516" i="1" s="1"/>
  <c r="S517" i="1" a="1"/>
  <c r="S517" i="1" s="1"/>
  <c r="S518" i="1" a="1"/>
  <c r="S518" i="1" s="1"/>
  <c r="S519" i="1" a="1"/>
  <c r="S519" i="1" s="1"/>
  <c r="S520" i="1" a="1"/>
  <c r="S520" i="1" s="1"/>
  <c r="S521" i="1" a="1"/>
  <c r="S521" i="1" s="1"/>
  <c r="S522" i="1" a="1"/>
  <c r="S522" i="1" s="1"/>
  <c r="S523" i="1" a="1"/>
  <c r="S523" i="1" s="1"/>
  <c r="S524" i="1" a="1"/>
  <c r="S524" i="1" s="1"/>
  <c r="S525" i="1" a="1"/>
  <c r="S525" i="1" s="1"/>
  <c r="S526" i="1" a="1"/>
  <c r="S526" i="1" s="1"/>
  <c r="S527" i="1" a="1"/>
  <c r="S527" i="1" s="1"/>
  <c r="S528" i="1" a="1"/>
  <c r="S528" i="1" s="1"/>
  <c r="S529" i="1" a="1"/>
  <c r="S529" i="1" s="1"/>
  <c r="S530" i="1" a="1"/>
  <c r="S530" i="1" s="1"/>
  <c r="S531" i="1" a="1"/>
  <c r="S531" i="1" s="1"/>
  <c r="S532" i="1" a="1"/>
  <c r="S532" i="1" s="1"/>
  <c r="S533" i="1" a="1"/>
  <c r="S533" i="1" s="1"/>
  <c r="S534" i="1" a="1"/>
  <c r="S534" i="1" s="1"/>
  <c r="S535" i="1" a="1"/>
  <c r="S535" i="1" s="1"/>
  <c r="S536" i="1" a="1"/>
  <c r="S536" i="1" s="1"/>
  <c r="S537" i="1" a="1"/>
  <c r="S537" i="1" s="1"/>
  <c r="S538" i="1" a="1"/>
  <c r="S538" i="1" s="1"/>
  <c r="S539" i="1" a="1"/>
  <c r="S539" i="1" s="1"/>
  <c r="S540" i="1" a="1"/>
  <c r="S540" i="1" s="1"/>
  <c r="S541" i="1" a="1"/>
  <c r="S541" i="1" s="1"/>
  <c r="S542" i="1" a="1"/>
  <c r="S542" i="1"/>
  <c r="S543" i="1" a="1"/>
  <c r="S543" i="1" s="1"/>
  <c r="S544" i="1" a="1"/>
  <c r="S544" i="1" s="1"/>
  <c r="S545" i="1" a="1"/>
  <c r="S545" i="1" s="1"/>
  <c r="S546" i="1" a="1"/>
  <c r="S546" i="1" s="1"/>
  <c r="S547" i="1" a="1"/>
  <c r="S547" i="1" s="1"/>
  <c r="S548" i="1" a="1"/>
  <c r="S548" i="1" s="1"/>
  <c r="S549" i="1" a="1"/>
  <c r="S549" i="1" s="1"/>
  <c r="S550" i="1" a="1"/>
  <c r="S550" i="1" s="1"/>
  <c r="S551" i="1" a="1"/>
  <c r="S551" i="1" s="1"/>
  <c r="S552" i="1" a="1"/>
  <c r="S552" i="1" s="1"/>
  <c r="S553" i="1" a="1"/>
  <c r="S553" i="1" s="1"/>
  <c r="S554" i="1" a="1"/>
  <c r="S554" i="1"/>
  <c r="S555" i="1" a="1"/>
  <c r="S555" i="1" s="1"/>
  <c r="S556" i="1" a="1"/>
  <c r="S556" i="1" s="1"/>
  <c r="S557" i="1" a="1"/>
  <c r="S557" i="1" s="1"/>
  <c r="S558" i="1" a="1"/>
  <c r="S558" i="1" s="1"/>
  <c r="S559" i="1" a="1"/>
  <c r="S559" i="1" s="1"/>
  <c r="S560" i="1" a="1"/>
  <c r="S560" i="1" s="1"/>
  <c r="S561" i="1" a="1"/>
  <c r="S561" i="1" s="1"/>
  <c r="S562" i="1" a="1"/>
  <c r="S562" i="1" s="1"/>
  <c r="S563" i="1" a="1"/>
  <c r="S563" i="1" s="1"/>
  <c r="S564" i="1" a="1"/>
  <c r="S564" i="1" s="1"/>
  <c r="S565" i="1" a="1"/>
  <c r="S565" i="1" s="1"/>
  <c r="S566" i="1" a="1"/>
  <c r="S566" i="1" s="1"/>
  <c r="S567" i="1" a="1"/>
  <c r="S567" i="1" s="1"/>
  <c r="S568" i="1" a="1"/>
  <c r="S568" i="1" s="1"/>
  <c r="S569" i="1" a="1"/>
  <c r="S569" i="1" s="1"/>
  <c r="S570" i="1" a="1"/>
  <c r="S570" i="1" s="1"/>
  <c r="S571" i="1" a="1"/>
  <c r="S571" i="1" s="1"/>
  <c r="S572" i="1" a="1"/>
  <c r="S572" i="1" s="1"/>
  <c r="S573" i="1" a="1"/>
  <c r="S573" i="1" s="1"/>
  <c r="S574" i="1" a="1"/>
  <c r="S574" i="1" s="1"/>
  <c r="S575" i="1" a="1"/>
  <c r="S575" i="1" s="1"/>
  <c r="S576" i="1" a="1"/>
  <c r="S576" i="1" s="1"/>
  <c r="S577" i="1" a="1"/>
  <c r="S577" i="1" s="1"/>
  <c r="S578" i="1" a="1"/>
  <c r="S578" i="1" s="1"/>
  <c r="S579" i="1" a="1"/>
  <c r="S579" i="1" s="1"/>
  <c r="S580" i="1" a="1"/>
  <c r="S580" i="1" s="1"/>
  <c r="S581" i="1" a="1"/>
  <c r="S581" i="1" s="1"/>
  <c r="S582" i="1" a="1"/>
  <c r="S582" i="1" s="1"/>
  <c r="S583" i="1" a="1"/>
  <c r="S583" i="1" s="1"/>
  <c r="S584" i="1" a="1"/>
  <c r="S584" i="1" s="1"/>
  <c r="S585" i="1" a="1"/>
  <c r="S585" i="1" s="1"/>
  <c r="S586" i="1" a="1"/>
  <c r="S586" i="1" s="1"/>
  <c r="S587" i="1" a="1"/>
  <c r="S587" i="1" s="1"/>
  <c r="S588" i="1" a="1"/>
  <c r="S588" i="1" s="1"/>
  <c r="S589" i="1" a="1"/>
  <c r="S589" i="1" s="1"/>
  <c r="S590" i="1" a="1"/>
  <c r="S590" i="1" s="1"/>
  <c r="S591" i="1" a="1"/>
  <c r="S591" i="1" s="1"/>
  <c r="S592" i="1" a="1"/>
  <c r="S592" i="1" s="1"/>
  <c r="S593" i="1" a="1"/>
  <c r="S593" i="1" s="1"/>
  <c r="S594" i="1" a="1"/>
  <c r="S594" i="1" s="1"/>
  <c r="S595" i="1" a="1"/>
  <c r="S595" i="1" s="1"/>
  <c r="S596" i="1" a="1"/>
  <c r="S596" i="1" s="1"/>
  <c r="S597" i="1" a="1"/>
  <c r="S597" i="1" s="1"/>
  <c r="S598" i="1" a="1"/>
  <c r="S598" i="1" s="1"/>
  <c r="S599" i="1" a="1"/>
  <c r="S599" i="1" s="1"/>
  <c r="S600" i="1" a="1"/>
  <c r="S600" i="1" s="1"/>
  <c r="S601" i="1" a="1"/>
  <c r="S601" i="1" s="1"/>
  <c r="S602" i="1" a="1"/>
  <c r="S602" i="1" s="1"/>
  <c r="S603" i="1" a="1"/>
  <c r="S603" i="1" s="1"/>
  <c r="S604" i="1" a="1"/>
  <c r="S604" i="1" s="1"/>
  <c r="S605" i="1" a="1"/>
  <c r="S605" i="1" s="1"/>
  <c r="S606" i="1" a="1"/>
  <c r="S606" i="1" s="1"/>
  <c r="S607" i="1" a="1"/>
  <c r="S607" i="1" s="1"/>
  <c r="S608" i="1" a="1"/>
  <c r="S608" i="1" s="1"/>
  <c r="S609" i="1" a="1"/>
  <c r="S609" i="1" s="1"/>
  <c r="S610" i="1" a="1"/>
  <c r="S610" i="1" s="1"/>
  <c r="S611" i="1" a="1"/>
  <c r="S611" i="1" s="1"/>
  <c r="S612" i="1" a="1"/>
  <c r="S612" i="1" s="1"/>
  <c r="S613" i="1" a="1"/>
  <c r="S613" i="1" s="1"/>
  <c r="S614" i="1" a="1"/>
  <c r="S614" i="1" s="1"/>
  <c r="S615" i="1" a="1"/>
  <c r="S615" i="1" s="1"/>
  <c r="S616" i="1" a="1"/>
  <c r="S616" i="1" s="1"/>
  <c r="S617" i="1" a="1"/>
  <c r="S617" i="1" s="1"/>
  <c r="S618" i="1" a="1"/>
  <c r="S618" i="1" s="1"/>
  <c r="S619" i="1" a="1"/>
  <c r="S619" i="1" s="1"/>
  <c r="S620" i="1" a="1"/>
  <c r="S620" i="1" s="1"/>
  <c r="S621" i="1" a="1"/>
  <c r="S621" i="1" s="1"/>
  <c r="S622" i="1" a="1"/>
  <c r="S622" i="1" s="1"/>
  <c r="S623" i="1" a="1"/>
  <c r="S623" i="1" s="1"/>
  <c r="S624" i="1" a="1"/>
  <c r="S624" i="1" s="1"/>
  <c r="S625" i="1" a="1"/>
  <c r="S625" i="1" s="1"/>
  <c r="S626" i="1" a="1"/>
  <c r="S626" i="1"/>
  <c r="S627" i="1" a="1"/>
  <c r="S627" i="1" s="1"/>
  <c r="S628" i="1" a="1"/>
  <c r="S628" i="1" s="1"/>
  <c r="S629" i="1" a="1"/>
  <c r="S629" i="1" s="1"/>
  <c r="S630" i="1" a="1"/>
  <c r="S630" i="1" s="1"/>
  <c r="S631" i="1" a="1"/>
  <c r="S631" i="1" s="1"/>
  <c r="S632" i="1" a="1"/>
  <c r="S632" i="1" s="1"/>
  <c r="S633" i="1" a="1"/>
  <c r="S633" i="1" s="1"/>
  <c r="S634" i="1" a="1"/>
  <c r="S634" i="1" s="1"/>
  <c r="S635" i="1" a="1"/>
  <c r="S635" i="1" s="1"/>
  <c r="S636" i="1" a="1"/>
  <c r="S636" i="1" s="1"/>
  <c r="S637" i="1" a="1"/>
  <c r="S637" i="1" s="1"/>
  <c r="S638" i="1" a="1"/>
  <c r="S638" i="1" s="1"/>
  <c r="S639" i="1" a="1"/>
  <c r="S639" i="1" s="1"/>
  <c r="S640" i="1" a="1"/>
  <c r="S640" i="1" s="1"/>
  <c r="S641" i="1" a="1"/>
  <c r="S641" i="1" s="1"/>
  <c r="S642" i="1" a="1"/>
  <c r="S642" i="1" s="1"/>
  <c r="S643" i="1" a="1"/>
  <c r="S643" i="1" s="1"/>
  <c r="S644" i="1" a="1"/>
  <c r="S644" i="1" s="1"/>
  <c r="S645" i="1" a="1"/>
  <c r="S645" i="1" s="1"/>
  <c r="S646" i="1" a="1"/>
  <c r="S646" i="1" s="1"/>
  <c r="S647" i="1" a="1"/>
  <c r="S647" i="1" s="1"/>
  <c r="S648" i="1" a="1"/>
  <c r="S648" i="1" s="1"/>
  <c r="S649" i="1" a="1"/>
  <c r="S649" i="1" s="1"/>
  <c r="S650" i="1" a="1"/>
  <c r="S650" i="1" s="1"/>
  <c r="S651" i="1" a="1"/>
  <c r="S651" i="1" s="1"/>
  <c r="S652" i="1" a="1"/>
  <c r="S652" i="1" s="1"/>
  <c r="S653" i="1" a="1"/>
  <c r="S653" i="1" s="1"/>
  <c r="S654" i="1" a="1"/>
  <c r="S654" i="1" s="1"/>
  <c r="S655" i="1" a="1"/>
  <c r="S655" i="1" s="1"/>
  <c r="S656" i="1" a="1"/>
  <c r="S656" i="1" s="1"/>
  <c r="S657" i="1" a="1"/>
  <c r="S657" i="1" s="1"/>
  <c r="S658" i="1" a="1"/>
  <c r="S658" i="1" s="1"/>
  <c r="S659" i="1" a="1"/>
  <c r="S659" i="1" s="1"/>
  <c r="S660" i="1" a="1"/>
  <c r="S660" i="1" s="1"/>
  <c r="S661" i="1" a="1"/>
  <c r="S661" i="1" s="1"/>
  <c r="S662" i="1" a="1"/>
  <c r="S662" i="1" s="1"/>
  <c r="S663" i="1" a="1"/>
  <c r="S663" i="1" s="1"/>
  <c r="S664" i="1" a="1"/>
  <c r="S664" i="1" s="1"/>
  <c r="S665" i="1" a="1"/>
  <c r="S665" i="1" s="1"/>
  <c r="S666" i="1" a="1"/>
  <c r="S666" i="1" s="1"/>
  <c r="S667" i="1" a="1"/>
  <c r="S667" i="1" s="1"/>
  <c r="S668" i="1" a="1"/>
  <c r="S668" i="1" s="1"/>
  <c r="S669" i="1" a="1"/>
  <c r="S669" i="1" s="1"/>
  <c r="S670" i="1" a="1"/>
  <c r="S670" i="1" s="1"/>
  <c r="S671" i="1" a="1"/>
  <c r="S671" i="1" s="1"/>
  <c r="S672" i="1" a="1"/>
  <c r="S672" i="1" s="1"/>
  <c r="S673" i="1" a="1"/>
  <c r="S673" i="1" s="1"/>
  <c r="S674" i="1" a="1"/>
  <c r="S674" i="1" s="1"/>
  <c r="S675" i="1" a="1"/>
  <c r="S675" i="1" s="1"/>
  <c r="S676" i="1" a="1"/>
  <c r="S676" i="1" s="1"/>
  <c r="S677" i="1" a="1"/>
  <c r="S677" i="1" s="1"/>
  <c r="S678" i="1" a="1"/>
  <c r="S678" i="1" s="1"/>
  <c r="S679" i="1" a="1"/>
  <c r="S679" i="1" s="1"/>
  <c r="S680" i="1" a="1"/>
  <c r="S680" i="1" s="1"/>
  <c r="S681" i="1" a="1"/>
  <c r="S681" i="1" s="1"/>
  <c r="S682" i="1" a="1"/>
  <c r="S682" i="1" s="1"/>
  <c r="S683" i="1" a="1"/>
  <c r="S683" i="1" s="1"/>
  <c r="S684" i="1" a="1"/>
  <c r="S684" i="1" s="1"/>
  <c r="S685" i="1" a="1"/>
  <c r="S685" i="1" s="1"/>
  <c r="S686" i="1" a="1"/>
  <c r="S686" i="1" s="1"/>
  <c r="S687" i="1" a="1"/>
  <c r="S687" i="1" s="1"/>
  <c r="S688" i="1" a="1"/>
  <c r="S688" i="1" s="1"/>
  <c r="S689" i="1" a="1"/>
  <c r="S689" i="1" s="1"/>
  <c r="S690" i="1" a="1"/>
  <c r="S690" i="1"/>
  <c r="S691" i="1" a="1"/>
  <c r="S691" i="1" s="1"/>
  <c r="S692" i="1" a="1"/>
  <c r="S692" i="1" s="1"/>
  <c r="S693" i="1" a="1"/>
  <c r="S693" i="1" s="1"/>
  <c r="S694" i="1" a="1"/>
  <c r="S694" i="1" s="1"/>
  <c r="S695" i="1" a="1"/>
  <c r="S695" i="1" s="1"/>
  <c r="S696" i="1" a="1"/>
  <c r="S696" i="1" s="1"/>
  <c r="S697" i="1" a="1"/>
  <c r="S697" i="1" s="1"/>
  <c r="S698" i="1" a="1"/>
  <c r="S698" i="1" s="1"/>
  <c r="S699" i="1" a="1"/>
  <c r="S699" i="1" s="1"/>
  <c r="S700" i="1" a="1"/>
  <c r="S700" i="1" s="1"/>
  <c r="S701" i="1" a="1"/>
  <c r="S701" i="1" s="1"/>
  <c r="S702" i="1" a="1"/>
  <c r="S702" i="1" s="1"/>
  <c r="S703" i="1" a="1"/>
  <c r="S703" i="1" s="1"/>
  <c r="S704" i="1" a="1"/>
  <c r="S704" i="1" s="1"/>
  <c r="S705" i="1" a="1"/>
  <c r="S705" i="1" s="1"/>
  <c r="S706" i="1" a="1"/>
  <c r="S706" i="1" s="1"/>
  <c r="S707" i="1" a="1"/>
  <c r="S707" i="1" s="1"/>
  <c r="S708" i="1" a="1"/>
  <c r="S708" i="1" s="1"/>
  <c r="S709" i="1" a="1"/>
  <c r="S709" i="1" s="1"/>
  <c r="S710" i="1" a="1"/>
  <c r="S710" i="1" s="1"/>
  <c r="S711" i="1" a="1"/>
  <c r="S711" i="1" s="1"/>
  <c r="S712" i="1" a="1"/>
  <c r="S712" i="1" s="1"/>
  <c r="S713" i="1" a="1"/>
  <c r="S713" i="1" s="1"/>
  <c r="S714" i="1" a="1"/>
  <c r="S714" i="1" s="1"/>
  <c r="S715" i="1" a="1"/>
  <c r="S715" i="1" s="1"/>
  <c r="S716" i="1" a="1"/>
  <c r="S716" i="1" s="1"/>
  <c r="S717" i="1" a="1"/>
  <c r="S717" i="1" s="1"/>
  <c r="S718" i="1" a="1"/>
  <c r="S718" i="1" s="1"/>
  <c r="S719" i="1" a="1"/>
  <c r="S719" i="1" s="1"/>
  <c r="S720" i="1" a="1"/>
  <c r="S720" i="1" s="1"/>
  <c r="S721" i="1" a="1"/>
  <c r="S721" i="1" s="1"/>
  <c r="S722" i="1" a="1"/>
  <c r="S722" i="1" s="1"/>
  <c r="S723" i="1" a="1"/>
  <c r="S723" i="1" s="1"/>
  <c r="S724" i="1" a="1"/>
  <c r="S724" i="1" s="1"/>
  <c r="S725" i="1" a="1"/>
  <c r="S725" i="1" s="1"/>
  <c r="S726" i="1" a="1"/>
  <c r="S726" i="1" s="1"/>
  <c r="S727" i="1" a="1"/>
  <c r="S727" i="1" s="1"/>
  <c r="S728" i="1" a="1"/>
  <c r="S728" i="1" s="1"/>
  <c r="S729" i="1" a="1"/>
  <c r="S729" i="1" s="1"/>
  <c r="S730" i="1" a="1"/>
  <c r="S730" i="1" s="1"/>
  <c r="S731" i="1" a="1"/>
  <c r="S731" i="1" s="1"/>
  <c r="S732" i="1" a="1"/>
  <c r="S732" i="1"/>
  <c r="S733" i="1" a="1"/>
  <c r="S733" i="1" s="1"/>
  <c r="S734" i="1" a="1"/>
  <c r="S734" i="1" s="1"/>
  <c r="S735" i="1" a="1"/>
  <c r="S735" i="1" s="1"/>
  <c r="S736" i="1" a="1"/>
  <c r="S736" i="1" s="1"/>
  <c r="S737" i="1" a="1"/>
  <c r="S737" i="1" s="1"/>
  <c r="S738" i="1" a="1"/>
  <c r="S738" i="1" s="1"/>
  <c r="S739" i="1" a="1"/>
  <c r="S739" i="1" s="1"/>
  <c r="S740" i="1" a="1"/>
  <c r="S740" i="1" s="1"/>
  <c r="S741" i="1" a="1"/>
  <c r="S741" i="1" s="1"/>
  <c r="S742" i="1" a="1"/>
  <c r="S742" i="1" s="1"/>
  <c r="S743" i="1" a="1"/>
  <c r="S743" i="1" s="1"/>
  <c r="S744" i="1" a="1"/>
  <c r="S744" i="1" s="1"/>
  <c r="S745" i="1" a="1"/>
  <c r="S745" i="1" s="1"/>
  <c r="S746" i="1" a="1"/>
  <c r="S746" i="1" s="1"/>
  <c r="S747" i="1" a="1"/>
  <c r="S747" i="1" s="1"/>
  <c r="S748" i="1" a="1"/>
  <c r="S748" i="1" s="1"/>
  <c r="S749" i="1" a="1"/>
  <c r="S749" i="1" s="1"/>
  <c r="S750" i="1" a="1"/>
  <c r="S750" i="1" s="1"/>
  <c r="S751" i="1" a="1"/>
  <c r="S751" i="1" s="1"/>
  <c r="S752" i="1" a="1"/>
  <c r="S752" i="1" s="1"/>
  <c r="S753" i="1" a="1"/>
  <c r="S753" i="1" s="1"/>
  <c r="S754" i="1" a="1"/>
  <c r="S754" i="1" s="1"/>
  <c r="S755" i="1" a="1"/>
  <c r="S755" i="1" s="1"/>
  <c r="S756" i="1" a="1"/>
  <c r="S756" i="1" s="1"/>
  <c r="S757" i="1" a="1"/>
  <c r="S757" i="1" s="1"/>
  <c r="S758" i="1" a="1"/>
  <c r="S758" i="1" s="1"/>
  <c r="S759" i="1" a="1"/>
  <c r="S759" i="1" s="1"/>
  <c r="S760" i="1" a="1"/>
  <c r="S760" i="1" s="1"/>
  <c r="S761" i="1" a="1"/>
  <c r="S761" i="1" s="1"/>
  <c r="S762" i="1" a="1"/>
  <c r="S762" i="1"/>
  <c r="S763" i="1" a="1"/>
  <c r="S763" i="1" s="1"/>
  <c r="S764" i="1" a="1"/>
  <c r="S764" i="1" s="1"/>
  <c r="S765" i="1" a="1"/>
  <c r="S765" i="1" s="1"/>
  <c r="S766" i="1" a="1"/>
  <c r="S766" i="1" s="1"/>
  <c r="S767" i="1" a="1"/>
  <c r="S767" i="1" s="1"/>
  <c r="S768" i="1" a="1"/>
  <c r="S768" i="1" s="1"/>
  <c r="S769" i="1" a="1"/>
  <c r="S769" i="1" s="1"/>
  <c r="S770" i="1" a="1"/>
  <c r="S770" i="1" s="1"/>
  <c r="S771" i="1" a="1"/>
  <c r="S771" i="1" s="1"/>
  <c r="S772" i="1" a="1"/>
  <c r="S772" i="1" s="1"/>
  <c r="S773" i="1" a="1"/>
  <c r="S773" i="1" s="1"/>
  <c r="S774" i="1" a="1"/>
  <c r="S774" i="1" s="1"/>
  <c r="S775" i="1" a="1"/>
  <c r="S775" i="1" s="1"/>
  <c r="S776" i="1" a="1"/>
  <c r="S776" i="1" s="1"/>
  <c r="S777" i="1" a="1"/>
  <c r="S777" i="1" s="1"/>
  <c r="S778" i="1" a="1"/>
  <c r="S778" i="1"/>
  <c r="S779" i="1" a="1"/>
  <c r="S779" i="1" s="1"/>
  <c r="S780" i="1" a="1"/>
  <c r="S780" i="1" s="1"/>
  <c r="S781" i="1" a="1"/>
  <c r="S781" i="1" s="1"/>
  <c r="S782" i="1" a="1"/>
  <c r="S782" i="1" s="1"/>
  <c r="S783" i="1" a="1"/>
  <c r="S783" i="1" s="1"/>
  <c r="S784" i="1" a="1"/>
  <c r="S784" i="1" s="1"/>
  <c r="S785" i="1" a="1"/>
  <c r="S785" i="1" s="1"/>
  <c r="S786" i="1" a="1"/>
  <c r="S786" i="1" s="1"/>
  <c r="S787" i="1" a="1"/>
  <c r="S787" i="1" s="1"/>
  <c r="S788" i="1" a="1"/>
  <c r="S788" i="1" s="1"/>
  <c r="S789" i="1" a="1"/>
  <c r="S789" i="1" s="1"/>
  <c r="S790" i="1" a="1"/>
  <c r="S790" i="1" s="1"/>
  <c r="S791" i="1" a="1"/>
  <c r="S791" i="1" s="1"/>
  <c r="S792" i="1" a="1"/>
  <c r="S792" i="1" s="1"/>
  <c r="S793" i="1" a="1"/>
  <c r="S793" i="1" s="1"/>
  <c r="S794" i="1" a="1"/>
  <c r="S794" i="1" s="1"/>
  <c r="S795" i="1" a="1"/>
  <c r="S795" i="1" s="1"/>
  <c r="S796" i="1" a="1"/>
  <c r="S796" i="1"/>
  <c r="S797" i="1" a="1"/>
  <c r="S797" i="1" s="1"/>
  <c r="S798" i="1" a="1"/>
  <c r="S798" i="1" s="1"/>
  <c r="S799" i="1" a="1"/>
  <c r="S799" i="1" s="1"/>
  <c r="S800" i="1" a="1"/>
  <c r="S800" i="1" s="1"/>
  <c r="S801" i="1" a="1"/>
  <c r="S801" i="1" s="1"/>
  <c r="S802" i="1" a="1"/>
  <c r="S802" i="1" s="1"/>
  <c r="S803" i="1" a="1"/>
  <c r="S803" i="1" s="1"/>
  <c r="S804" i="1" a="1"/>
  <c r="S804" i="1" s="1"/>
  <c r="S805" i="1" a="1"/>
  <c r="S805" i="1" s="1"/>
  <c r="S806" i="1" a="1"/>
  <c r="S806" i="1" s="1"/>
  <c r="S807" i="1" a="1"/>
  <c r="S807" i="1" s="1"/>
  <c r="S808" i="1" a="1"/>
  <c r="S808" i="1" s="1"/>
  <c r="S809" i="1" a="1"/>
  <c r="S809" i="1" s="1"/>
  <c r="S810" i="1" a="1"/>
  <c r="S810" i="1" s="1"/>
  <c r="S811" i="1" a="1"/>
  <c r="S811" i="1" s="1"/>
  <c r="S812" i="1" a="1"/>
  <c r="S812" i="1" s="1"/>
  <c r="S813" i="1" a="1"/>
  <c r="S813" i="1" s="1"/>
  <c r="S814" i="1" a="1"/>
  <c r="S814" i="1" s="1"/>
  <c r="S815" i="1" a="1"/>
  <c r="S815" i="1" s="1"/>
  <c r="S816" i="1" a="1"/>
  <c r="S816" i="1" s="1"/>
  <c r="S817" i="1" a="1"/>
  <c r="S817" i="1" s="1"/>
  <c r="S818" i="1" a="1"/>
  <c r="S818" i="1" s="1"/>
  <c r="S819" i="1" a="1"/>
  <c r="S819" i="1" s="1"/>
  <c r="S820" i="1" a="1"/>
  <c r="S820" i="1" s="1"/>
  <c r="S821" i="1" a="1"/>
  <c r="S821" i="1" s="1"/>
  <c r="S822" i="1" a="1"/>
  <c r="S822" i="1" s="1"/>
  <c r="S823" i="1" a="1"/>
  <c r="S823" i="1" s="1"/>
  <c r="S824" i="1" a="1"/>
  <c r="S824" i="1" s="1"/>
  <c r="S825" i="1" a="1"/>
  <c r="S825" i="1" s="1"/>
  <c r="S826" i="1" a="1"/>
  <c r="S826" i="1"/>
  <c r="S827" i="1" a="1"/>
  <c r="S827" i="1" s="1"/>
  <c r="S828" i="1" a="1"/>
  <c r="S828" i="1" s="1"/>
  <c r="S829" i="1" a="1"/>
  <c r="S829" i="1" s="1"/>
  <c r="S830" i="1" a="1"/>
  <c r="S830" i="1" s="1"/>
  <c r="S831" i="1" a="1"/>
  <c r="S831" i="1" s="1"/>
  <c r="S832" i="1" a="1"/>
  <c r="S832" i="1" s="1"/>
  <c r="S833" i="1" a="1"/>
  <c r="S833" i="1" s="1"/>
  <c r="S834" i="1" a="1"/>
  <c r="S834" i="1" s="1"/>
  <c r="S835" i="1" a="1"/>
  <c r="S835" i="1" s="1"/>
  <c r="S836" i="1" a="1"/>
  <c r="S836" i="1" s="1"/>
  <c r="S837" i="1" a="1"/>
  <c r="S837" i="1"/>
  <c r="S838" i="1" a="1"/>
  <c r="S838" i="1" s="1"/>
  <c r="S839" i="1" a="1"/>
  <c r="S839" i="1" s="1"/>
  <c r="S840" i="1" a="1"/>
  <c r="S840" i="1" s="1"/>
  <c r="S841" i="1" a="1"/>
  <c r="S841" i="1" s="1"/>
  <c r="S842" i="1" a="1"/>
  <c r="S842" i="1" s="1"/>
  <c r="S843" i="1" a="1"/>
  <c r="S843" i="1" s="1"/>
  <c r="S844" i="1" a="1"/>
  <c r="S844" i="1" s="1"/>
  <c r="S845" i="1" a="1"/>
  <c r="S845" i="1" s="1"/>
  <c r="S846" i="1" a="1"/>
  <c r="S846" i="1" s="1"/>
  <c r="S847" i="1" a="1"/>
  <c r="S847" i="1" s="1"/>
  <c r="S848" i="1" a="1"/>
  <c r="S848" i="1" s="1"/>
  <c r="S849" i="1" a="1"/>
  <c r="S849" i="1" s="1"/>
  <c r="S850" i="1" a="1"/>
  <c r="S850" i="1" s="1"/>
  <c r="S851" i="1" a="1"/>
  <c r="S851" i="1" s="1"/>
  <c r="S852" i="1" a="1"/>
  <c r="S852" i="1" s="1"/>
  <c r="S853" i="1" a="1"/>
  <c r="S853" i="1" s="1"/>
  <c r="S854" i="1" a="1"/>
  <c r="S854" i="1" s="1"/>
  <c r="S855" i="1" a="1"/>
  <c r="S855" i="1" s="1"/>
  <c r="S856" i="1" a="1"/>
  <c r="S856" i="1" s="1"/>
  <c r="S857" i="1" a="1"/>
  <c r="S857" i="1" s="1"/>
  <c r="S858" i="1" a="1"/>
  <c r="S858" i="1" s="1"/>
  <c r="S859" i="1" a="1"/>
  <c r="S859" i="1" s="1"/>
  <c r="S860" i="1" a="1"/>
  <c r="S860" i="1" s="1"/>
  <c r="S861" i="1" a="1"/>
  <c r="S861" i="1"/>
  <c r="S862" i="1" a="1"/>
  <c r="S862" i="1" s="1"/>
  <c r="S863" i="1" a="1"/>
  <c r="S863" i="1" s="1"/>
  <c r="S864" i="1" a="1"/>
  <c r="S864" i="1" s="1"/>
  <c r="S865" i="1" a="1"/>
  <c r="S865" i="1" s="1"/>
  <c r="S866" i="1" a="1"/>
  <c r="S866" i="1" s="1"/>
  <c r="S867" i="1" a="1"/>
  <c r="S867" i="1" s="1"/>
  <c r="S868" i="1" a="1"/>
  <c r="S868" i="1" s="1"/>
  <c r="S869" i="1" a="1"/>
  <c r="S869" i="1" s="1"/>
  <c r="S870" i="1" a="1"/>
  <c r="S870" i="1" s="1"/>
  <c r="S871" i="1" a="1"/>
  <c r="S871" i="1" s="1"/>
  <c r="S872" i="1" a="1"/>
  <c r="S872" i="1" s="1"/>
  <c r="S873" i="1" a="1"/>
  <c r="S873" i="1" s="1"/>
  <c r="S874" i="1" a="1"/>
  <c r="S874" i="1" s="1"/>
  <c r="S875" i="1" a="1"/>
  <c r="S875" i="1" s="1"/>
  <c r="S876" i="1" a="1"/>
  <c r="S876" i="1" s="1"/>
  <c r="S877" i="1" a="1"/>
  <c r="S877" i="1" s="1"/>
  <c r="S878" i="1" a="1"/>
  <c r="S878" i="1" s="1"/>
  <c r="S879" i="1" a="1"/>
  <c r="S879" i="1"/>
  <c r="S880" i="1" a="1"/>
  <c r="S880" i="1" s="1"/>
  <c r="S881" i="1" a="1"/>
  <c r="S881" i="1" s="1"/>
  <c r="S882" i="1" a="1"/>
  <c r="S882" i="1" s="1"/>
  <c r="S883" i="1" a="1"/>
  <c r="S883" i="1" s="1"/>
  <c r="S884" i="1" a="1"/>
  <c r="S884" i="1" s="1"/>
  <c r="S885" i="1" a="1"/>
  <c r="S885" i="1" s="1"/>
  <c r="S886" i="1" a="1"/>
  <c r="S886" i="1" s="1"/>
  <c r="S887" i="1" a="1"/>
  <c r="S887" i="1" s="1"/>
  <c r="S888" i="1" a="1"/>
  <c r="S888" i="1" s="1"/>
  <c r="S889" i="1" a="1"/>
  <c r="S889" i="1" s="1"/>
  <c r="S890" i="1" a="1"/>
  <c r="S890" i="1" s="1"/>
  <c r="S891" i="1" a="1"/>
  <c r="S891" i="1" s="1"/>
  <c r="S892" i="1" a="1"/>
  <c r="S892" i="1" s="1"/>
  <c r="S893" i="1" a="1"/>
  <c r="S893" i="1"/>
  <c r="S894" i="1" a="1"/>
  <c r="S894" i="1" s="1"/>
  <c r="S895" i="1" a="1"/>
  <c r="S895" i="1" s="1"/>
  <c r="S896" i="1" a="1"/>
  <c r="S896" i="1" s="1"/>
  <c r="S897" i="1" a="1"/>
  <c r="S897" i="1" s="1"/>
  <c r="S898" i="1" a="1"/>
  <c r="S898" i="1" s="1"/>
  <c r="S899" i="1" a="1"/>
  <c r="S899" i="1" s="1"/>
  <c r="S900" i="1" a="1"/>
  <c r="S900" i="1" s="1"/>
  <c r="S901" i="1" a="1"/>
  <c r="S901" i="1"/>
  <c r="S902" i="1" a="1"/>
  <c r="S902" i="1" s="1"/>
  <c r="S903" i="1" a="1"/>
  <c r="S903" i="1" s="1"/>
  <c r="S904" i="1" a="1"/>
  <c r="S904" i="1" s="1"/>
  <c r="S905" i="1" a="1"/>
  <c r="S905" i="1" s="1"/>
  <c r="S906" i="1" a="1"/>
  <c r="S906" i="1" s="1"/>
  <c r="S907" i="1" a="1"/>
  <c r="S907" i="1" s="1"/>
  <c r="S908" i="1" a="1"/>
  <c r="S908" i="1" s="1"/>
  <c r="S909" i="1" a="1"/>
  <c r="S909" i="1" s="1"/>
  <c r="S910" i="1" a="1"/>
  <c r="S910" i="1" s="1"/>
  <c r="S911" i="1" a="1"/>
  <c r="S911" i="1"/>
  <c r="S912" i="1" a="1"/>
  <c r="S912" i="1" s="1"/>
  <c r="S913" i="1" a="1"/>
  <c r="S913" i="1" s="1"/>
  <c r="S914" i="1" a="1"/>
  <c r="S914" i="1" s="1"/>
  <c r="S915" i="1" a="1"/>
  <c r="S915" i="1" s="1"/>
  <c r="S916" i="1" a="1"/>
  <c r="S916" i="1" s="1"/>
  <c r="S917" i="1" a="1"/>
  <c r="S917" i="1" s="1"/>
  <c r="S918" i="1" a="1"/>
  <c r="S918" i="1" s="1"/>
  <c r="S919" i="1" a="1"/>
  <c r="S919" i="1" s="1"/>
  <c r="S920" i="1" a="1"/>
  <c r="S920" i="1" s="1"/>
  <c r="S921" i="1" a="1"/>
  <c r="S921" i="1" s="1"/>
  <c r="S922" i="1" a="1"/>
  <c r="S922" i="1" s="1"/>
  <c r="S923" i="1" a="1"/>
  <c r="S923" i="1" s="1"/>
  <c r="S924" i="1" a="1"/>
  <c r="S924" i="1" s="1"/>
  <c r="S925" i="1" a="1"/>
  <c r="S925" i="1"/>
  <c r="S926" i="1" a="1"/>
  <c r="S926" i="1" s="1"/>
  <c r="S927" i="1" a="1"/>
  <c r="S927" i="1" s="1"/>
  <c r="S928" i="1" a="1"/>
  <c r="S928" i="1" s="1"/>
  <c r="S929" i="1" a="1"/>
  <c r="S929" i="1" s="1"/>
  <c r="S930" i="1" a="1"/>
  <c r="S930" i="1" s="1"/>
  <c r="S931" i="1" a="1"/>
  <c r="S931" i="1" s="1"/>
  <c r="S932" i="1" a="1"/>
  <c r="S932" i="1" s="1"/>
  <c r="S933" i="1" a="1"/>
  <c r="S933" i="1"/>
  <c r="S934" i="1" a="1"/>
  <c r="S934" i="1" s="1"/>
  <c r="S935" i="1" a="1"/>
  <c r="S935" i="1" s="1"/>
  <c r="S936" i="1" a="1"/>
  <c r="S936" i="1" s="1"/>
  <c r="S937" i="1" a="1"/>
  <c r="S937" i="1" s="1"/>
  <c r="S938" i="1" a="1"/>
  <c r="S938" i="1" s="1"/>
  <c r="S939" i="1" a="1"/>
  <c r="S939" i="1" s="1"/>
  <c r="S940" i="1" a="1"/>
  <c r="S940" i="1" s="1"/>
  <c r="S941" i="1" a="1"/>
  <c r="S941" i="1" s="1"/>
  <c r="S942" i="1" a="1"/>
  <c r="S942" i="1" s="1"/>
  <c r="S943" i="1" a="1"/>
  <c r="S943" i="1"/>
  <c r="S944" i="1" a="1"/>
  <c r="S944" i="1" s="1"/>
  <c r="S945" i="1" a="1"/>
  <c r="S945" i="1" s="1"/>
  <c r="S946" i="1" a="1"/>
  <c r="S946" i="1" s="1"/>
  <c r="S947" i="1" a="1"/>
  <c r="S947" i="1" s="1"/>
  <c r="S948" i="1" a="1"/>
  <c r="S948" i="1" s="1"/>
  <c r="S949" i="1" a="1"/>
  <c r="S949" i="1" s="1"/>
  <c r="S950" i="1" a="1"/>
  <c r="S950" i="1" s="1"/>
  <c r="S951" i="1" a="1"/>
  <c r="S951" i="1" s="1"/>
  <c r="S952" i="1" a="1"/>
  <c r="S952" i="1" s="1"/>
  <c r="S953" i="1" a="1"/>
  <c r="S953" i="1" s="1"/>
  <c r="S954" i="1" a="1"/>
  <c r="S954" i="1" s="1"/>
  <c r="S955" i="1" a="1"/>
  <c r="S955" i="1" s="1"/>
  <c r="S956" i="1" a="1"/>
  <c r="S956" i="1" s="1"/>
  <c r="S957" i="1" a="1"/>
  <c r="S957" i="1" s="1"/>
  <c r="S958" i="1" a="1"/>
  <c r="S958" i="1" s="1"/>
  <c r="S959" i="1" a="1"/>
  <c r="S959" i="1" s="1"/>
  <c r="S960" i="1" a="1"/>
  <c r="S960" i="1" s="1"/>
  <c r="S961" i="1" a="1"/>
  <c r="S961" i="1" s="1"/>
  <c r="S962" i="1" a="1"/>
  <c r="S962" i="1" s="1"/>
  <c r="S963" i="1" a="1"/>
  <c r="S963" i="1" s="1"/>
  <c r="S964" i="1" a="1"/>
  <c r="S964" i="1" s="1"/>
  <c r="S965" i="1" a="1"/>
  <c r="S965" i="1"/>
  <c r="S966" i="1" a="1"/>
  <c r="S966" i="1" s="1"/>
  <c r="S967" i="1" a="1"/>
  <c r="S967" i="1" s="1"/>
  <c r="S968" i="1" a="1"/>
  <c r="S968" i="1" s="1"/>
  <c r="S969" i="1" a="1"/>
  <c r="S969" i="1" s="1"/>
  <c r="S970" i="1" a="1"/>
  <c r="S970" i="1" s="1"/>
  <c r="S971" i="1" a="1"/>
  <c r="S971" i="1" s="1"/>
  <c r="S972" i="1" a="1"/>
  <c r="S972" i="1" s="1"/>
  <c r="S973" i="1" a="1"/>
  <c r="S973" i="1" s="1"/>
  <c r="S974" i="1" a="1"/>
  <c r="S974" i="1" s="1"/>
  <c r="S975" i="1" a="1"/>
  <c r="S975" i="1" s="1"/>
  <c r="S976" i="1" a="1"/>
  <c r="S976" i="1" s="1"/>
  <c r="S977" i="1" a="1"/>
  <c r="S977" i="1" s="1"/>
  <c r="S978" i="1" a="1"/>
  <c r="S978" i="1" s="1"/>
  <c r="S979" i="1" a="1"/>
  <c r="S979" i="1" s="1"/>
  <c r="S980" i="1" a="1"/>
  <c r="S980" i="1" s="1"/>
  <c r="S981" i="1" a="1"/>
  <c r="S981" i="1" s="1"/>
  <c r="S982" i="1" a="1"/>
  <c r="S982" i="1" s="1"/>
  <c r="S983" i="1" a="1"/>
  <c r="S983" i="1" s="1"/>
  <c r="S984" i="1" a="1"/>
  <c r="S984" i="1" s="1"/>
  <c r="S985" i="1" a="1"/>
  <c r="S985" i="1" s="1"/>
  <c r="S986" i="1" a="1"/>
  <c r="S986" i="1" s="1"/>
  <c r="S987" i="1" a="1"/>
  <c r="S987" i="1" s="1"/>
  <c r="S988" i="1" a="1"/>
  <c r="S988" i="1" s="1"/>
  <c r="S989" i="1" a="1"/>
  <c r="S989" i="1"/>
  <c r="S990" i="1" a="1"/>
  <c r="S990" i="1" s="1"/>
  <c r="S991" i="1" a="1"/>
  <c r="S991" i="1" s="1"/>
  <c r="S992" i="1" a="1"/>
  <c r="S992" i="1" s="1"/>
  <c r="S993" i="1" a="1"/>
  <c r="S993" i="1" s="1"/>
  <c r="S994" i="1" a="1"/>
  <c r="S994" i="1" s="1"/>
  <c r="S995" i="1" a="1"/>
  <c r="S995" i="1" s="1"/>
  <c r="S996" i="1" a="1"/>
  <c r="S996" i="1" s="1"/>
  <c r="S997" i="1" a="1"/>
  <c r="S997" i="1" s="1"/>
  <c r="S998" i="1" a="1"/>
  <c r="S998" i="1" s="1"/>
  <c r="S999" i="1" a="1"/>
  <c r="S999" i="1" s="1"/>
  <c r="S1000" i="1" a="1"/>
  <c r="S1000" i="1" s="1"/>
  <c r="S1001" i="1" a="1"/>
  <c r="S1001" i="1" s="1"/>
  <c r="S1002" i="1" a="1"/>
  <c r="S1002" i="1" s="1"/>
  <c r="S1003" i="1" a="1"/>
  <c r="S1003" i="1" s="1"/>
  <c r="S1004" i="1" a="1"/>
  <c r="S1004" i="1" s="1"/>
  <c r="S1005" i="1" a="1"/>
  <c r="S1005" i="1" s="1"/>
  <c r="S1006" i="1" a="1"/>
  <c r="S1006" i="1" s="1"/>
  <c r="S1007" i="1" a="1"/>
  <c r="S1007" i="1"/>
  <c r="S1008" i="1" a="1"/>
  <c r="S1008" i="1" s="1"/>
  <c r="S1009" i="1" a="1"/>
  <c r="S1009" i="1" s="1"/>
  <c r="S1010" i="1" a="1"/>
  <c r="S1010" i="1" s="1"/>
  <c r="S1011" i="1" a="1"/>
  <c r="S1011" i="1" s="1"/>
  <c r="S1012" i="1" a="1"/>
  <c r="S1012" i="1" s="1"/>
  <c r="S1013" i="1" a="1"/>
  <c r="S1013" i="1" s="1"/>
  <c r="S1014" i="1" a="1"/>
  <c r="S1014" i="1" s="1"/>
  <c r="S1015" i="1" a="1"/>
  <c r="S1015" i="1" s="1"/>
  <c r="S1016" i="1" a="1"/>
  <c r="S1016" i="1" s="1"/>
  <c r="S1017" i="1" a="1"/>
  <c r="S1017" i="1" s="1"/>
  <c r="S1018" i="1" a="1"/>
  <c r="S1018" i="1" s="1"/>
  <c r="S1019" i="1" a="1"/>
  <c r="S1019" i="1" s="1"/>
  <c r="S1020" i="1" a="1"/>
  <c r="S1020" i="1" s="1"/>
  <c r="S1021" i="1" a="1"/>
  <c r="S1021" i="1" s="1"/>
  <c r="S1022" i="1" a="1"/>
  <c r="S1022" i="1" s="1"/>
  <c r="S1023" i="1" a="1"/>
  <c r="S1023" i="1" s="1"/>
  <c r="S1024" i="1" a="1"/>
  <c r="S1024" i="1" s="1"/>
  <c r="S1025" i="1" a="1"/>
  <c r="S1025" i="1" s="1"/>
  <c r="S1026" i="1" a="1"/>
  <c r="S1026" i="1" s="1"/>
  <c r="S1027" i="1" a="1"/>
  <c r="S1027" i="1" s="1"/>
  <c r="S1028" i="1" a="1"/>
  <c r="S1028" i="1" s="1"/>
  <c r="S1029" i="1" a="1"/>
  <c r="S1029" i="1" s="1"/>
  <c r="S1030" i="1" a="1"/>
  <c r="S1030" i="1" s="1"/>
  <c r="S1031" i="1" a="1"/>
  <c r="S1031" i="1" s="1"/>
  <c r="S1032" i="1" a="1"/>
  <c r="S1032" i="1" s="1"/>
  <c r="S1033" i="1" a="1"/>
  <c r="S1033" i="1" s="1"/>
  <c r="S1034" i="1" a="1"/>
  <c r="S1034" i="1" s="1"/>
  <c r="S1035" i="1" a="1"/>
  <c r="S1035" i="1" s="1"/>
  <c r="S1036" i="1" a="1"/>
  <c r="S1036" i="1" s="1"/>
  <c r="S1037" i="1" a="1"/>
  <c r="S1037" i="1" s="1"/>
  <c r="S1038" i="1" a="1"/>
  <c r="S1038" i="1" s="1"/>
  <c r="S1039" i="1" a="1"/>
  <c r="S1039" i="1" s="1"/>
  <c r="S1040" i="1" a="1"/>
  <c r="S1040" i="1" s="1"/>
  <c r="S1041" i="1" a="1"/>
  <c r="S1041" i="1" s="1"/>
  <c r="S1042" i="1" a="1"/>
  <c r="S1042" i="1" s="1"/>
  <c r="S1043" i="1" a="1"/>
  <c r="S1043" i="1" s="1"/>
  <c r="S1044" i="1" a="1"/>
  <c r="S1044" i="1" s="1"/>
  <c r="S1045" i="1" a="1"/>
  <c r="S1045" i="1" s="1"/>
  <c r="S1046" i="1" a="1"/>
  <c r="S1046" i="1" s="1"/>
  <c r="S1047" i="1" a="1"/>
  <c r="S1047" i="1" s="1"/>
  <c r="S1048" i="1" a="1"/>
  <c r="S1048" i="1" s="1"/>
  <c r="S1049" i="1" a="1"/>
  <c r="S1049" i="1" s="1"/>
  <c r="S1050" i="1" a="1"/>
  <c r="S1050" i="1" s="1"/>
  <c r="S1051" i="1" a="1"/>
  <c r="S1051" i="1" s="1"/>
  <c r="S1052" i="1" a="1"/>
  <c r="S1052" i="1" s="1"/>
  <c r="S1053" i="1" a="1"/>
  <c r="S1053" i="1" s="1"/>
  <c r="S1054" i="1" a="1"/>
  <c r="S1054" i="1" s="1"/>
  <c r="S1055" i="1" a="1"/>
  <c r="S1055" i="1" s="1"/>
  <c r="S1056" i="1" a="1"/>
  <c r="S1056" i="1" s="1"/>
  <c r="S1057" i="1" a="1"/>
  <c r="S1057" i="1" s="1"/>
  <c r="S1058" i="1" a="1"/>
  <c r="S1058" i="1" s="1"/>
  <c r="S1059" i="1" a="1"/>
  <c r="S1059" i="1" s="1"/>
  <c r="S1060" i="1" a="1"/>
  <c r="S1060" i="1" s="1"/>
  <c r="S1061" i="1" a="1"/>
  <c r="S1061" i="1" s="1"/>
  <c r="S1062" i="1" a="1"/>
  <c r="S1062" i="1" s="1"/>
  <c r="S1063" i="1" a="1"/>
  <c r="S1063" i="1" s="1"/>
  <c r="S1064" i="1" a="1"/>
  <c r="S1064" i="1" s="1"/>
  <c r="S1065" i="1" a="1"/>
  <c r="S1065" i="1" s="1"/>
  <c r="S1066" i="1" a="1"/>
  <c r="S1066" i="1" s="1"/>
  <c r="S1067" i="1" a="1"/>
  <c r="S1067" i="1" s="1"/>
  <c r="S1068" i="1" a="1"/>
  <c r="S1068" i="1" s="1"/>
  <c r="S1069" i="1" a="1"/>
  <c r="S1069" i="1" s="1"/>
  <c r="S1070" i="1" a="1"/>
  <c r="S1070" i="1" s="1"/>
  <c r="S1071" i="1" a="1"/>
  <c r="S1071" i="1" s="1"/>
  <c r="S1072" i="1" a="1"/>
  <c r="S1072" i="1" s="1"/>
  <c r="S1073" i="1" a="1"/>
  <c r="S1073" i="1" s="1"/>
  <c r="S1074" i="1" a="1"/>
  <c r="S1074" i="1"/>
  <c r="S1075" i="1" a="1"/>
  <c r="S1075" i="1" s="1"/>
  <c r="S1076" i="1" a="1"/>
  <c r="S1076" i="1" s="1"/>
  <c r="S1077" i="1" a="1"/>
  <c r="S1077" i="1" s="1"/>
  <c r="S1078" i="1" a="1"/>
  <c r="S1078" i="1" s="1"/>
  <c r="S1079" i="1" a="1"/>
  <c r="S1079" i="1" s="1"/>
  <c r="S1080" i="1" a="1"/>
  <c r="S1080" i="1" s="1"/>
  <c r="S1081" i="1" a="1"/>
  <c r="S1081" i="1" s="1"/>
  <c r="S1082" i="1" a="1"/>
  <c r="S1082" i="1" s="1"/>
  <c r="S1083" i="1" a="1"/>
  <c r="S1083" i="1" s="1"/>
  <c r="S1084" i="1" a="1"/>
  <c r="S1084" i="1" s="1"/>
  <c r="S1085" i="1" a="1"/>
  <c r="S1085" i="1" s="1"/>
  <c r="S1086" i="1" a="1"/>
  <c r="S1086" i="1" s="1"/>
  <c r="S1087" i="1" a="1"/>
  <c r="S1087" i="1" s="1"/>
  <c r="S1088" i="1" a="1"/>
  <c r="S1088" i="1" s="1"/>
  <c r="S1089" i="1" a="1"/>
  <c r="S1089" i="1" s="1"/>
  <c r="S1090" i="1" a="1"/>
  <c r="S1090" i="1" s="1"/>
  <c r="S1091" i="1" a="1"/>
  <c r="S1091" i="1" s="1"/>
  <c r="S1092" i="1" a="1"/>
  <c r="S1092" i="1" s="1"/>
  <c r="S1093" i="1" a="1"/>
  <c r="S1093" i="1" s="1"/>
  <c r="S1094" i="1" a="1"/>
  <c r="S1094" i="1" s="1"/>
  <c r="S1095" i="1" a="1"/>
  <c r="S1095" i="1" s="1"/>
  <c r="S1096" i="1" a="1"/>
  <c r="S1096" i="1" s="1"/>
  <c r="S1097" i="1" a="1"/>
  <c r="S1097" i="1" s="1"/>
  <c r="S1098" i="1" a="1"/>
  <c r="S1098" i="1" s="1"/>
  <c r="S1099" i="1" a="1"/>
  <c r="S1099" i="1" s="1"/>
  <c r="S1100" i="1" a="1"/>
  <c r="S1100" i="1" s="1"/>
  <c r="S1101" i="1" a="1"/>
  <c r="S1101" i="1" s="1"/>
  <c r="S1102" i="1" a="1"/>
  <c r="S1102" i="1" s="1"/>
  <c r="S1103" i="1" a="1"/>
  <c r="S1103" i="1" s="1"/>
  <c r="S1104" i="1" a="1"/>
  <c r="S1104" i="1" s="1"/>
  <c r="S1105" i="1" a="1"/>
  <c r="S1105" i="1" s="1"/>
  <c r="S1106" i="1" a="1"/>
  <c r="S1106" i="1" s="1"/>
  <c r="S1107" i="1" a="1"/>
  <c r="S1107" i="1" s="1"/>
  <c r="S1108" i="1" a="1"/>
  <c r="S1108" i="1" s="1"/>
  <c r="S1109" i="1" a="1"/>
  <c r="S1109" i="1" s="1"/>
  <c r="S1110" i="1" a="1"/>
  <c r="S1110" i="1" s="1"/>
  <c r="S1111" i="1" a="1"/>
  <c r="S1111" i="1" s="1"/>
  <c r="S1112" i="1" a="1"/>
  <c r="S1112" i="1" s="1"/>
  <c r="S1113" i="1" a="1"/>
  <c r="S1113" i="1" s="1"/>
  <c r="S1114" i="1" a="1"/>
  <c r="S1114" i="1" s="1"/>
  <c r="S1115" i="1" a="1"/>
  <c r="S1115" i="1" s="1"/>
  <c r="S1116" i="1" a="1"/>
  <c r="S1116" i="1" s="1"/>
  <c r="S1117" i="1" a="1"/>
  <c r="S1117" i="1" s="1"/>
  <c r="S1118" i="1" a="1"/>
  <c r="S1118" i="1" s="1"/>
  <c r="S1119" i="1" a="1"/>
  <c r="S1119" i="1" s="1"/>
  <c r="S1120" i="1" a="1"/>
  <c r="S1120" i="1" s="1"/>
  <c r="S1121" i="1" a="1"/>
  <c r="S1121" i="1" s="1"/>
  <c r="S1122" i="1" a="1"/>
  <c r="S1122" i="1" s="1"/>
  <c r="S1123" i="1" a="1"/>
  <c r="S1123" i="1" s="1"/>
  <c r="S1124" i="1" a="1"/>
  <c r="S1124" i="1" s="1"/>
  <c r="S1125" i="1" a="1"/>
  <c r="S1125" i="1" s="1"/>
  <c r="S1126" i="1" a="1"/>
  <c r="S1126" i="1" s="1"/>
  <c r="S1127" i="1" a="1"/>
  <c r="S1127" i="1" s="1"/>
  <c r="S1128" i="1" a="1"/>
  <c r="S1128" i="1" s="1"/>
  <c r="S1129" i="1" a="1"/>
  <c r="S1129" i="1" s="1"/>
  <c r="S1130" i="1" a="1"/>
  <c r="S1130" i="1" s="1"/>
  <c r="S1131" i="1" a="1"/>
  <c r="S1131" i="1" s="1"/>
  <c r="S1132" i="1" a="1"/>
  <c r="S1132" i="1" s="1"/>
  <c r="S1133" i="1" a="1"/>
  <c r="S1133" i="1" s="1"/>
  <c r="S1134" i="1" a="1"/>
  <c r="S1134" i="1" s="1"/>
  <c r="S1135" i="1" a="1"/>
  <c r="S1135" i="1" s="1"/>
  <c r="S1136" i="1" a="1"/>
  <c r="S1136" i="1" s="1"/>
  <c r="S1137" i="1" a="1"/>
  <c r="S1137" i="1" s="1"/>
  <c r="S1138" i="1" a="1"/>
  <c r="S1138" i="1" s="1"/>
  <c r="S1139" i="1" a="1"/>
  <c r="S1139" i="1" s="1"/>
  <c r="S1140" i="1" a="1"/>
  <c r="S1140" i="1" s="1"/>
  <c r="S1141" i="1" a="1"/>
  <c r="S1141" i="1" s="1"/>
  <c r="S1142" i="1" a="1"/>
  <c r="S1142" i="1" s="1"/>
  <c r="S1143" i="1" a="1"/>
  <c r="S1143" i="1" s="1"/>
  <c r="S1144" i="1" a="1"/>
  <c r="S1144" i="1" s="1"/>
  <c r="S1145" i="1" a="1"/>
  <c r="S1145" i="1" s="1"/>
  <c r="S1146" i="1" a="1"/>
  <c r="S1146" i="1" s="1"/>
  <c r="S1147" i="1" a="1"/>
  <c r="S1147" i="1" s="1"/>
  <c r="S1148" i="1" a="1"/>
  <c r="S1148" i="1" s="1"/>
  <c r="S1149" i="1" a="1"/>
  <c r="S1149" i="1" s="1"/>
  <c r="S1150" i="1" a="1"/>
  <c r="S1150" i="1" s="1"/>
  <c r="S1151" i="1" a="1"/>
  <c r="S1151" i="1" s="1"/>
  <c r="S1152" i="1" a="1"/>
  <c r="S1152" i="1" s="1"/>
  <c r="S1153" i="1" a="1"/>
  <c r="S1153" i="1" s="1"/>
  <c r="S1154" i="1" a="1"/>
  <c r="S1154" i="1" s="1"/>
  <c r="S1155" i="1" a="1"/>
  <c r="S1155" i="1" s="1"/>
  <c r="S1156" i="1" a="1"/>
  <c r="S1156" i="1" s="1"/>
  <c r="S1157" i="1" a="1"/>
  <c r="S1157" i="1" s="1"/>
  <c r="S1158" i="1" a="1"/>
  <c r="S1158" i="1" s="1"/>
  <c r="S1159" i="1" a="1"/>
  <c r="S1159" i="1" s="1"/>
  <c r="S1160" i="1" a="1"/>
  <c r="S1160" i="1" s="1"/>
  <c r="S1161" i="1" a="1"/>
  <c r="S1161" i="1" s="1"/>
  <c r="S1162" i="1" a="1"/>
  <c r="S1162" i="1" s="1"/>
  <c r="S1163" i="1" a="1"/>
  <c r="S1163" i="1" s="1"/>
  <c r="S1164" i="1" a="1"/>
  <c r="S1164" i="1" s="1"/>
  <c r="S1165" i="1" a="1"/>
  <c r="S1165" i="1" s="1"/>
  <c r="S1166" i="1" a="1"/>
  <c r="S1166" i="1" s="1"/>
  <c r="S1167" i="1" a="1"/>
  <c r="S1167" i="1" s="1"/>
  <c r="S1168" i="1" a="1"/>
  <c r="S1168" i="1" s="1"/>
  <c r="S1169" i="1" a="1"/>
  <c r="S1169" i="1" s="1"/>
  <c r="S1170" i="1" a="1"/>
  <c r="S1170" i="1" s="1"/>
  <c r="S1171" i="1" a="1"/>
  <c r="S1171" i="1" s="1"/>
  <c r="S1172" i="1" a="1"/>
  <c r="S1172" i="1" s="1"/>
  <c r="S1173" i="1" a="1"/>
  <c r="S1173" i="1" s="1"/>
  <c r="S1174" i="1" a="1"/>
  <c r="S1174" i="1" s="1"/>
  <c r="S1175" i="1" a="1"/>
  <c r="S1175" i="1" s="1"/>
  <c r="S1176" i="1" a="1"/>
  <c r="S1176" i="1" s="1"/>
  <c r="S1177" i="1" a="1"/>
  <c r="S1177" i="1" s="1"/>
  <c r="S1178" i="1" a="1"/>
  <c r="S1178" i="1" s="1"/>
  <c r="S1179" i="1" a="1"/>
  <c r="S1179" i="1" s="1"/>
  <c r="S1180" i="1" a="1"/>
  <c r="S1180" i="1" s="1"/>
  <c r="S1181" i="1" a="1"/>
  <c r="S1181" i="1" s="1"/>
  <c r="S1182" i="1" a="1"/>
  <c r="S1182" i="1" s="1"/>
  <c r="S1183" i="1" a="1"/>
  <c r="S1183" i="1" s="1"/>
  <c r="S1184" i="1" a="1"/>
  <c r="S1184" i="1" s="1"/>
  <c r="S1185" i="1" a="1"/>
  <c r="S1185" i="1" s="1"/>
  <c r="S1186" i="1" a="1"/>
  <c r="S1186" i="1" s="1"/>
  <c r="S1187" i="1" a="1"/>
  <c r="S1187" i="1" s="1"/>
  <c r="S1188" i="1" a="1"/>
  <c r="S1188" i="1" s="1"/>
  <c r="S1189" i="1" a="1"/>
  <c r="S1189" i="1" s="1"/>
  <c r="S1190" i="1" a="1"/>
  <c r="S1190" i="1" s="1"/>
  <c r="S1191" i="1" a="1"/>
  <c r="S1191" i="1" s="1"/>
  <c r="S1192" i="1" a="1"/>
  <c r="S1192" i="1" s="1"/>
  <c r="S1193" i="1" a="1"/>
  <c r="S1193" i="1" s="1"/>
  <c r="S1194" i="1" a="1"/>
  <c r="S1194" i="1" s="1"/>
  <c r="S1195" i="1" a="1"/>
  <c r="S1195" i="1" s="1"/>
  <c r="S1196" i="1" a="1"/>
  <c r="S1196" i="1" s="1"/>
  <c r="S1197" i="1" a="1"/>
  <c r="S1197" i="1" s="1"/>
  <c r="S1198" i="1" a="1"/>
  <c r="S1198" i="1" s="1"/>
  <c r="S1199" i="1" a="1"/>
  <c r="S1199" i="1" s="1"/>
  <c r="S1200" i="1" a="1"/>
  <c r="S1200" i="1" s="1"/>
  <c r="S1201" i="1" a="1"/>
  <c r="S1201" i="1" s="1"/>
  <c r="S1202" i="1" a="1"/>
  <c r="S1202" i="1" s="1"/>
  <c r="S1203" i="1" a="1"/>
  <c r="S1203" i="1" s="1"/>
  <c r="S1204" i="1" a="1"/>
  <c r="S1204" i="1" s="1"/>
  <c r="S1205" i="1" a="1"/>
  <c r="S1205" i="1" s="1"/>
  <c r="S1206" i="1" a="1"/>
  <c r="S1206" i="1" s="1"/>
  <c r="S1207" i="1" a="1"/>
  <c r="S1207" i="1" s="1"/>
  <c r="S1208" i="1" a="1"/>
  <c r="S1208" i="1" s="1"/>
  <c r="S1209" i="1" a="1"/>
  <c r="S1209" i="1" s="1"/>
  <c r="S1210" i="1" a="1"/>
  <c r="S1210" i="1" s="1"/>
  <c r="S1211" i="1" a="1"/>
  <c r="S1211" i="1" s="1"/>
  <c r="S1212" i="1" a="1"/>
  <c r="S1212" i="1" s="1"/>
  <c r="S1213" i="1" a="1"/>
  <c r="S1213" i="1" s="1"/>
  <c r="S1214" i="1" a="1"/>
  <c r="S1214" i="1" s="1"/>
  <c r="S1215" i="1" a="1"/>
  <c r="S1215" i="1" s="1"/>
  <c r="S1216" i="1" a="1"/>
  <c r="S1216" i="1" s="1"/>
  <c r="S1217" i="1" a="1"/>
  <c r="S1217" i="1" s="1"/>
  <c r="S1218" i="1" a="1"/>
  <c r="S1218" i="1" s="1"/>
  <c r="S1219" i="1" a="1"/>
  <c r="S1219" i="1" s="1"/>
  <c r="S1220" i="1" a="1"/>
  <c r="S1220" i="1" s="1"/>
  <c r="S1221" i="1" a="1"/>
  <c r="S1221" i="1" s="1"/>
  <c r="S1222" i="1" a="1"/>
  <c r="S1222" i="1" s="1"/>
  <c r="S1223" i="1" a="1"/>
  <c r="S1223" i="1" s="1"/>
  <c r="S1224" i="1" a="1"/>
  <c r="S1224" i="1" s="1"/>
  <c r="S1225" i="1" a="1"/>
  <c r="S1225" i="1" s="1"/>
  <c r="S1226" i="1" a="1"/>
  <c r="S1226" i="1" s="1"/>
  <c r="S1227" i="1" a="1"/>
  <c r="S1227" i="1" s="1"/>
  <c r="S1228" i="1" a="1"/>
  <c r="S1228" i="1" s="1"/>
  <c r="S1229" i="1" a="1"/>
  <c r="S1229" i="1" s="1"/>
  <c r="S1230" i="1" a="1"/>
  <c r="S1230" i="1" s="1"/>
  <c r="S1231" i="1" a="1"/>
  <c r="S1231" i="1" s="1"/>
  <c r="S1232" i="1" a="1"/>
  <c r="S1232" i="1" s="1"/>
  <c r="S1233" i="1" a="1"/>
  <c r="S1233" i="1" s="1"/>
  <c r="S1234" i="1" a="1"/>
  <c r="S1234" i="1" s="1"/>
  <c r="S1235" i="1" a="1"/>
  <c r="S1235" i="1" s="1"/>
  <c r="S1236" i="1" a="1"/>
  <c r="S1236" i="1" s="1"/>
  <c r="S1237" i="1" a="1"/>
  <c r="S1237" i="1" s="1"/>
  <c r="S1238" i="1" a="1"/>
  <c r="S1238" i="1"/>
  <c r="S1239" i="1" a="1"/>
  <c r="S1239" i="1" s="1"/>
  <c r="S1240" i="1" a="1"/>
  <c r="S1240" i="1" s="1"/>
  <c r="S1241" i="1" a="1"/>
  <c r="S1241" i="1" s="1"/>
  <c r="S1242" i="1" a="1"/>
  <c r="S1242" i="1" s="1"/>
  <c r="S1243" i="1" a="1"/>
  <c r="S1243" i="1" s="1"/>
  <c r="S1244" i="1" a="1"/>
  <c r="S1244" i="1" s="1"/>
  <c r="S1245" i="1" a="1"/>
  <c r="S1245" i="1" s="1"/>
  <c r="S1246" i="1" a="1"/>
  <c r="S1246" i="1" s="1"/>
  <c r="S1247" i="1" a="1"/>
  <c r="S1247" i="1" s="1"/>
  <c r="S1248" i="1" a="1"/>
  <c r="S1248" i="1" s="1"/>
  <c r="S1249" i="1" a="1"/>
  <c r="S1249" i="1" s="1"/>
  <c r="S1250" i="1" a="1"/>
  <c r="S1250" i="1" s="1"/>
  <c r="S1251" i="1" a="1"/>
  <c r="S1251" i="1" s="1"/>
  <c r="S1252" i="1" a="1"/>
  <c r="S1252" i="1" s="1"/>
  <c r="S1253" i="1" a="1"/>
  <c r="S1253" i="1" s="1"/>
  <c r="S1254" i="1" a="1"/>
  <c r="S1254" i="1" s="1"/>
  <c r="S1255" i="1" a="1"/>
  <c r="S1255" i="1" s="1"/>
  <c r="S1256" i="1" a="1"/>
  <c r="S1256" i="1" s="1"/>
  <c r="S1257" i="1" a="1"/>
  <c r="S1257" i="1" s="1"/>
  <c r="S1258" i="1" a="1"/>
  <c r="S1258" i="1" s="1"/>
  <c r="S1259" i="1" a="1"/>
  <c r="S1259" i="1" s="1"/>
  <c r="S1260" i="1" a="1"/>
  <c r="S1260" i="1" s="1"/>
  <c r="S1261" i="1" a="1"/>
  <c r="S1261" i="1" s="1"/>
  <c r="S1262" i="1" a="1"/>
  <c r="S1262" i="1" s="1"/>
  <c r="S1263" i="1" a="1"/>
  <c r="S1263" i="1" s="1"/>
  <c r="S1264" i="1" a="1"/>
  <c r="S1264" i="1" s="1"/>
  <c r="S1265" i="1" a="1"/>
  <c r="S1265" i="1" s="1"/>
  <c r="S1266" i="1" a="1"/>
  <c r="S1266" i="1" s="1"/>
  <c r="S1267" i="1" a="1"/>
  <c r="S1267" i="1" s="1"/>
  <c r="S1268" i="1" a="1"/>
  <c r="S1268" i="1" s="1"/>
  <c r="S1269" i="1" a="1"/>
  <c r="S1269" i="1" s="1"/>
  <c r="S1270" i="1" a="1"/>
  <c r="S1270" i="1" s="1"/>
  <c r="S1271" i="1" a="1"/>
  <c r="S1271" i="1" s="1"/>
  <c r="S1272" i="1" a="1"/>
  <c r="S1272" i="1" s="1"/>
  <c r="S1273" i="1" a="1"/>
  <c r="S1273" i="1" s="1"/>
  <c r="S1274" i="1" a="1"/>
  <c r="S1274" i="1" s="1"/>
  <c r="S1275" i="1" a="1"/>
  <c r="S1275" i="1" s="1"/>
  <c r="S1276" i="1" a="1"/>
  <c r="S1276" i="1" s="1"/>
  <c r="S1277" i="1" a="1"/>
  <c r="S1277" i="1" s="1"/>
  <c r="S1278" i="1" a="1"/>
  <c r="S1278" i="1" s="1"/>
  <c r="S1279" i="1" a="1"/>
  <c r="S1279" i="1" s="1"/>
  <c r="S1280" i="1" a="1"/>
  <c r="S1280" i="1" s="1"/>
  <c r="S1281" i="1" a="1"/>
  <c r="S1281" i="1" s="1"/>
  <c r="S1282" i="1" a="1"/>
  <c r="S1282" i="1" s="1"/>
  <c r="S1283" i="1" a="1"/>
  <c r="S1283" i="1" s="1"/>
  <c r="S1284" i="1" a="1"/>
  <c r="S1284" i="1" s="1"/>
  <c r="S1285" i="1" a="1"/>
  <c r="S1285" i="1" s="1"/>
  <c r="S1286" i="1" a="1"/>
  <c r="S1286" i="1" s="1"/>
  <c r="S1287" i="1" a="1"/>
  <c r="S1287" i="1" s="1"/>
  <c r="S1288" i="1" a="1"/>
  <c r="S1288" i="1" s="1"/>
  <c r="S1289" i="1" a="1"/>
  <c r="S1289" i="1" s="1"/>
  <c r="S1290" i="1" a="1"/>
  <c r="S1290" i="1" s="1"/>
  <c r="S1291" i="1" a="1"/>
  <c r="S1291" i="1" s="1"/>
  <c r="S1292" i="1" a="1"/>
  <c r="S1292" i="1" s="1"/>
  <c r="S1293" i="1" a="1"/>
  <c r="S1293" i="1" s="1"/>
  <c r="S1294" i="1" a="1"/>
  <c r="S1294" i="1" s="1"/>
  <c r="S1295" i="1" a="1"/>
  <c r="S1295" i="1" s="1"/>
  <c r="S1296" i="1" a="1"/>
  <c r="S1296" i="1" s="1"/>
  <c r="S1297" i="1" a="1"/>
  <c r="S1297" i="1" s="1"/>
  <c r="S1298" i="1" a="1"/>
  <c r="S1298" i="1" s="1"/>
  <c r="S1299" i="1" a="1"/>
  <c r="S1299" i="1" s="1"/>
  <c r="S1300" i="1" a="1"/>
  <c r="S1300" i="1" s="1"/>
  <c r="S1301" i="1" a="1"/>
  <c r="S1301" i="1" s="1"/>
  <c r="S1302" i="1" a="1"/>
  <c r="S1302" i="1" s="1"/>
  <c r="S1303" i="1" a="1"/>
  <c r="S1303" i="1" s="1"/>
  <c r="S1304" i="1" a="1"/>
  <c r="S1304" i="1" s="1"/>
  <c r="S1305" i="1" a="1"/>
  <c r="S1305" i="1" s="1"/>
  <c r="S1306" i="1" a="1"/>
  <c r="S1306" i="1" s="1"/>
  <c r="S1307" i="1" a="1"/>
  <c r="S1307" i="1" s="1"/>
  <c r="S1308" i="1" a="1"/>
  <c r="S1308" i="1" s="1"/>
  <c r="S1309" i="1" a="1"/>
  <c r="S1309" i="1" s="1"/>
  <c r="S1310" i="1" a="1"/>
  <c r="S1310" i="1"/>
  <c r="S1311" i="1" a="1"/>
  <c r="S1311" i="1" s="1"/>
  <c r="S1312" i="1" a="1"/>
  <c r="S1312" i="1" s="1"/>
  <c r="S1313" i="1" a="1"/>
  <c r="S1313" i="1" s="1"/>
  <c r="S1314" i="1" a="1"/>
  <c r="S1314" i="1" s="1"/>
  <c r="S1315" i="1" a="1"/>
  <c r="S1315" i="1" s="1"/>
  <c r="S1316" i="1" a="1"/>
  <c r="S1316" i="1" s="1"/>
  <c r="S1317" i="1" a="1"/>
  <c r="S1317" i="1" s="1"/>
  <c r="S1318" i="1" a="1"/>
  <c r="S1318" i="1" s="1"/>
  <c r="S1319" i="1" a="1"/>
  <c r="S1319" i="1" s="1"/>
  <c r="S1320" i="1" a="1"/>
  <c r="S1320" i="1" s="1"/>
  <c r="S1321" i="1" a="1"/>
  <c r="S1321" i="1" s="1"/>
  <c r="S1322" i="1" a="1"/>
  <c r="S1322" i="1" s="1"/>
  <c r="S1323" i="1" a="1"/>
  <c r="S1323" i="1" s="1"/>
  <c r="S1324" i="1" a="1"/>
  <c r="S1324" i="1" s="1"/>
  <c r="S1325" i="1" a="1"/>
  <c r="S1325" i="1" s="1"/>
  <c r="S1326" i="1" a="1"/>
  <c r="S1326" i="1" s="1"/>
  <c r="S1327" i="1" a="1"/>
  <c r="S1327" i="1" s="1"/>
  <c r="S1328" i="1" a="1"/>
  <c r="S1328" i="1" s="1"/>
  <c r="S1329" i="1" a="1"/>
  <c r="S1329" i="1" s="1"/>
  <c r="S1330" i="1" a="1"/>
  <c r="S1330" i="1" s="1"/>
  <c r="S1331" i="1" a="1"/>
  <c r="S1331" i="1" s="1"/>
  <c r="S1332" i="1" a="1"/>
  <c r="S1332" i="1" s="1"/>
  <c r="S1333" i="1" a="1"/>
  <c r="S1333" i="1" s="1"/>
  <c r="S1334" i="1" a="1"/>
  <c r="S1334" i="1" s="1"/>
  <c r="S1335" i="1" a="1"/>
  <c r="S1335" i="1" s="1"/>
  <c r="S1336" i="1" a="1"/>
  <c r="S1336" i="1" s="1"/>
  <c r="S1337" i="1" a="1"/>
  <c r="S1337" i="1" s="1"/>
  <c r="S1338" i="1" a="1"/>
  <c r="S1338" i="1" s="1"/>
  <c r="S1339" i="1" a="1"/>
  <c r="S1339" i="1" s="1"/>
  <c r="S1340" i="1" a="1"/>
  <c r="S1340" i="1" s="1"/>
  <c r="S1341" i="1" a="1"/>
  <c r="S1341" i="1" s="1"/>
  <c r="S1342" i="1" a="1"/>
  <c r="S1342" i="1" s="1"/>
  <c r="S1343" i="1" a="1"/>
  <c r="S1343" i="1" s="1"/>
  <c r="S1344" i="1" a="1"/>
  <c r="S1344" i="1" s="1"/>
  <c r="S1345" i="1" a="1"/>
  <c r="S1345" i="1" s="1"/>
  <c r="S1346" i="1" a="1"/>
  <c r="S1346" i="1" s="1"/>
  <c r="S1347" i="1" a="1"/>
  <c r="S1347" i="1" s="1"/>
  <c r="S1348" i="1" a="1"/>
  <c r="S1348" i="1" s="1"/>
  <c r="S1349" i="1" a="1"/>
  <c r="S1349" i="1" s="1"/>
  <c r="S1350" i="1" a="1"/>
  <c r="S1350" i="1" s="1"/>
  <c r="S1351" i="1" a="1"/>
  <c r="S1351" i="1" s="1"/>
  <c r="S1352" i="1" a="1"/>
  <c r="S1352" i="1" s="1"/>
  <c r="S1353" i="1" a="1"/>
  <c r="S1353" i="1" s="1"/>
  <c r="S1354" i="1" a="1"/>
  <c r="S1354" i="1" s="1"/>
  <c r="S1355" i="1" a="1"/>
  <c r="S1355" i="1" s="1"/>
  <c r="S1356" i="1" a="1"/>
  <c r="S1356" i="1" s="1"/>
  <c r="S1357" i="1" a="1"/>
  <c r="S1357" i="1" s="1"/>
  <c r="S1358" i="1" a="1"/>
  <c r="S1358" i="1" s="1"/>
  <c r="S1359" i="1" a="1"/>
  <c r="S1359" i="1" s="1"/>
  <c r="S1360" i="1" a="1"/>
  <c r="S1360" i="1" s="1"/>
  <c r="S1361" i="1" a="1"/>
  <c r="S1361" i="1"/>
  <c r="S1362" i="1" a="1"/>
  <c r="S1362" i="1" s="1"/>
  <c r="S1363" i="1" a="1"/>
  <c r="S1363" i="1" s="1"/>
  <c r="S1364" i="1" a="1"/>
  <c r="S1364" i="1" s="1"/>
  <c r="S1365" i="1" a="1"/>
  <c r="S1365" i="1" s="1"/>
  <c r="S1366" i="1" a="1"/>
  <c r="S1366" i="1" s="1"/>
  <c r="S1367" i="1" a="1"/>
  <c r="S1367" i="1" s="1"/>
  <c r="S1368" i="1" a="1"/>
  <c r="S1368" i="1" s="1"/>
  <c r="S1369" i="1" a="1"/>
  <c r="S1369" i="1" s="1"/>
  <c r="S1370" i="1" a="1"/>
  <c r="S1370" i="1" s="1"/>
  <c r="S1371" i="1" a="1"/>
  <c r="S1371" i="1" s="1"/>
  <c r="S1372" i="1" a="1"/>
  <c r="S1372" i="1" s="1"/>
  <c r="S1373" i="1" a="1"/>
  <c r="S1373" i="1" s="1"/>
  <c r="S1374" i="1" a="1"/>
  <c r="S1374" i="1" s="1"/>
  <c r="S1375" i="1" a="1"/>
  <c r="S1375" i="1" s="1"/>
  <c r="S1376" i="1" a="1"/>
  <c r="S1376" i="1" s="1"/>
  <c r="S1377" i="1" a="1"/>
  <c r="S1377" i="1" s="1"/>
  <c r="S1378" i="1" a="1"/>
  <c r="S1378" i="1" s="1"/>
  <c r="S1379" i="1" a="1"/>
  <c r="S1379" i="1" s="1"/>
  <c r="S1380" i="1" a="1"/>
  <c r="S1380" i="1" s="1"/>
  <c r="S1381" i="1" a="1"/>
  <c r="S1381" i="1" s="1"/>
  <c r="S1382" i="1" a="1"/>
  <c r="S1382" i="1" s="1"/>
  <c r="S1383" i="1" a="1"/>
  <c r="S1383" i="1" s="1"/>
  <c r="S1384" i="1" a="1"/>
  <c r="S1384" i="1" s="1"/>
  <c r="S1385" i="1" a="1"/>
  <c r="S1385" i="1" s="1"/>
  <c r="S1386" i="1" a="1"/>
  <c r="S1386" i="1" s="1"/>
  <c r="S1387" i="1" a="1"/>
  <c r="S1387" i="1"/>
  <c r="S1388" i="1" a="1"/>
  <c r="S1388" i="1" s="1"/>
  <c r="S1389" i="1" a="1"/>
  <c r="S1389" i="1" s="1"/>
  <c r="S1390" i="1" a="1"/>
  <c r="S1390" i="1" s="1"/>
  <c r="S1391" i="1" a="1"/>
  <c r="S1391" i="1" s="1"/>
  <c r="S1392" i="1" a="1"/>
  <c r="S1392" i="1" s="1"/>
  <c r="S1393" i="1" a="1"/>
  <c r="S1393" i="1" s="1"/>
  <c r="S1394" i="1" a="1"/>
  <c r="S1394" i="1" s="1"/>
  <c r="S1395" i="1" a="1"/>
  <c r="S1395" i="1" s="1"/>
  <c r="S1396" i="1" a="1"/>
  <c r="S1396" i="1" s="1"/>
  <c r="S1397" i="1" a="1"/>
  <c r="S1397" i="1" s="1"/>
  <c r="S1398" i="1" a="1"/>
  <c r="S1398" i="1" s="1"/>
  <c r="S1399" i="1" a="1"/>
  <c r="S1399" i="1" s="1"/>
  <c r="S1400" i="1" a="1"/>
  <c r="S1400" i="1" s="1"/>
  <c r="S1401" i="1" a="1"/>
  <c r="S1401" i="1" s="1"/>
  <c r="S1402" i="1" a="1"/>
  <c r="S1402" i="1" s="1"/>
  <c r="S1403" i="1" a="1"/>
  <c r="S1403" i="1" s="1"/>
  <c r="S1404" i="1" a="1"/>
  <c r="S1404" i="1" s="1"/>
  <c r="S1405" i="1" a="1"/>
  <c r="S1405" i="1" s="1"/>
  <c r="S1406" i="1" a="1"/>
  <c r="S1406" i="1" s="1"/>
  <c r="S1407" i="1" a="1"/>
  <c r="S1407" i="1" s="1"/>
  <c r="S1408" i="1" a="1"/>
  <c r="S1408" i="1" s="1"/>
  <c r="S1409" i="1" a="1"/>
  <c r="S1409" i="1" s="1"/>
  <c r="S1410" i="1" a="1"/>
  <c r="S1410" i="1" s="1"/>
  <c r="S1411" i="1" a="1"/>
  <c r="S1411" i="1" s="1"/>
  <c r="S1412" i="1" a="1"/>
  <c r="S1412" i="1" s="1"/>
  <c r="S1413" i="1" a="1"/>
  <c r="S1413" i="1" s="1"/>
  <c r="S1414" i="1" a="1"/>
  <c r="S1414" i="1" s="1"/>
  <c r="S1415" i="1" a="1"/>
  <c r="S1415" i="1" s="1"/>
  <c r="S1416" i="1" a="1"/>
  <c r="S1416" i="1" s="1"/>
  <c r="S1417" i="1" a="1"/>
  <c r="S1417" i="1" s="1"/>
  <c r="S1418" i="1" a="1"/>
  <c r="S1418" i="1" s="1"/>
  <c r="S1419" i="1" a="1"/>
  <c r="S1419" i="1" s="1"/>
  <c r="S1420" i="1" a="1"/>
  <c r="S1420" i="1" s="1"/>
  <c r="S1421" i="1" a="1"/>
  <c r="S1421" i="1" s="1"/>
  <c r="S1422" i="1" a="1"/>
  <c r="S1422" i="1" s="1"/>
  <c r="S1423" i="1" a="1"/>
  <c r="S1423" i="1" s="1"/>
  <c r="S1424" i="1" a="1"/>
  <c r="S1424" i="1" s="1"/>
  <c r="S1425" i="1" a="1"/>
  <c r="S1425" i="1" s="1"/>
  <c r="S1426" i="1" a="1"/>
  <c r="S1426" i="1" s="1"/>
  <c r="S1427" i="1" a="1"/>
  <c r="S1427" i="1"/>
  <c r="S1428" i="1" a="1"/>
  <c r="S1428" i="1" s="1"/>
  <c r="S1429" i="1" a="1"/>
  <c r="S1429" i="1" s="1"/>
  <c r="S1430" i="1" a="1"/>
  <c r="S1430" i="1" s="1"/>
  <c r="S1431" i="1" a="1"/>
  <c r="S1431" i="1" s="1"/>
  <c r="S1432" i="1" a="1"/>
  <c r="S1432" i="1" s="1"/>
  <c r="S1433" i="1" a="1"/>
  <c r="S1433" i="1" s="1"/>
  <c r="S1434" i="1" a="1"/>
  <c r="S1434" i="1" s="1"/>
  <c r="S1435" i="1" a="1"/>
  <c r="S1435" i="1" s="1"/>
  <c r="S1436" i="1" a="1"/>
  <c r="S1436" i="1" s="1"/>
  <c r="S1437" i="1" a="1"/>
  <c r="S1437" i="1" s="1"/>
  <c r="S1438" i="1" a="1"/>
  <c r="S1438" i="1" s="1"/>
  <c r="S1439" i="1" a="1"/>
  <c r="S1439" i="1" s="1"/>
  <c r="S1440" i="1" a="1"/>
  <c r="S1440" i="1" s="1"/>
  <c r="S1441" i="1" a="1"/>
  <c r="S1441" i="1" s="1"/>
  <c r="S1442" i="1" a="1"/>
  <c r="S1442" i="1" s="1"/>
  <c r="S1443" i="1" a="1"/>
  <c r="S1443" i="1" s="1"/>
  <c r="S1444" i="1" a="1"/>
  <c r="S1444" i="1" s="1"/>
  <c r="S1445" i="1" a="1"/>
  <c r="S1445" i="1" s="1"/>
  <c r="S1446" i="1" a="1"/>
  <c r="S1446" i="1" s="1"/>
  <c r="S1447" i="1" a="1"/>
  <c r="S1447" i="1" s="1"/>
  <c r="S1448" i="1" a="1"/>
  <c r="S1448" i="1" s="1"/>
  <c r="S1449" i="1" a="1"/>
  <c r="S1449" i="1" s="1"/>
  <c r="S1450" i="1" a="1"/>
  <c r="S1450" i="1" s="1"/>
  <c r="S1451" i="1" a="1"/>
  <c r="S1451" i="1" s="1"/>
  <c r="S1452" i="1" a="1"/>
  <c r="S1452" i="1" s="1"/>
  <c r="S1453" i="1" a="1"/>
  <c r="S1453" i="1" s="1"/>
  <c r="S1454" i="1" a="1"/>
  <c r="S1454" i="1" s="1"/>
  <c r="S1455" i="1" a="1"/>
  <c r="S1455" i="1" s="1"/>
  <c r="S1456" i="1" a="1"/>
  <c r="S1456" i="1" s="1"/>
  <c r="S1457" i="1" a="1"/>
  <c r="S1457" i="1" s="1"/>
  <c r="S1458" i="1" a="1"/>
  <c r="S1458" i="1" s="1"/>
  <c r="S1459" i="1" a="1"/>
  <c r="S1459" i="1" s="1"/>
  <c r="S1460" i="1" a="1"/>
  <c r="S1460" i="1" s="1"/>
  <c r="S1461" i="1" a="1"/>
  <c r="S1461" i="1" s="1"/>
  <c r="S1462" i="1" a="1"/>
  <c r="S1462" i="1" s="1"/>
  <c r="S1463" i="1" a="1"/>
  <c r="S1463" i="1" s="1"/>
  <c r="S1464" i="1" a="1"/>
  <c r="S1464" i="1" s="1"/>
  <c r="S1465" i="1" a="1"/>
  <c r="S1465" i="1" s="1"/>
  <c r="S1466" i="1" a="1"/>
  <c r="S1466" i="1" s="1"/>
  <c r="S1467" i="1" a="1"/>
  <c r="S1467" i="1" s="1"/>
  <c r="S1468" i="1" a="1"/>
  <c r="S1468" i="1" s="1"/>
  <c r="S1469" i="1" a="1"/>
  <c r="S1469" i="1" s="1"/>
  <c r="S1470" i="1" a="1"/>
  <c r="S1470" i="1" s="1"/>
  <c r="S1471" i="1" a="1"/>
  <c r="S1471" i="1" s="1"/>
  <c r="S1472" i="1" a="1"/>
  <c r="S1472" i="1" s="1"/>
  <c r="S1473" i="1" a="1"/>
  <c r="S1473" i="1" s="1"/>
  <c r="S1474" i="1" a="1"/>
  <c r="S1474" i="1" s="1"/>
  <c r="S1475" i="1" a="1"/>
  <c r="S1475" i="1" s="1"/>
  <c r="S1476" i="1" a="1"/>
  <c r="S1476" i="1" s="1"/>
  <c r="S1477" i="1" a="1"/>
  <c r="S1477" i="1" s="1"/>
  <c r="S1478" i="1" a="1"/>
  <c r="S1478" i="1" s="1"/>
  <c r="S1479" i="1" a="1"/>
  <c r="S1479" i="1" s="1"/>
  <c r="S1480" i="1" a="1"/>
  <c r="S1480" i="1" s="1"/>
  <c r="S1481" i="1" a="1"/>
  <c r="S1481" i="1" s="1"/>
  <c r="S1482" i="1" a="1"/>
  <c r="S1482" i="1" s="1"/>
  <c r="S1483" i="1" a="1"/>
  <c r="S1483" i="1" s="1"/>
  <c r="S1484" i="1" a="1"/>
  <c r="S1484" i="1" s="1"/>
  <c r="S1485" i="1" a="1"/>
  <c r="S1485" i="1" s="1"/>
  <c r="S1486" i="1" a="1"/>
  <c r="S1486" i="1" s="1"/>
  <c r="S1487" i="1" a="1"/>
  <c r="S1487" i="1" s="1"/>
  <c r="S1488" i="1" a="1"/>
  <c r="S1488" i="1" s="1"/>
  <c r="S1489" i="1" a="1"/>
  <c r="S1489" i="1" s="1"/>
  <c r="S1490" i="1" a="1"/>
  <c r="S1490" i="1" s="1"/>
  <c r="S1491" i="1" a="1"/>
  <c r="S1491" i="1" s="1"/>
  <c r="S1492" i="1" a="1"/>
  <c r="S1492" i="1" s="1"/>
  <c r="S1493" i="1" a="1"/>
  <c r="S1493" i="1" s="1"/>
  <c r="S1494" i="1" a="1"/>
  <c r="S1494" i="1" s="1"/>
  <c r="S1495" i="1" a="1"/>
  <c r="S1495" i="1" s="1"/>
  <c r="S1496" i="1" a="1"/>
  <c r="S1496" i="1" s="1"/>
  <c r="S1497" i="1" a="1"/>
  <c r="S1497" i="1" s="1"/>
  <c r="S1498" i="1" a="1"/>
  <c r="S1498" i="1" s="1"/>
  <c r="S1499" i="1" a="1"/>
  <c r="S1499" i="1" s="1"/>
  <c r="S1500" i="1" a="1"/>
  <c r="S1500" i="1" s="1"/>
  <c r="S1501" i="1" a="1"/>
  <c r="S1501" i="1" s="1"/>
  <c r="S1502" i="1" a="1"/>
  <c r="S1502" i="1" s="1"/>
  <c r="S1503" i="1" a="1"/>
  <c r="S1503" i="1" s="1"/>
  <c r="S1504" i="1" a="1"/>
  <c r="S1504" i="1" s="1"/>
  <c r="S1505" i="1" a="1"/>
  <c r="S1505" i="1" s="1"/>
  <c r="S1506" i="1" a="1"/>
  <c r="S1506" i="1" s="1"/>
  <c r="S1507" i="1" a="1"/>
  <c r="S1507" i="1" s="1"/>
  <c r="S1508" i="1" a="1"/>
  <c r="S1508" i="1" s="1"/>
  <c r="S1509" i="1" a="1"/>
  <c r="S1509" i="1" s="1"/>
  <c r="S1510" i="1" a="1"/>
  <c r="S1510" i="1" s="1"/>
  <c r="S1511" i="1" a="1"/>
  <c r="S1511" i="1" s="1"/>
  <c r="S1512" i="1" a="1"/>
  <c r="S1512" i="1" s="1"/>
  <c r="S1513" i="1" a="1"/>
  <c r="S1513" i="1" s="1"/>
  <c r="S1514" i="1" a="1"/>
  <c r="S1514" i="1" s="1"/>
  <c r="S1515" i="1" a="1"/>
  <c r="S1515" i="1" s="1"/>
  <c r="S1516" i="1" a="1"/>
  <c r="S1516" i="1" s="1"/>
  <c r="S1517" i="1" a="1"/>
  <c r="S1517" i="1" s="1"/>
  <c r="S1518" i="1" a="1"/>
  <c r="S1518" i="1" s="1"/>
  <c r="S1519" i="1" a="1"/>
  <c r="S1519" i="1" s="1"/>
  <c r="S1520" i="1" a="1"/>
  <c r="S1520" i="1" s="1"/>
  <c r="S1521" i="1" a="1"/>
  <c r="S1521" i="1" s="1"/>
  <c r="S1522" i="1" a="1"/>
  <c r="S1522" i="1" s="1"/>
  <c r="S1523" i="1" a="1"/>
  <c r="S1523" i="1" s="1"/>
  <c r="S1524" i="1" a="1"/>
  <c r="S1524" i="1" s="1"/>
  <c r="S1525" i="1" a="1"/>
  <c r="S1525" i="1" s="1"/>
  <c r="S1526" i="1" a="1"/>
  <c r="S1526" i="1" s="1"/>
  <c r="S1527" i="1" a="1"/>
  <c r="S1527" i="1" s="1"/>
  <c r="S1528" i="1" a="1"/>
  <c r="S1528" i="1" s="1"/>
  <c r="S1529" i="1" a="1"/>
  <c r="S1529" i="1" s="1"/>
  <c r="S1530" i="1" a="1"/>
  <c r="S1530" i="1" s="1"/>
  <c r="S1531" i="1" a="1"/>
  <c r="S1531" i="1" s="1"/>
  <c r="S1532" i="1" a="1"/>
  <c r="S1532" i="1" s="1"/>
  <c r="S1533" i="1" a="1"/>
  <c r="S1533" i="1" s="1"/>
  <c r="S1534" i="1" a="1"/>
  <c r="S1534" i="1" s="1"/>
  <c r="S1535" i="1" a="1"/>
  <c r="S1535" i="1" s="1"/>
  <c r="S1536" i="1" a="1"/>
  <c r="S1536" i="1" s="1"/>
  <c r="S1537" i="1" a="1"/>
  <c r="S1537" i="1" s="1"/>
  <c r="S1538" i="1" a="1"/>
  <c r="S1538" i="1" s="1"/>
  <c r="S1539" i="1" a="1"/>
  <c r="S1539" i="1" s="1"/>
  <c r="S1540" i="1" a="1"/>
  <c r="S1540" i="1" s="1"/>
  <c r="S1541" i="1" a="1"/>
  <c r="S1541" i="1" s="1"/>
  <c r="S1542" i="1" a="1"/>
  <c r="S1542" i="1" s="1"/>
  <c r="S1543" i="1" a="1"/>
  <c r="S1543" i="1" s="1"/>
  <c r="S1544" i="1" a="1"/>
  <c r="S1544" i="1" s="1"/>
  <c r="S1545" i="1" a="1"/>
  <c r="S1545" i="1" s="1"/>
  <c r="S1546" i="1" a="1"/>
  <c r="S1546" i="1" s="1"/>
  <c r="S1547" i="1" a="1"/>
  <c r="S1547" i="1" s="1"/>
  <c r="S1548" i="1" a="1"/>
  <c r="S1548" i="1" s="1"/>
  <c r="S1549" i="1" a="1"/>
  <c r="S1549" i="1" s="1"/>
  <c r="S1550" i="1" a="1"/>
  <c r="S1550" i="1" s="1"/>
  <c r="S1551" i="1" a="1"/>
  <c r="S1551" i="1" s="1"/>
  <c r="S1552" i="1" a="1"/>
  <c r="S1552" i="1" s="1"/>
  <c r="S1553" i="1" a="1"/>
  <c r="S1553" i="1" s="1"/>
  <c r="S1554" i="1" a="1"/>
  <c r="S1554" i="1" s="1"/>
  <c r="S1555" i="1" a="1"/>
  <c r="S1555" i="1" s="1"/>
  <c r="S1556" i="1" a="1"/>
  <c r="S1556" i="1" s="1"/>
  <c r="S1557" i="1" a="1"/>
  <c r="S1557" i="1" s="1"/>
  <c r="S1558" i="1" a="1"/>
  <c r="S1558" i="1" s="1"/>
  <c r="S1559" i="1" a="1"/>
  <c r="S1559" i="1" s="1"/>
  <c r="S1560" i="1" a="1"/>
  <c r="S1560" i="1" s="1"/>
  <c r="S1561" i="1" a="1"/>
  <c r="S1561" i="1" s="1"/>
  <c r="S1562" i="1" a="1"/>
  <c r="S1562" i="1" s="1"/>
  <c r="S1563" i="1" a="1"/>
  <c r="S1563" i="1" s="1"/>
  <c r="S1564" i="1" a="1"/>
  <c r="S1564" i="1" s="1"/>
  <c r="S1565" i="1" a="1"/>
  <c r="S1565" i="1" s="1"/>
  <c r="S1566" i="1" a="1"/>
  <c r="S1566" i="1" s="1"/>
  <c r="S1567" i="1" a="1"/>
  <c r="S1567" i="1" s="1"/>
  <c r="S1568" i="1" a="1"/>
  <c r="S1568" i="1" s="1"/>
  <c r="S1569" i="1" a="1"/>
  <c r="S1569" i="1" s="1"/>
  <c r="S1570" i="1" a="1"/>
  <c r="S1570" i="1" s="1"/>
  <c r="S1571" i="1" a="1"/>
  <c r="S1571" i="1" s="1"/>
  <c r="S1572" i="1" a="1"/>
  <c r="S1572" i="1" s="1"/>
  <c r="S1573" i="1" a="1"/>
  <c r="S1573" i="1" s="1"/>
  <c r="S1574" i="1" a="1"/>
  <c r="S1574" i="1" s="1"/>
  <c r="S1575" i="1" a="1"/>
  <c r="S1575" i="1" s="1"/>
  <c r="S1576" i="1" a="1"/>
  <c r="S1576" i="1" s="1"/>
  <c r="S1577" i="1" a="1"/>
  <c r="S1577" i="1" s="1"/>
  <c r="S1578" i="1" a="1"/>
  <c r="S1578" i="1" s="1"/>
  <c r="S1579" i="1" a="1"/>
  <c r="S1579" i="1" s="1"/>
  <c r="S1580" i="1" a="1"/>
  <c r="S1580" i="1" s="1"/>
  <c r="S1581" i="1" a="1"/>
  <c r="S1581" i="1" s="1"/>
  <c r="S1582" i="1" a="1"/>
  <c r="S1582" i="1" s="1"/>
  <c r="S1583" i="1" a="1"/>
  <c r="S1583" i="1" s="1"/>
  <c r="S1584" i="1" a="1"/>
  <c r="S1584" i="1" s="1"/>
  <c r="S1585" i="1" a="1"/>
  <c r="S1585" i="1" s="1"/>
  <c r="S1586" i="1" a="1"/>
  <c r="S1586" i="1" s="1"/>
  <c r="S1587" i="1" a="1"/>
  <c r="S1587" i="1" s="1"/>
  <c r="S1588" i="1" a="1"/>
  <c r="S1588" i="1" s="1"/>
  <c r="S1589" i="1" a="1"/>
  <c r="S1589" i="1" s="1"/>
  <c r="S1590" i="1" a="1"/>
  <c r="S1590" i="1" s="1"/>
  <c r="S1591" i="1" a="1"/>
  <c r="S1591" i="1" s="1"/>
  <c r="S1592" i="1" a="1"/>
  <c r="S1592" i="1" s="1"/>
  <c r="S1593" i="1" a="1"/>
  <c r="S1593" i="1" s="1"/>
  <c r="S1594" i="1" a="1"/>
  <c r="S1594" i="1" s="1"/>
  <c r="S1595" i="1" a="1"/>
  <c r="S1595" i="1" s="1"/>
  <c r="S1596" i="1" a="1"/>
  <c r="S1596" i="1" s="1"/>
  <c r="S1597" i="1" a="1"/>
  <c r="S1597" i="1" s="1"/>
  <c r="S1598" i="1" a="1"/>
  <c r="S1598" i="1" s="1"/>
  <c r="S1599" i="1" a="1"/>
  <c r="S1599" i="1" s="1"/>
  <c r="S1600" i="1" a="1"/>
  <c r="S1600" i="1" s="1"/>
  <c r="S1601" i="1" a="1"/>
  <c r="S1601" i="1" s="1"/>
  <c r="S1602" i="1" a="1"/>
  <c r="S1602" i="1" s="1"/>
  <c r="S1603" i="1" a="1"/>
  <c r="S1603" i="1" s="1"/>
  <c r="S1604" i="1" a="1"/>
  <c r="S1604" i="1" s="1"/>
  <c r="S1605" i="1" a="1"/>
  <c r="S1605" i="1" s="1"/>
  <c r="S1606" i="1" a="1"/>
  <c r="S1606" i="1" s="1"/>
  <c r="S1607" i="1" a="1"/>
  <c r="S1607" i="1" s="1"/>
  <c r="S1608" i="1" a="1"/>
  <c r="S1608" i="1" s="1"/>
  <c r="S1609" i="1" a="1"/>
  <c r="S1609" i="1" s="1"/>
  <c r="S1610" i="1" a="1"/>
  <c r="S1610" i="1" s="1"/>
  <c r="S1611" i="1" a="1"/>
  <c r="S1611" i="1" s="1"/>
  <c r="S1612" i="1" a="1"/>
  <c r="S1612" i="1" s="1"/>
  <c r="S1613" i="1" a="1"/>
  <c r="S1613" i="1" s="1"/>
  <c r="S1614" i="1" a="1"/>
  <c r="S1614" i="1" s="1"/>
  <c r="S1615" i="1" a="1"/>
  <c r="S1615" i="1" s="1"/>
  <c r="S1616" i="1" a="1"/>
  <c r="S1616" i="1" s="1"/>
  <c r="S1617" i="1" a="1"/>
  <c r="S1617" i="1" s="1"/>
  <c r="S1618" i="1" a="1"/>
  <c r="S1618" i="1" s="1"/>
  <c r="S1619" i="1" a="1"/>
  <c r="S1619" i="1" s="1"/>
  <c r="S1620" i="1" a="1"/>
  <c r="S1620" i="1" s="1"/>
  <c r="S1621" i="1" a="1"/>
  <c r="S1621" i="1" s="1"/>
  <c r="S1622" i="1" a="1"/>
  <c r="S1622" i="1" s="1"/>
  <c r="S1623" i="1" a="1"/>
  <c r="S1623" i="1" s="1"/>
  <c r="S1624" i="1" a="1"/>
  <c r="S1624" i="1" s="1"/>
  <c r="S1625" i="1" a="1"/>
  <c r="S1625" i="1" s="1"/>
  <c r="S1626" i="1" a="1"/>
  <c r="S1626" i="1" s="1"/>
  <c r="S1627" i="1" a="1"/>
  <c r="S1627" i="1" s="1"/>
  <c r="S1628" i="1" a="1"/>
  <c r="S1628" i="1" s="1"/>
  <c r="S1629" i="1" a="1"/>
  <c r="S1629" i="1" s="1"/>
  <c r="S1630" i="1" a="1"/>
  <c r="S1630" i="1" s="1"/>
  <c r="S1631" i="1" a="1"/>
  <c r="S1631" i="1" s="1"/>
  <c r="S1632" i="1" a="1"/>
  <c r="S1632" i="1" s="1"/>
  <c r="S1633" i="1" a="1"/>
  <c r="S1633" i="1" s="1"/>
  <c r="S1634" i="1" a="1"/>
  <c r="S1634" i="1" s="1"/>
  <c r="S1635" i="1" a="1"/>
  <c r="S1635" i="1" s="1"/>
  <c r="S1636" i="1" a="1"/>
  <c r="S1636" i="1" s="1"/>
  <c r="S1637" i="1" a="1"/>
  <c r="S1637" i="1" s="1"/>
  <c r="S1638" i="1" a="1"/>
  <c r="S1638" i="1" s="1"/>
  <c r="S1639" i="1" a="1"/>
  <c r="S1639" i="1" s="1"/>
  <c r="S1640" i="1" a="1"/>
  <c r="S1640" i="1" s="1"/>
  <c r="S1641" i="1" a="1"/>
  <c r="S1641" i="1" s="1"/>
  <c r="S1642" i="1" a="1"/>
  <c r="S1642" i="1" s="1"/>
  <c r="S1643" i="1" a="1"/>
  <c r="S1643" i="1" s="1"/>
  <c r="S1644" i="1" a="1"/>
  <c r="S1644" i="1" s="1"/>
  <c r="S1645" i="1" a="1"/>
  <c r="S1645" i="1" s="1"/>
  <c r="S1646" i="1" a="1"/>
  <c r="S1646" i="1" s="1"/>
  <c r="S1647" i="1" a="1"/>
  <c r="S1647" i="1" s="1"/>
  <c r="S1648" i="1" a="1"/>
  <c r="S1648" i="1" s="1"/>
  <c r="S1649" i="1" a="1"/>
  <c r="S1649" i="1" s="1"/>
  <c r="S1650" i="1" a="1"/>
  <c r="S1650" i="1" s="1"/>
  <c r="S1651" i="1" a="1"/>
  <c r="S1651" i="1" s="1"/>
  <c r="S1652" i="1" a="1"/>
  <c r="S1652" i="1" s="1"/>
  <c r="S1653" i="1" a="1"/>
  <c r="S1653" i="1" s="1"/>
  <c r="S1654" i="1" a="1"/>
  <c r="S1654" i="1" s="1"/>
  <c r="S1655" i="1" a="1"/>
  <c r="S1655" i="1" s="1"/>
  <c r="S1656" i="1" a="1"/>
  <c r="S1656" i="1" s="1"/>
  <c r="S1657" i="1" a="1"/>
  <c r="S1657" i="1" s="1"/>
  <c r="S1658" i="1" a="1"/>
  <c r="S1658" i="1" s="1"/>
  <c r="S1659" i="1" a="1"/>
  <c r="S1659" i="1" s="1"/>
  <c r="S1660" i="1" a="1"/>
  <c r="S1660" i="1" s="1"/>
  <c r="S1661" i="1" a="1"/>
  <c r="S1661" i="1" s="1"/>
  <c r="S1662" i="1" a="1"/>
  <c r="S1662" i="1" s="1"/>
  <c r="S1663" i="1" a="1"/>
  <c r="S1663" i="1" s="1"/>
  <c r="S1664" i="1" a="1"/>
  <c r="S1664" i="1" s="1"/>
  <c r="S1665" i="1" a="1"/>
  <c r="S1665" i="1" s="1"/>
  <c r="S1666" i="1" a="1"/>
  <c r="S1666" i="1" s="1"/>
  <c r="S1667" i="1" a="1"/>
  <c r="S1667" i="1" s="1"/>
  <c r="S1668" i="1" a="1"/>
  <c r="S1668" i="1" s="1"/>
  <c r="S1669" i="1" a="1"/>
  <c r="S1669" i="1" s="1"/>
  <c r="S1670" i="1" a="1"/>
  <c r="S1670" i="1" s="1"/>
  <c r="S1671" i="1" a="1"/>
  <c r="S1671" i="1" s="1"/>
  <c r="S1672" i="1" a="1"/>
  <c r="S1672" i="1" s="1"/>
  <c r="S1673" i="1" a="1"/>
  <c r="S1673" i="1" s="1"/>
  <c r="S1674" i="1" a="1"/>
  <c r="S1674" i="1" s="1"/>
  <c r="S1675" i="1" a="1"/>
  <c r="S1675" i="1" s="1"/>
  <c r="S1676" i="1" a="1"/>
  <c r="S1676" i="1" s="1"/>
  <c r="S1677" i="1" a="1"/>
  <c r="S1677" i="1" s="1"/>
  <c r="S1678" i="1" a="1"/>
  <c r="S1678" i="1" s="1"/>
  <c r="S1679" i="1" a="1"/>
  <c r="S1679" i="1" s="1"/>
  <c r="S1680" i="1" a="1"/>
  <c r="S1680" i="1" s="1"/>
  <c r="S1681" i="1" a="1"/>
  <c r="S1681" i="1" s="1"/>
  <c r="S1682" i="1" a="1"/>
  <c r="S1682" i="1" s="1"/>
  <c r="S1683" i="1" a="1"/>
  <c r="S1683" i="1" s="1"/>
  <c r="S1684" i="1" a="1"/>
  <c r="S1684" i="1" s="1"/>
  <c r="S1685" i="1" a="1"/>
  <c r="S1685" i="1" s="1"/>
  <c r="S1686" i="1" a="1"/>
  <c r="S1686" i="1" s="1"/>
  <c r="S1687" i="1" a="1"/>
  <c r="S1687" i="1" s="1"/>
  <c r="S1688" i="1" a="1"/>
  <c r="S1688" i="1" s="1"/>
  <c r="S1689" i="1" a="1"/>
  <c r="S1689" i="1" s="1"/>
  <c r="S1690" i="1" a="1"/>
  <c r="S1690" i="1" s="1"/>
  <c r="S1691" i="1" a="1"/>
  <c r="S1691" i="1" s="1"/>
  <c r="S1692" i="1" a="1"/>
  <c r="S1692" i="1"/>
  <c r="S1693" i="1" a="1"/>
  <c r="S1693" i="1" s="1"/>
  <c r="S1694" i="1" a="1"/>
  <c r="S1694" i="1" s="1"/>
  <c r="S1695" i="1" a="1"/>
  <c r="S1695" i="1" s="1"/>
  <c r="S1696" i="1" a="1"/>
  <c r="S1696" i="1" s="1"/>
  <c r="S1697" i="1" a="1"/>
  <c r="S1697" i="1" s="1"/>
  <c r="S1698" i="1" a="1"/>
  <c r="S1698" i="1" s="1"/>
  <c r="S1699" i="1" a="1"/>
  <c r="S1699" i="1" s="1"/>
  <c r="S1700" i="1" a="1"/>
  <c r="S1700" i="1" s="1"/>
  <c r="S1701" i="1" a="1"/>
  <c r="S1701" i="1" s="1"/>
  <c r="S1702" i="1" a="1"/>
  <c r="S1702" i="1" s="1"/>
  <c r="S1703" i="1" a="1"/>
  <c r="S1703" i="1" s="1"/>
  <c r="S1704" i="1" a="1"/>
  <c r="S1704" i="1" s="1"/>
  <c r="S1705" i="1" a="1"/>
  <c r="S1705" i="1" s="1"/>
  <c r="S1706" i="1" a="1"/>
  <c r="S1706" i="1" s="1"/>
  <c r="S1707" i="1" a="1"/>
  <c r="S1707" i="1" s="1"/>
  <c r="S1708" i="1" a="1"/>
  <c r="S1708" i="1" s="1"/>
  <c r="S1709" i="1" a="1"/>
  <c r="S1709" i="1" s="1"/>
  <c r="S1710" i="1" a="1"/>
  <c r="S1710" i="1" s="1"/>
  <c r="S1711" i="1" a="1"/>
  <c r="S1711" i="1" s="1"/>
  <c r="S1712" i="1" a="1"/>
  <c r="S1712" i="1" s="1"/>
  <c r="S1713" i="1" a="1"/>
  <c r="S1713" i="1" s="1"/>
  <c r="S1714" i="1" a="1"/>
  <c r="S1714" i="1" s="1"/>
  <c r="S1715" i="1" a="1"/>
  <c r="S1715" i="1" s="1"/>
  <c r="S1716" i="1" a="1"/>
  <c r="S1716" i="1" s="1"/>
  <c r="S1717" i="1" a="1"/>
  <c r="S1717" i="1" s="1"/>
  <c r="S1718" i="1" a="1"/>
  <c r="S1718" i="1" s="1"/>
  <c r="S1719" i="1" a="1"/>
  <c r="S1719" i="1" s="1"/>
  <c r="S1720" i="1" a="1"/>
  <c r="S1720" i="1" s="1"/>
  <c r="S1721" i="1" a="1"/>
  <c r="S1721" i="1" s="1"/>
  <c r="S1722" i="1" a="1"/>
  <c r="S1722" i="1" s="1"/>
  <c r="S1723" i="1" a="1"/>
  <c r="S1723" i="1" s="1"/>
  <c r="S1724" i="1" a="1"/>
  <c r="S1724" i="1" s="1"/>
  <c r="S1725" i="1" a="1"/>
  <c r="S1725" i="1" s="1"/>
  <c r="S1726" i="1" a="1"/>
  <c r="S1726" i="1" s="1"/>
  <c r="S1727" i="1" a="1"/>
  <c r="S1727" i="1" s="1"/>
  <c r="S1728" i="1" a="1"/>
  <c r="S1728" i="1" s="1"/>
  <c r="S1729" i="1" a="1"/>
  <c r="S1729" i="1" s="1"/>
  <c r="S1730" i="1" a="1"/>
  <c r="S1730" i="1" s="1"/>
  <c r="S1731" i="1" a="1"/>
  <c r="S1731" i="1" s="1"/>
  <c r="S1732" i="1" a="1"/>
  <c r="S1732" i="1" s="1"/>
  <c r="S1733" i="1" a="1"/>
  <c r="S1733" i="1" s="1"/>
  <c r="S1734" i="1" a="1"/>
  <c r="S1734" i="1" s="1"/>
  <c r="S1735" i="1" a="1"/>
  <c r="S1735" i="1" s="1"/>
  <c r="S1736" i="1" a="1"/>
  <c r="S1736" i="1" s="1"/>
  <c r="S1737" i="1" a="1"/>
  <c r="S1737" i="1" s="1"/>
  <c r="S1738" i="1" a="1"/>
  <c r="S1738" i="1" s="1"/>
  <c r="S1739" i="1" a="1"/>
  <c r="S1739" i="1" s="1"/>
  <c r="S1740" i="1" a="1"/>
  <c r="S1740" i="1" s="1"/>
  <c r="S1741" i="1" a="1"/>
  <c r="S1741" i="1" s="1"/>
  <c r="S1742" i="1" a="1"/>
  <c r="S1742" i="1" s="1"/>
  <c r="S1743" i="1" a="1"/>
  <c r="S1743" i="1" s="1"/>
  <c r="S1744" i="1" a="1"/>
  <c r="S1744" i="1" s="1"/>
  <c r="S1745" i="1" a="1"/>
  <c r="S1745" i="1" s="1"/>
  <c r="S1746" i="1" a="1"/>
  <c r="S1746" i="1"/>
  <c r="S1747" i="1" a="1"/>
  <c r="S1747" i="1" s="1"/>
  <c r="S1748" i="1" a="1"/>
  <c r="S1748" i="1" s="1"/>
  <c r="S1749" i="1" a="1"/>
  <c r="S1749" i="1" s="1"/>
  <c r="S1750" i="1" a="1"/>
  <c r="S1750" i="1" s="1"/>
  <c r="S1751" i="1" a="1"/>
  <c r="S1751" i="1" s="1"/>
  <c r="S1752" i="1" a="1"/>
  <c r="S1752" i="1" s="1"/>
  <c r="S1753" i="1" a="1"/>
  <c r="S1753" i="1" s="1"/>
  <c r="S1754" i="1" a="1"/>
  <c r="S1754" i="1" s="1"/>
  <c r="S1755" i="1" a="1"/>
  <c r="S1755" i="1" s="1"/>
  <c r="S1756" i="1" a="1"/>
  <c r="S1756" i="1" s="1"/>
  <c r="S1757" i="1" a="1"/>
  <c r="S1757" i="1" s="1"/>
  <c r="S1758" i="1" a="1"/>
  <c r="S1758" i="1" s="1"/>
  <c r="S1759" i="1" a="1"/>
  <c r="S1759" i="1" s="1"/>
  <c r="S1760" i="1" a="1"/>
  <c r="S1760" i="1" s="1"/>
  <c r="S1761" i="1" a="1"/>
  <c r="S1761" i="1" s="1"/>
  <c r="S1762" i="1" a="1"/>
  <c r="S1762" i="1" s="1"/>
  <c r="S1763" i="1" a="1"/>
  <c r="S1763" i="1" s="1"/>
  <c r="S1764" i="1" a="1"/>
  <c r="S1764" i="1" s="1"/>
  <c r="S1765" i="1" a="1"/>
  <c r="S1765" i="1" s="1"/>
  <c r="S1766" i="1" a="1"/>
  <c r="S1766" i="1" s="1"/>
  <c r="S1767" i="1" a="1"/>
  <c r="S1767" i="1" s="1"/>
  <c r="S1768" i="1" a="1"/>
  <c r="S1768" i="1" s="1"/>
  <c r="S1769" i="1" a="1"/>
  <c r="S1769" i="1" s="1"/>
  <c r="S1770" i="1" a="1"/>
  <c r="S1770" i="1" s="1"/>
  <c r="S1771" i="1" a="1"/>
  <c r="S1771" i="1" s="1"/>
  <c r="S1772" i="1" a="1"/>
  <c r="S1772" i="1" s="1"/>
  <c r="S1773" i="1" a="1"/>
  <c r="S1773" i="1" s="1"/>
  <c r="S1774" i="1" a="1"/>
  <c r="S1774" i="1" s="1"/>
  <c r="S1775" i="1" a="1"/>
  <c r="S1775" i="1" s="1"/>
  <c r="S1776" i="1" a="1"/>
  <c r="S1776" i="1" s="1"/>
  <c r="S1777" i="1" a="1"/>
  <c r="S1777" i="1" s="1"/>
  <c r="S1778" i="1" a="1"/>
  <c r="S1778" i="1" s="1"/>
  <c r="S1779" i="1" a="1"/>
  <c r="S1779" i="1" s="1"/>
  <c r="S1780" i="1" a="1"/>
  <c r="S1780" i="1" s="1"/>
  <c r="S1781" i="1" a="1"/>
  <c r="S1781" i="1" s="1"/>
  <c r="S1782" i="1" a="1"/>
  <c r="S1782" i="1" s="1"/>
  <c r="S1783" i="1" a="1"/>
  <c r="S1783" i="1" s="1"/>
  <c r="S1784" i="1" a="1"/>
  <c r="S1784" i="1" s="1"/>
  <c r="S1785" i="1" a="1"/>
  <c r="S1785" i="1" s="1"/>
  <c r="S1786" i="1" a="1"/>
  <c r="S1786" i="1" s="1"/>
  <c r="S1787" i="1" a="1"/>
  <c r="S1787" i="1" s="1"/>
  <c r="S1788" i="1" a="1"/>
  <c r="S1788" i="1"/>
  <c r="S1789" i="1" a="1"/>
  <c r="S1789" i="1" s="1"/>
  <c r="S1790" i="1" a="1"/>
  <c r="S1790" i="1" s="1"/>
  <c r="S1791" i="1" a="1"/>
  <c r="S1791" i="1" s="1"/>
  <c r="S1792" i="1" a="1"/>
  <c r="S1792" i="1" s="1"/>
  <c r="S1793" i="1" a="1"/>
  <c r="S1793" i="1" s="1"/>
  <c r="S1794" i="1" a="1"/>
  <c r="S1794" i="1" s="1"/>
  <c r="S1795" i="1" a="1"/>
  <c r="S1795" i="1" s="1"/>
  <c r="S1796" i="1" a="1"/>
  <c r="S1796" i="1" s="1"/>
  <c r="S1797" i="1" a="1"/>
  <c r="S1797" i="1" s="1"/>
  <c r="S1798" i="1" a="1"/>
  <c r="S1798" i="1" s="1"/>
  <c r="S1799" i="1" a="1"/>
  <c r="S1799" i="1" s="1"/>
  <c r="S1800" i="1" a="1"/>
  <c r="S1800" i="1" s="1"/>
  <c r="S1801" i="1" a="1"/>
  <c r="S1801" i="1" s="1"/>
  <c r="S1802" i="1" a="1"/>
  <c r="S1802" i="1" s="1"/>
  <c r="S1803" i="1" a="1"/>
  <c r="S1803" i="1" s="1"/>
  <c r="S1804" i="1" a="1"/>
  <c r="S1804" i="1" s="1"/>
  <c r="S1805" i="1" a="1"/>
  <c r="S1805" i="1" s="1"/>
  <c r="S1806" i="1" a="1"/>
  <c r="S1806" i="1" s="1"/>
  <c r="S1807" i="1" a="1"/>
  <c r="S1807" i="1" s="1"/>
  <c r="S1808" i="1" a="1"/>
  <c r="S1808" i="1" s="1"/>
  <c r="S1809" i="1" a="1"/>
  <c r="S1809" i="1" s="1"/>
  <c r="S1810" i="1" a="1"/>
  <c r="S1810" i="1" s="1"/>
  <c r="S1811" i="1" a="1"/>
  <c r="S1811" i="1" s="1"/>
  <c r="S1812" i="1" a="1"/>
  <c r="S1812" i="1" s="1"/>
  <c r="S1813" i="1" a="1"/>
  <c r="S1813" i="1" s="1"/>
  <c r="S1814" i="1" a="1"/>
  <c r="S1814" i="1" s="1"/>
  <c r="S1815" i="1" a="1"/>
  <c r="S1815" i="1" s="1"/>
  <c r="S1816" i="1" a="1"/>
  <c r="S1816" i="1" s="1"/>
  <c r="S1817" i="1" a="1"/>
  <c r="S1817" i="1" s="1"/>
  <c r="S1818" i="1" a="1"/>
  <c r="S1818" i="1" s="1"/>
  <c r="S1819" i="1" a="1"/>
  <c r="S1819" i="1" s="1"/>
  <c r="S1820" i="1" a="1"/>
  <c r="S1820" i="1" s="1"/>
  <c r="S1821" i="1" a="1"/>
  <c r="S1821" i="1" s="1"/>
  <c r="S1822" i="1" a="1"/>
  <c r="S1822" i="1" s="1"/>
  <c r="S1823" i="1" a="1"/>
  <c r="S1823" i="1" s="1"/>
  <c r="S1824" i="1" a="1"/>
  <c r="S1824" i="1" s="1"/>
  <c r="S1825" i="1" a="1"/>
  <c r="S1825" i="1" s="1"/>
  <c r="S1826" i="1" a="1"/>
  <c r="S1826" i="1" s="1"/>
  <c r="S2" i="1" a="1"/>
  <c r="S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<sst xmlns="http://schemas.openxmlformats.org/spreadsheetml/2006/main" count="3810" uniqueCount="125">
  <si>
    <t>Date</t>
  </si>
  <si>
    <t>Zone</t>
  </si>
  <si>
    <t>PM2.5_ug/m3</t>
  </si>
  <si>
    <t>PM10_ug/m3</t>
  </si>
  <si>
    <t>NO2_ug/m3</t>
  </si>
  <si>
    <t>SO2_ug/m3</t>
  </si>
  <si>
    <t>O3_ug/m3</t>
  </si>
  <si>
    <t>CO_mg/m3</t>
  </si>
  <si>
    <t>Temp_C</t>
  </si>
  <si>
    <t>Humidity_%</t>
  </si>
  <si>
    <t>WindSpeed_m/s</t>
  </si>
  <si>
    <t>PM2.5_index</t>
  </si>
  <si>
    <t>PM10_index</t>
  </si>
  <si>
    <t>NO2_index</t>
  </si>
  <si>
    <t>SO2_index</t>
  </si>
  <si>
    <t>O3_index</t>
  </si>
  <si>
    <t>CO_index</t>
  </si>
  <si>
    <t>AQI</t>
  </si>
  <si>
    <t>AQI_Category</t>
  </si>
  <si>
    <t>Dominant_Pollutant</t>
  </si>
  <si>
    <t>Central City</t>
  </si>
  <si>
    <t>North Industrial</t>
  </si>
  <si>
    <t>East Residential</t>
  </si>
  <si>
    <t>South Market</t>
  </si>
  <si>
    <t>West Highway</t>
  </si>
  <si>
    <t>PM2.5</t>
  </si>
  <si>
    <t>NO2</t>
  </si>
  <si>
    <t>O3</t>
  </si>
  <si>
    <t>PM10</t>
  </si>
  <si>
    <t>CO</t>
  </si>
  <si>
    <t>Zones</t>
  </si>
  <si>
    <t>Jan</t>
  </si>
  <si>
    <t>Feb</t>
  </si>
  <si>
    <t>Mar</t>
  </si>
  <si>
    <t>Apr</t>
  </si>
  <si>
    <t>May</t>
  </si>
  <si>
    <t>Jun</t>
  </si>
  <si>
    <t>Jul</t>
  </si>
  <si>
    <t>Aug</t>
  </si>
  <si>
    <t>Sep</t>
  </si>
  <si>
    <t>Oct</t>
  </si>
  <si>
    <t>Nov</t>
  </si>
  <si>
    <t>Dec</t>
  </si>
  <si>
    <t>Months</t>
  </si>
  <si>
    <t>Average  AQI</t>
  </si>
  <si>
    <t xml:space="preserve">  </t>
  </si>
  <si>
    <t>Average PM2.5</t>
  </si>
  <si>
    <t>Average PM10</t>
  </si>
  <si>
    <t>Average NO2</t>
  </si>
  <si>
    <t>Average SO2</t>
  </si>
  <si>
    <t>Average  O3</t>
  </si>
  <si>
    <t>Average CO</t>
  </si>
  <si>
    <t>Hazardous</t>
  </si>
  <si>
    <t>Moderate</t>
  </si>
  <si>
    <t>Poor</t>
  </si>
  <si>
    <t>Very Poor</t>
  </si>
  <si>
    <t>Pollutant</t>
  </si>
  <si>
    <t>Delhi Smart City AQI Monitoring Dashboard – 2024</t>
  </si>
  <si>
    <t>Q1:</t>
  </si>
  <si>
    <t>Q2:</t>
  </si>
  <si>
    <r>
      <rPr>
        <b/>
        <sz val="11"/>
        <color theme="5"/>
        <rFont val="Aptos Narrow"/>
        <family val="2"/>
      </rPr>
      <t xml:space="preserve">Objective:  </t>
    </r>
    <r>
      <rPr>
        <b/>
        <sz val="11"/>
        <rFont val="Aptos Narrow"/>
        <family val="2"/>
      </rPr>
      <t>I will analyse air quality of Delhi</t>
    </r>
  </si>
  <si>
    <t>What will I analyze?</t>
  </si>
  <si>
    <t>1. Month-wise and day-wise changes in AQI</t>
  </si>
  <si>
    <t>2. Identification of seasonal pollution spikes</t>
  </si>
  <si>
    <t>3. Clean vs polluted periods of the year</t>
  </si>
  <si>
    <t>4. Average AQI of each city zone</t>
  </si>
  <si>
    <t>5. Most polluted and least polluted zones</t>
  </si>
  <si>
    <t>6. Consistency or fluctuation in zone-level air quality</t>
  </si>
  <si>
    <t>7.  Levels of major pollutants</t>
  </si>
  <si>
    <t>8. Dominant pollutant</t>
  </si>
  <si>
    <t>9. Comparison of pollutant concentrations across zones</t>
  </si>
  <si>
    <t>10. No. of days of different AQI categories</t>
  </si>
  <si>
    <t xml:space="preserve">11. Trend of unhealthy air days </t>
  </si>
  <si>
    <t>12. Relationship between AQI and temperature</t>
  </si>
  <si>
    <t>13. influence of humidity and wind speed on pollution</t>
  </si>
  <si>
    <t>13. Weather condition vs AQI</t>
  </si>
  <si>
    <t>14. Days exceeding safe AQI limits</t>
  </si>
  <si>
    <t>15. Zones with recurring high-AQI days</t>
  </si>
  <si>
    <t>16. Key factors responsible for pollution spikes</t>
  </si>
  <si>
    <t>Analysis category:</t>
  </si>
  <si>
    <t>1.Seasonal level</t>
  </si>
  <si>
    <t>2. Zones level</t>
  </si>
  <si>
    <t>3.Pollutant level</t>
  </si>
  <si>
    <t>4. AQI Category level</t>
  </si>
  <si>
    <t>5. Weather level</t>
  </si>
  <si>
    <t>Q1: Which zone of Delhi has the highest average AQI?</t>
  </si>
  <si>
    <t>Q2: Which zone consistently shows the cleanest air?</t>
  </si>
  <si>
    <t>Q3:  Which zone has the highest number of "Poor" or "Hazardous" days?</t>
  </si>
  <si>
    <t>Q3:</t>
  </si>
  <si>
    <t>No. of Days</t>
  </si>
  <si>
    <t>Q1. How did the AQI of Delhi change month by month</t>
  </si>
  <si>
    <t>Q1.</t>
  </si>
  <si>
    <t>Q2.</t>
  </si>
  <si>
    <t>Q2. Which month recorded the worst air quality and which had the cleanest air?</t>
  </si>
  <si>
    <t>Worst air month</t>
  </si>
  <si>
    <t>Cleanest air month</t>
  </si>
  <si>
    <t>Q1: Which Pollutant contributes the most to AQI in Delhi?</t>
  </si>
  <si>
    <t>Q3: which zones has the highest concentration of PM2.5 or PM10</t>
  </si>
  <si>
    <t>Pollutant_level</t>
  </si>
  <si>
    <t xml:space="preserve">Q2. </t>
  </si>
  <si>
    <t>Q2: How do pollutants levels differ across zones</t>
  </si>
  <si>
    <t>Q3.</t>
  </si>
  <si>
    <t>Zone with highest PM2.5 concentration</t>
  </si>
  <si>
    <t>Zone with highest PM10 concentration</t>
  </si>
  <si>
    <t>Q1: What percentage of days fall under Good, Moderate, Poor, Very Poor, and Hazardous categories?</t>
  </si>
  <si>
    <t>Q2: In which months do hazardous AQI alerts occur most frequently?</t>
  </si>
  <si>
    <t>Q1</t>
  </si>
  <si>
    <t>No. of days</t>
  </si>
  <si>
    <t>% of Days</t>
  </si>
  <si>
    <t xml:space="preserve">Q1. </t>
  </si>
  <si>
    <t>Q1.  What is average AQI of Delhi</t>
  </si>
  <si>
    <t>Q2. How much was the highest AQI level reached in Delhi?</t>
  </si>
  <si>
    <t>Q3. Which is the cleanest zone in Delhi?</t>
  </si>
  <si>
    <t>Q4. Which is Most polluted Zone in Delhi?</t>
  </si>
  <si>
    <t>Q5. Which is the most dominant pollutant in air of Delhi?</t>
  </si>
  <si>
    <t>Average AQI :</t>
  </si>
  <si>
    <t>Q2</t>
  </si>
  <si>
    <t>Maximum AQI:</t>
  </si>
  <si>
    <t>Q3</t>
  </si>
  <si>
    <t>Cleanest zone:</t>
  </si>
  <si>
    <t>Q4</t>
  </si>
  <si>
    <t>Most dominant pollutant</t>
  </si>
  <si>
    <t>Most polluted Zone:</t>
  </si>
  <si>
    <t>Grand Total</t>
  </si>
  <si>
    <t>Hazardous AQI_Alerts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</si>
</sst>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0"/>
  </numFmts>
  <fonts count="14" x14ac:knownFonts="1">
    <font>
      <sz val="11"/>
      <color theme="1"/>
      <name val="Calibri"/>
      <family val="2"/>
      <scheme val="minor"/>
    </font>
    <font>
      <b/>
      <sz val="11"/>
      <color theme="1"/>
      <name val="Calibri"/>
      <family val="2"/>
      <scheme val="minor"/>
    </font>
    <font>
      <b/>
      <sz val="26"/>
      <color theme="0"/>
      <name val="Calibri"/>
      <family val="2"/>
      <scheme val="minor"/>
    </font>
    <font>
      <b/>
      <sz val="22"/>
      <color theme="1"/>
      <name val="Calibri"/>
      <family val="2"/>
      <scheme val="minor"/>
    </font>
    <font>
      <b/>
      <sz val="11"/>
      <color theme="5"/>
      <name val="Calibri"/>
      <family val="2"/>
      <scheme val="minor"/>
    </font>
    <font>
      <b/>
      <sz val="14"/>
      <color theme="5"/>
      <name val="Calibri"/>
      <family val="2"/>
      <scheme val="minor"/>
    </font>
    <font>
      <b/>
      <sz val="11"/>
      <color theme="1"/>
      <name val="Aptos Narrow"/>
      <family val="2"/>
    </font>
    <font>
      <b/>
      <sz val="11"/>
      <color theme="5"/>
      <name val="Aptos Narrow"/>
      <family val="2"/>
    </font>
    <font>
      <b/>
      <sz val="11"/>
      <name val="Aptos Narrow"/>
      <family val="2"/>
    </font>
    <font>
      <b/>
      <sz val="12"/>
      <color theme="5"/>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b/>
      <u/>
      <sz val="28"/>
      <color rgb="FFFFC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7030A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2" borderId="0" xfId="0" applyFill="1"/>
    <xf numFmtId="0" fontId="4" fillId="0" borderId="0" xfId="0" applyFont="1"/>
    <xf numFmtId="0" fontId="5" fillId="0" borderId="0" xfId="0" applyFont="1"/>
    <xf numFmtId="0" fontId="6" fillId="0" borderId="0" xfId="0" applyFont="1"/>
    <xf numFmtId="0" fontId="9" fillId="0" borderId="0" xfId="0" applyFont="1"/>
    <xf numFmtId="0" fontId="1" fillId="4" borderId="0" xfId="0" applyFont="1" applyFill="1"/>
    <xf numFmtId="0" fontId="10" fillId="4" borderId="0" xfId="0" applyFont="1" applyFill="1"/>
    <xf numFmtId="0" fontId="1" fillId="5" borderId="0" xfId="0" applyFont="1" applyFill="1" applyAlignment="1">
      <alignment horizontal="left"/>
    </xf>
    <xf numFmtId="0" fontId="1" fillId="5" borderId="0" xfId="0" applyFont="1" applyFill="1"/>
    <xf numFmtId="0" fontId="0" fillId="3" borderId="0" xfId="0" applyFill="1" applyAlignment="1">
      <alignment horizontal="left"/>
    </xf>
    <xf numFmtId="0" fontId="1" fillId="3" borderId="0" xfId="0" applyFont="1" applyFill="1"/>
    <xf numFmtId="0" fontId="1" fillId="6" borderId="0" xfId="0" applyFont="1" applyFill="1" applyAlignment="1">
      <alignment horizontal="left"/>
    </xf>
    <xf numFmtId="0" fontId="1" fillId="6" borderId="0" xfId="0" applyFont="1" applyFill="1"/>
    <xf numFmtId="0" fontId="1" fillId="2" borderId="0" xfId="0" applyFont="1" applyFill="1"/>
    <xf numFmtId="0" fontId="11" fillId="0" borderId="0" xfId="0" applyFont="1"/>
    <xf numFmtId="10" fontId="0" fillId="0" borderId="0" xfId="0" applyNumberFormat="1"/>
    <xf numFmtId="0" fontId="12" fillId="0" borderId="0" xfId="0" applyFont="1"/>
    <xf numFmtId="165" fontId="0" fillId="0" borderId="0" xfId="0" applyNumberFormat="1"/>
    <xf numFmtId="0" fontId="0" fillId="7" borderId="0" xfId="0" applyFill="1"/>
    <xf numFmtId="0" fontId="0" fillId="7" borderId="0" xfId="0" applyFill="1" applyAlignment="1">
      <alignment vertical="top"/>
    </xf>
    <xf numFmtId="0" fontId="2" fillId="2" borderId="0" xfId="0" applyFont="1" applyFill="1"/>
    <xf numFmtId="0" fontId="13" fillId="7" borderId="0" xfId="0" applyFont="1" applyFill="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xf>
    <xf numFmtId="0" fontId="0" fillId="7" borderId="0" xfId="0" applyFill="1" applyAlignment="1">
      <alignment horizontal="center"/>
    </xf>
    <xf numFmtId="0" fontId="1" fillId="7" borderId="0" xfId="0" applyFont="1" applyFill="1" applyAlignment="1">
      <alignment horizontal="center" vertical="top"/>
    </xf>
    <xf numFmtId="0" fontId="0" fillId="7" borderId="0" xfId="0" applyFill="1" applyAlignment="1">
      <alignment horizontal="center" vertical="top"/>
    </xf>
  </cellXfs>
  <cellStyles count="1">
    <cellStyle name="Normal" xfId="0" builtinId="0"/>
  </cellStyles>
  <dxfs count="2">
    <dxf>
      <fill>
        <patternFill patternType="solid">
          <bgColor theme="3" tint="0.79998168889431442"/>
        </patternFill>
      </fill>
    </dxf>
    <dxf>
      <numFmt numFmtId="165" formatCode="0.0"/>
    </dxf>
  </dxfs>
  <tableStyles count="0" defaultTableStyle="TableStyleMedium9" defaultPivotStyle="PivotStyleLight16"/>
  <colors>
    <mruColors>
      <color rgb="FF005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[Delhi_AQI_12months_5zones AJAY.xlsx]Zones level analysis!PivotTable1</c:name>
    <c:fmtId val="22"/>
  </c:pivotSource>
  <c:chart>
    <c:title>
      <c:tx>
        <c:rich>
          <a:bodyPr rot="0" spcFirstLastPara="1" vertOverflow="ellipsis" vert="horz" wrap="square" anchor="ctr" anchorCtr="1"/>
          <a:lstStyle/>
          <a:p>
            <a:pPr algn="ctr" rtl="0">
              <a:defRPr lang="en-US"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rPr>
              <a:t>Average AQI of Zones</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23121387283219E-2"/>
          <c:y val="0.14760460868183986"/>
          <c:w val="0.8854046242774567"/>
          <c:h val="0.68003131452948784"/>
        </c:manualLayout>
      </c:layout>
      <c:barChart>
        <c:barDir val="col"/>
        <c:grouping val="clustered"/>
        <c:varyColors val="0"/>
        <c:ser>
          <c:idx val="0"/>
          <c:order val="0"/>
          <c:tx>
            <c:strRef>
              <c:f>'Zones level analysis'!$C$7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'Zones level analysis'!$B$8:$B$12</c:f>
              <c:strCache>
                <c:ptCount val="5"/>
                <c:pt idx="0">
                  <c:v>North Industrial</c:v>
                </c:pt>
                <c:pt idx="1">
                  <c:v>Central City</c:v>
                </c:pt>
                <c:pt idx="2">
                  <c:v>West Highway</c:v>
                </c:pt>
                <c:pt idx="3">
                  <c:v>South Market</c:v>
                </c:pt>
                <c:pt idx="4">
                  <c:v>East Residential</c:v>
                </c:pt>
              </c:strCache>
            </c:strRef>
          </c:cat>
          <c:val>
            <c:numRef>
              <c:f>'Zones level analysis'!$C$8:$C$12</c:f>
              <c:numCache>
                <c:formatCode>0.00</c:formatCode>
                <c:ptCount val="5"/>
                <c:pt idx="0">
                  <c:v>222.45205479452054</c:v>
                </c:pt>
                <c:pt idx="1">
                  <c:v>200.40547945205481</c:v>
                </c:pt>
                <c:pt idx="2">
                  <c:v>198.89041095890411</c:v>
                </c:pt>
                <c:pt idx="3">
                  <c:v>178.54794520547946</c:v>
                </c:pt>
                <c:pt idx="4">
                  <c:v>168.33424657534246</c:v>
                </c:pt>
              </c:numCache>
            </c:numRef>
          </c:val>
          <c:extLst>
            <c:ext xmlns:c16="http://schemas.microsoft.com/office/drawing/2014/chart" uri="{C3380CC4-5D6E-409C-BE32-E72D297353CC}">
              <c16:uniqueId val="{00000000-4963-463C-9B7A-F2BE15DFB0B5}"/>
            </c:ext>
          </c:extLst>
        </c:ser>
        <c:dLbls>
          <c:dLblPos val="inEnd"/>
          <c:showLegendKey val="0"/>
          <c:showVal val="1"/>
          <c:showCatName val="0"/>
          <c:showSerName val="0"/>
          <c:showPercent val="0"/>
          <c:showBubbleSize val="0"/>
        </c:dLbls>
        <c:gapWidth val="65"/>
        <c:axId val="72330560"/>
        <c:axId val="72314240"/>
      </c:barChart>
      <c:catAx>
        <c:axId val="723305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Zones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2314240"/>
        <c:crosses val="autoZero"/>
        <c:auto val="1"/>
        <c:lblAlgn val="ctr"/>
        <c:lblOffset val="100"/>
        <c:noMultiLvlLbl val="0"/>
      </c:catAx>
      <c:valAx>
        <c:axId val="723142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AQI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crossAx val="7233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[Delhi_AQI_12months_5zones AJAY.xlsx]Seasonal level analysis!PivotTable10</c:name>
    <c:fmtId val="16"/>
  </c:pivotSource>
  <c:chart>
    <c:title>
      <c:tx>
        <c:rich>
          <a:bodyPr rot="0" spcFirstLastPara="1" vertOverflow="ellipsis" vert="horz" wrap="square" anchor="ctr" anchorCtr="1"/>
          <a:lstStyle/>
          <a:p>
            <a:pPr algn="ctr" rtl="0">
              <a:defRPr lang="en-US"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rPr>
              <a:t>AQI Month by Month</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solidFill>
              <a:schemeClr val="dk1">
                <a:lumMod val="65000"/>
                <a:lumOff val="35000"/>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8.0179441855482356E-2"/>
          <c:y val="0.20160044150110379"/>
          <c:w val="0.90848268966379186"/>
          <c:h val="0.68061957900957748"/>
        </c:manualLayout>
      </c:layout>
      <c:lineChart>
        <c:grouping val="standard"/>
        <c:varyColors val="0"/>
        <c:ser>
          <c:idx val="0"/>
          <c:order val="0"/>
          <c:tx>
            <c:strRef>
              <c:f>'Seasonal level analysis'!$C$6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solidFill>
                <a:schemeClr val="dk1">
                  <a:lumMod val="65000"/>
                  <a:lumOff val="35000"/>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'Seasonal level analysis'!$B$7:$B$18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 level analysis'!$C$7:$C$18</c:f>
              <c:numCache>
                <c:formatCode>0.0</c:formatCode>
                <c:ptCount val="12"/>
                <c:pt idx="0">
                  <c:v>250.71612903225807</c:v>
                </c:pt>
                <c:pt idx="1">
                  <c:v>261.5793103448276</c:v>
                </c:pt>
                <c:pt idx="2">
                  <c:v>167.41935483870967</c:v>
                </c:pt>
                <c:pt idx="3">
                  <c:v>169.5</c:v>
                </c:pt>
                <c:pt idx="4">
                  <c:v>167.94193548387096</c:v>
                </c:pt>
                <c:pt idx="5">
                  <c:v>148.68</c:v>
                </c:pt>
                <c:pt idx="6">
                  <c:v>152.75483870967741</c:v>
                </c:pt>
                <c:pt idx="7">
                  <c:v>149.27741935483871</c:v>
                </c:pt>
                <c:pt idx="8">
                  <c:v>175.06666666666666</c:v>
                </c:pt>
                <c:pt idx="9">
                  <c:v>172.41290322580645</c:v>
                </c:pt>
                <c:pt idx="10">
                  <c:v>258.20666666666665</c:v>
                </c:pt>
                <c:pt idx="11">
                  <c:v>256.81333333333333</c:v>
                </c:pt>
              </c:numCache>
            </c:numRef>
          </c:val>
          <c:smooth val="0"/>
          <c:extLst>
            <c:ext xmlns:c16="http://schemas.microsoft.com/office/drawing/2014/chart" uri="{C3380CC4-5D6E-409C-BE32-E72D297353CC}">
              <c16:uniqueId val="{00000000-EF57-411F-934A-304FC4095012}"/>
            </c:ext>
          </c:extLst>
        </c:ser>
        <c:dLbls>
          <c:dLblPos val="ctr"/>
          <c:showLegendKey val="0"/>
          <c:showVal val="1"/>
          <c:showCatName val="0"/>
          <c:showSerName val="0"/>
          <c:showPercent val="0"/>
          <c:showBubbleSize val="0"/>
        </c:dLbls>
        <c:marker val="1"/>
        <c:smooth val="0"/>
        <c:axId val="1980170527"/>
        <c:axId val="1980171007"/>
      </c:lineChart>
      <c:catAx>
        <c:axId val="1980170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0171007"/>
        <c:crosses val="autoZero"/>
        <c:auto val="1"/>
        <c:lblAlgn val="ctr"/>
        <c:lblOffset val="100"/>
        <c:noMultiLvlLbl val="0"/>
      </c:catAx>
      <c:valAx>
        <c:axId val="19801710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198017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[Delhi_AQI_12months_5zones AJAY.xlsx]Polluntant level Analysis!PivotTable2</c:name>
    <c:fmtId val="26"/>
  </c:pivotSource>
  <c:chart>
    <c:title>
      <c:tx>
        <c:rich>
          <a:bodyPr rot="0" spcFirstLastPara="1" vertOverflow="ellipsis" vert="horz" wrap="square" anchor="ctr" anchorCtr="1"/>
          <a:lstStyle/>
          <a:p>
            <a:pPr algn="ctr" rtl="0">
              <a:defRPr lang="en-US"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rPr>
              <a:t>Pollutants Contribution</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ysClr val="windowText" lastClr="000000">
                <a:lumMod val="50000"/>
                <a:lumOff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7357001972386588"/>
              <c:y val="-3.5015206954271301E-2"/>
            </c:manualLayout>
          </c:layout>
          <c:spPr>
            <a:solidFill>
              <a:sysClr val="windowText" lastClr="000000">
                <a:lumMod val="50000"/>
                <a:lumOff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21696252465483234"/>
              <c:y val="4.6686942605695073E-2"/>
            </c:manualLayout>
          </c:layout>
          <c:spPr>
            <a:solidFill>
              <a:sysClr val="windowText" lastClr="000000">
                <a:lumMod val="50000"/>
                <a:lumOff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637082420910404"/>
              <c:y val="-0.10504562086281391"/>
            </c:manualLayout>
          </c:layout>
          <c:spPr>
            <a:solidFill>
              <a:sysClr val="windowText" lastClr="000000">
                <a:lumMod val="50000"/>
                <a:lumOff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367211790833838"/>
                  <c:h val="0.10768202393410402"/>
                </c:manualLayout>
              </c15:layout>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8.4812623274161766E-2"/>
              <c:y val="-0.14395140636755985"/>
            </c:manualLayout>
          </c:layout>
          <c:spPr>
            <a:solidFill>
              <a:sysClr val="windowText" lastClr="000000">
                <a:lumMod val="50000"/>
                <a:lumOff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1652580409697307"/>
                  <c:h val="0.10768202393410402"/>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7.1005917159763246E-2"/>
              <c:y val="-0.17896661332183114"/>
            </c:manualLayout>
          </c:layout>
          <c:spPr>
            <a:solidFill>
              <a:sysClr val="windowText" lastClr="000000">
                <a:lumMod val="50000"/>
                <a:lumOff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29262855456677389"/>
          <c:y val="0.33039283202258618"/>
          <c:w val="0.47547572178477693"/>
          <c:h val="0.79245953630796151"/>
        </c:manualLayout>
      </c:layout>
      <c:doughnutChart>
        <c:varyColors val="1"/>
        <c:ser>
          <c:idx val="0"/>
          <c:order val="0"/>
          <c:tx>
            <c:strRef>
              <c:f>'Polluntant level Analysis'!$C$7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5B1-4F80-A66C-28B51B68F0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5B1-4F80-A66C-28B51B68F01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5B1-4F80-A66C-28B51B68F01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5B1-4F80-A66C-28B51B68F01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5B1-4F80-A66C-28B51B68F018}"/>
              </c:ext>
            </c:extLst>
          </c:dPt>
          <c:dLbls>
            <c:dLbl>
              <c:idx val="0"/>
              <c:layout>
                <c:manualLayout>
                  <c:x val="0.17357001972386588"/>
                  <c:y val="-3.50152069542713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5B1-4F80-A66C-28B51B68F018}"/>
                </c:ext>
              </c:extLst>
            </c:dLbl>
            <c:dLbl>
              <c:idx val="1"/>
              <c:layout>
                <c:manualLayout>
                  <c:x val="-0.21696252465483234"/>
                  <c:y val="4.66869426056950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B1-4F80-A66C-28B51B68F018}"/>
                </c:ext>
              </c:extLst>
            </c:dLbl>
            <c:dLbl>
              <c:idx val="2"/>
              <c:layout>
                <c:manualLayout>
                  <c:x val="-0.1637082420910404"/>
                  <c:y val="-0.10504562086281391"/>
                </c:manualLayout>
              </c:layout>
              <c:showLegendKey val="0"/>
              <c:showVal val="0"/>
              <c:showCatName val="1"/>
              <c:showSerName val="0"/>
              <c:showPercent val="1"/>
              <c:showBubbleSize val="0"/>
              <c:extLst>
                <c:ext xmlns:c15="http://schemas.microsoft.com/office/drawing/2012/chart" uri="{CE6537A1-D6FC-4f65-9D91-7224C49458BB}">
                  <c15:layout>
                    <c:manualLayout>
                      <c:w val="0.1367211790833838"/>
                      <c:h val="0.10768202393410402"/>
                    </c:manualLayout>
                  </c15:layout>
                </c:ext>
                <c:ext xmlns:c16="http://schemas.microsoft.com/office/drawing/2014/chart" uri="{C3380CC4-5D6E-409C-BE32-E72D297353CC}">
                  <c16:uniqueId val="{00000005-F5B1-4F80-A66C-28B51B68F018}"/>
                </c:ext>
              </c:extLst>
            </c:dLbl>
            <c:dLbl>
              <c:idx val="3"/>
              <c:layout>
                <c:manualLayout>
                  <c:x val="-8.4812623274161766E-2"/>
                  <c:y val="-0.14395140636755985"/>
                </c:manualLayout>
              </c:layout>
              <c:showLegendKey val="0"/>
              <c:showVal val="0"/>
              <c:showCatName val="1"/>
              <c:showSerName val="0"/>
              <c:showPercent val="1"/>
              <c:showBubbleSize val="0"/>
              <c:extLst>
                <c:ext xmlns:c15="http://schemas.microsoft.com/office/drawing/2012/chart" uri="{CE6537A1-D6FC-4f65-9D91-7224C49458BB}">
                  <c15:layout>
                    <c:manualLayout>
                      <c:w val="0.11652580409697307"/>
                      <c:h val="0.10768202393410402"/>
                    </c:manualLayout>
                  </c15:layout>
                </c:ext>
                <c:ext xmlns:c16="http://schemas.microsoft.com/office/drawing/2014/chart" uri="{C3380CC4-5D6E-409C-BE32-E72D297353CC}">
                  <c16:uniqueId val="{00000007-F5B1-4F80-A66C-28B51B68F018}"/>
                </c:ext>
              </c:extLst>
            </c:dLbl>
            <c:dLbl>
              <c:idx val="4"/>
              <c:layout>
                <c:manualLayout>
                  <c:x val="7.1005917159763246E-2"/>
                  <c:y val="-0.178966613321831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5B1-4F80-A66C-28B51B68F018}"/>
                </c:ext>
              </c:extLst>
            </c:dLbl>
            <c:spPr>
              <a:solidFill>
                <a:sysClr val="windowText" lastClr="000000">
                  <a:lumMod val="50000"/>
                  <a:lumOff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'Polluntant level Analysis'!$B$8:$B$12</c:f>
              <c:strCache>
                <c:ptCount val="5"/>
                <c:pt idx="0">
                  <c:v>PM10</c:v>
                </c:pt>
                <c:pt idx="1">
                  <c:v>PM2.5</c:v>
                </c:pt>
                <c:pt idx="2">
                  <c:v>O3</c:v>
                </c:pt>
                <c:pt idx="3">
                  <c:v>CO</c:v>
                </c:pt>
                <c:pt idx="4">
                  <c:v>NO2</c:v>
                </c:pt>
              </c:strCache>
            </c:strRef>
          </c:cat>
          <c:val>
            <c:numRef>
              <c:f>'Polluntant level Analysis'!$C$8:$C$12</c:f>
              <c:numCache>
                <c:formatCode>General</c:formatCode>
                <c:ptCount val="5"/>
                <c:pt idx="0">
                  <c:v>802</c:v>
                </c:pt>
                <c:pt idx="1">
                  <c:v>466</c:v>
                </c:pt>
                <c:pt idx="2">
                  <c:v>457</c:v>
                </c:pt>
                <c:pt idx="3">
                  <c:v>63</c:v>
                </c:pt>
                <c:pt idx="4">
                  <c:v>37</c:v>
                </c:pt>
              </c:numCache>
            </c:numRef>
          </c:val>
          <c:extLst>
            <c:ext xmlns:c16="http://schemas.microsoft.com/office/drawing/2014/chart" uri="{C3380CC4-5D6E-409C-BE32-E72D297353CC}">
              <c16:uniqueId val="{0000000A-F5B1-4F80-A66C-28B51B68F018}"/>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[Delhi_AQI_12months_5zones AJAY.xlsx]AQI Category Analysis!PivotTable3</c:name>
    <c:fmtId val="22"/>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a:solidFill>
                  <a:schemeClr val="tx1">
                    <a:lumMod val="65000"/>
                    <a:lumOff val="35000"/>
                  </a:schemeClr>
                </a:solidFill>
              </a:rPr>
              <a:t>AQI</a:t>
            </a:r>
            <a:r>
              <a:rPr lang="en-IN" sz="1600" baseline="0">
                <a:solidFill>
                  <a:schemeClr val="tx1">
                    <a:lumMod val="65000"/>
                    <a:lumOff val="35000"/>
                  </a:schemeClr>
                </a:solidFill>
              </a:rPr>
              <a:t> Category and Frequency</a:t>
            </a:r>
            <a:endParaRPr lang="en-IN" sz="16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8333333333333334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7222222222222221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8912583843686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'AQI Category Analysis'!$C$6</c:f>
              <c:strCache>
                <c:ptCount val="1"/>
                <c:pt idx="0">
                  <c:v>No. of days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extLst>
              <c:ext xmlns:c16="http://schemas.microsoft.com/office/drawing/2014/chart" uri="{C3380CC4-5D6E-409C-BE32-E72D297353CC}">
                <c16:uniqueId val="{00000004-25CD-4D00-979F-822CDDD3A4B1}"/>
              </c:ext>
            </c:extLst>
          </c:dPt>
          <c:dLbls>
            <c:dLbl>
              <c:idx val="1"/>
              <c:layout>
                <c:manualLayout>
                  <c:x val="-5.5555555555555558E-3"/>
                  <c:y val="6.89125838436862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CD-4D00-979F-822CDDD3A4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'AQI Category Analysis'!$B$7:$B$10</c:f>
              <c:strCache>
                <c:ptCount val="4"/>
                <c:pt idx="0">
                  <c:v>Hazardous</c:v>
                </c:pt>
                <c:pt idx="1">
                  <c:v>Moderate</c:v>
                </c:pt>
                <c:pt idx="2">
                  <c:v>Poor</c:v>
                </c:pt>
                <c:pt idx="3">
                  <c:v>Very Poor</c:v>
                </c:pt>
              </c:strCache>
            </c:strRef>
          </c:cat>
          <c:val>
            <c:numRef>
              <c:f>'AQI Category Analysis'!$C$7:$C$10</c:f>
              <c:numCache>
                <c:formatCode>General</c:formatCode>
                <c:ptCount val="4"/>
                <c:pt idx="0">
                  <c:v>174</c:v>
                </c:pt>
                <c:pt idx="1">
                  <c:v>98</c:v>
                </c:pt>
                <c:pt idx="2">
                  <c:v>1024</c:v>
                </c:pt>
                <c:pt idx="3">
                  <c:v>529</c:v>
                </c:pt>
              </c:numCache>
            </c:numRef>
          </c:val>
          <c:extLst>
            <c:ext xmlns:c16="http://schemas.microsoft.com/office/drawing/2014/chart" uri="{C3380CC4-5D6E-409C-BE32-E72D297353CC}">
              <c16:uniqueId val="{00000000-25CD-4D00-979F-822CDDD3A4B1}"/>
            </c:ext>
          </c:extLst>
        </c:ser>
        <c:dLbls>
          <c:showLegendKey val="0"/>
          <c:showVal val="1"/>
          <c:showCatName val="0"/>
          <c:showSerName val="0"/>
          <c:showPercent val="0"/>
          <c:showBubbleSize val="0"/>
        </c:dLbls>
        <c:gapWidth val="269"/>
        <c:overlap val="-27"/>
        <c:axId val="2003257487"/>
        <c:axId val="2003258447"/>
      </c:barChart>
      <c:lineChart>
        <c:grouping val="standard"/>
        <c:varyColors val="0"/>
        <c:ser>
          <c:idx val="1"/>
          <c:order val="1"/>
          <c:tx>
            <c:strRef>
              <c:f>'AQI Category Analysis'!$D$6</c:f>
              <c:strCache>
                <c:ptCount val="1"/>
                <c:pt idx="0">
                  <c:v>% of Days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25CD-4D00-979F-822CDDD3A4B1}"/>
              </c:ext>
            </c:extLst>
          </c:dPt>
          <c:dPt>
            <c:idx val="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2-25CD-4D00-979F-822CDDD3A4B1}"/>
              </c:ext>
            </c:extLst>
          </c:dPt>
          <c:dLbls>
            <c:dLbl>
              <c:idx val="0"/>
              <c:layout>
                <c:manualLayout>
                  <c:x val="-4.7222222222222221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CD-4D00-979F-822CDDD3A4B1}"/>
                </c:ext>
              </c:extLst>
            </c:dLbl>
            <c:dLbl>
              <c:idx val="1"/>
              <c:layout>
                <c:manualLayout>
                  <c:x val="-5.8333333333333334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CD-4D00-979F-822CDDD3A4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'AQI Category Analysis'!$B$7:$B$10</c:f>
              <c:strCache>
                <c:ptCount val="4"/>
                <c:pt idx="0">
                  <c:v>Hazardous</c:v>
                </c:pt>
                <c:pt idx="1">
                  <c:v>Moderate</c:v>
                </c:pt>
                <c:pt idx="2">
                  <c:v>Poor</c:v>
                </c:pt>
                <c:pt idx="3">
                  <c:v>Very Poor</c:v>
                </c:pt>
              </c:strCache>
            </c:strRef>
          </c:cat>
          <c:val>
            <c:numRef>
              <c:f>'AQI Category Analysis'!$D$7:$D$10</c:f>
              <c:numCache>
                <c:formatCode>0.00%</c:formatCode>
                <c:ptCount val="4"/>
                <c:pt idx="0">
                  <c:v>9.5342465753424657E-2</c:v>
                </c:pt>
                <c:pt idx="1">
                  <c:v>5.3698630136986301E-2</c:v>
                </c:pt>
                <c:pt idx="2">
                  <c:v>0.56109589041095886</c:v>
                </c:pt>
                <c:pt idx="3">
                  <c:v>0.28986301369863016</c:v>
                </c:pt>
              </c:numCache>
            </c:numRef>
          </c:val>
          <c:smooth val="0"/>
          <c:extLst>
            <c:ext xmlns:c16="http://schemas.microsoft.com/office/drawing/2014/chart" uri="{C3380CC4-5D6E-409C-BE32-E72D297353CC}">
              <c16:uniqueId val="{00000001-25CD-4D00-979F-822CDDD3A4B1}"/>
            </c:ext>
          </c:extLst>
        </c:ser>
        <c:dLbls>
          <c:showLegendKey val="0"/>
          <c:showVal val="1"/>
          <c:showCatName val="0"/>
          <c:showSerName val="0"/>
          <c:showPercent val="0"/>
          <c:showBubbleSize val="0"/>
        </c:dLbls>
        <c:marker val="1"/>
        <c:smooth val="0"/>
        <c:axId val="1832897487"/>
        <c:axId val="2006994671"/>
      </c:lineChart>
      <c:catAx>
        <c:axId val="2003257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AQI 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03258447"/>
        <c:crosses val="autoZero"/>
        <c:auto val="1"/>
        <c:lblAlgn val="ctr"/>
        <c:lblOffset val="100"/>
        <c:noMultiLvlLbl val="0"/>
      </c:catAx>
      <c:valAx>
        <c:axId val="2003258447"/>
        <c:scaling>
          <c:orientation val="minMax"/>
        </c:scaling>
        <c:delete val="0"/>
        <c:axPos val="l"/>
        <c:majorGridlines>
          <c:spPr>
            <a:ln w="9525" cap="flat" cmpd="sng" algn="ctr">
              <a:solidFill>
                <a:schemeClr val="tx2"/>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 of Days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03257487"/>
        <c:crosses val="autoZero"/>
        <c:crossBetween val="between"/>
      </c:valAx>
      <c:valAx>
        <c:axId val="200699467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32897487"/>
        <c:crosses val="max"/>
        <c:crossBetween val="between"/>
      </c:valAx>
      <c:catAx>
        <c:axId val="1832897487"/>
        <c:scaling>
          <c:orientation val="minMax"/>
        </c:scaling>
        <c:delete val="1"/>
        <c:axPos val="t"/>
        <c:numFmt formatCode="General" sourceLinked="1"/>
        <c:majorTickMark val="none"/>
        <c:minorTickMark val="none"/>
        <c:tickLblPos val="nextTo"/>
        <c:crossAx val="2006994671"/>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[Delhi_AQI_12months_5zones AJAY.xlsx]AQI Category Analysis!PivotTable5</c:name>
    <c:fmtId val="2"/>
  </c:pivotSource>
  <c:chart>
    <c:title>
      <c:tx>
        <c:rich>
          <a:bodyPr rot="0" spcFirstLastPara="1" vertOverflow="ellipsis" vert="horz" wrap="square" anchor="ctr" anchorCtr="1"/>
          <a:lstStyle/>
          <a:p>
            <a:pPr algn="ctr" rtl="0">
              <a:defRPr lang="en-US"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rPr>
              <a:t>Hazardous AQI Alerts each Month</a:t>
            </a:r>
          </a:p>
        </c:rich>
      </c:tx>
      <c:layout>
        <c:manualLayout>
          <c:xMode val="edge"/>
          <c:yMode val="edge"/>
          <c:x val="0.14783333333333334"/>
          <c:y val="3.3528918692372171E-2"/>
        </c:manualLayout>
      </c:layout>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chemeClr val="tx1">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53937007874016"/>
          <c:y val="0.15449627476272065"/>
          <c:w val="0.80123840769903776"/>
          <c:h val="0.71772969087910454"/>
        </c:manualLayout>
      </c:layout>
      <c:barChart>
        <c:barDir val="bar"/>
        <c:grouping val="clustered"/>
        <c:varyColors val="0"/>
        <c:ser>
          <c:idx val="0"/>
          <c:order val="0"/>
          <c:tx>
            <c:strRef>
              <c:f>'AQI Category Analysis'!$C$15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'AQI Category Analysis'!$B$16:$B$26</c:f>
              <c:strCache>
                <c:ptCount val="10"/>
                <c:pt idx="0">
                  <c:v>Dec</c:v>
                </c:pt>
                <c:pt idx="1">
                  <c:v>Nov</c:v>
                </c:pt>
                <c:pt idx="2">
                  <c:v>Oct</c:v>
                </c:pt>
                <c:pt idx="3">
                  <c:v>Sep</c:v>
                </c:pt>
                <c:pt idx="4">
                  <c:v>Jul</c:v>
                </c:pt>
                <c:pt idx="5">
                  <c:v>Jun</c:v>
                </c:pt>
                <c:pt idx="6">
                  <c:v>Apr</c:v>
                </c:pt>
                <c:pt idx="7">
                  <c:v>Mar</c:v>
                </c:pt>
                <c:pt idx="8">
                  <c:v>Feb</c:v>
                </c:pt>
                <c:pt idx="9">
                  <c:v>Jan</c:v>
                </c:pt>
              </c:strCache>
            </c:strRef>
          </c:cat>
          <c:val>
            <c:numRef>
              <c:f>'AQI Category Analysis'!$C$16:$C$26</c:f>
              <c:numCache>
                <c:formatCode>General</c:formatCode>
                <c:ptCount val="10"/>
                <c:pt idx="0">
                  <c:v>41</c:v>
                </c:pt>
                <c:pt idx="1">
                  <c:v>45</c:v>
                </c:pt>
                <c:pt idx="2">
                  <c:v>2</c:v>
                </c:pt>
                <c:pt idx="3">
                  <c:v>2</c:v>
                </c:pt>
                <c:pt idx="4">
                  <c:v>1</c:v>
                </c:pt>
                <c:pt idx="5">
                  <c:v>1</c:v>
                </c:pt>
                <c:pt idx="6">
                  <c:v>2</c:v>
                </c:pt>
                <c:pt idx="7">
                  <c:v>1</c:v>
                </c:pt>
                <c:pt idx="8">
                  <c:v>40</c:v>
                </c:pt>
                <c:pt idx="9">
                  <c:v>39</c:v>
                </c:pt>
              </c:numCache>
            </c:numRef>
          </c:val>
          <c:extLst>
            <c:ext xmlns:c16="http://schemas.microsoft.com/office/drawing/2014/chart" uri="{C3380CC4-5D6E-409C-BE32-E72D297353CC}">
              <c16:uniqueId val="{00000000-84F9-4D94-B721-E1BD493162E3}"/>
            </c:ext>
          </c:extLst>
        </c:ser>
        <c:dLbls>
          <c:dLblPos val="inEnd"/>
          <c:showLegendKey val="0"/>
          <c:showVal val="1"/>
          <c:showCatName val="0"/>
          <c:showSerName val="0"/>
          <c:showPercent val="0"/>
          <c:showBubbleSize val="0"/>
        </c:dLbls>
        <c:gapWidth val="65"/>
        <c:axId val="666675103"/>
        <c:axId val="666674623"/>
      </c:barChart>
      <c:catAx>
        <c:axId val="66667510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Months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6674623"/>
        <c:crosses val="autoZero"/>
        <c:auto val="1"/>
        <c:lblAlgn val="ctr"/>
        <c:lblOffset val="100"/>
        <c:noMultiLvlLbl val="0"/>
      </c:catAx>
      <c:valAx>
        <c:axId val="66667462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No. of Alerts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6667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9922</xdr:colOff>
      <xdr:row>20</xdr:row>
      <xdr:rowOff>79375</xdr:rowOff>
    </xdr:from>
    <xdr:to>
      <xdr:col>22</xdr:col>
      <xdr:colOff>406796</xdr:colOff>
      <xdr:row>41</xdr:row>
      <xdr:rowOff>0</xdr:rowOff>
    </xdr:to>
    <xdr:graphicFrame macro="">
      <xdr:nvGraphicFramePr>
        <xdr:cNvPr id="2" name="Chart 1">
          <a:extLst>
            <a:ext uri="{FF2B5EF4-FFF2-40B4-BE49-F238E27FC236}">
              <a16:creationId xmlns:a16="http://schemas.microsoft.com/office/drawing/2014/main" id="{572A245E-8FA6-4EC7-8013-4B38D4B3E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89297</xdr:colOff>
      <xdr:row>3</xdr:row>
      <xdr:rowOff>0</xdr:rowOff>
    </xdr:from>
    <xdr:to>
      <xdr:col>6</xdr:col>
      <xdr:colOff>545704</xdr:colOff>
      <xdr:row>6</xdr:row>
      <xdr:rowOff>79375</xdr:rowOff>
    </xdr:to>
    <xdr:sp macro="" textlink="">
      <xdr:nvSpPr>
        <xdr:cNvPr id="3" name="Rectangle 2">
          <a:extLst>
            <a:ext uri="{FF2B5EF4-FFF2-40B4-BE49-F238E27FC236}">
              <a16:creationId xmlns:a16="http://schemas.microsoft.com/office/drawing/2014/main" id="{4759D027-2BA3-9B7F-7261-2A2357B82BBB}"/>
            </a:ext>
          </a:extLst>
        </xdr:cNvPr>
        <xdr:cNvSpPr/>
      </xdr:nvSpPr>
      <xdr:spPr>
        <a:xfrm>
          <a:off x="1964531" y="535781"/>
          <a:ext cx="2311798" cy="644922"/>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a:solidFill>
                <a:schemeClr val="accent5">
                  <a:lumMod val="50000"/>
                </a:schemeClr>
              </a:solidFill>
            </a:rPr>
            <a:t>193.73</a:t>
          </a:r>
        </a:p>
      </xdr:txBody>
    </xdr:sp>
    <xdr:clientData/>
  </xdr:twoCellAnchor>
  <xdr:twoCellAnchor>
    <xdr:from>
      <xdr:col>3</xdr:col>
      <xdr:colOff>550942</xdr:colOff>
      <xdr:row>4</xdr:row>
      <xdr:rowOff>149543</xdr:rowOff>
    </xdr:from>
    <xdr:to>
      <xdr:col>6</xdr:col>
      <xdr:colOff>48022</xdr:colOff>
      <xdr:row>5</xdr:row>
      <xdr:rowOff>105807</xdr:rowOff>
    </xdr:to>
    <xdr:sp macro="" textlink="">
      <xdr:nvSpPr>
        <xdr:cNvPr id="5" name="TextBox 4">
          <a:extLst>
            <a:ext uri="{FF2B5EF4-FFF2-40B4-BE49-F238E27FC236}">
              <a16:creationId xmlns:a16="http://schemas.microsoft.com/office/drawing/2014/main" id="{6B6EED83-3B9C-A28A-237F-D56AB929FC7D}"/>
            </a:ext>
          </a:extLst>
        </xdr:cNvPr>
        <xdr:cNvSpPr txBox="1"/>
      </xdr:nvSpPr>
      <xdr:spPr>
        <a:xfrm>
          <a:off x="2426176" y="873840"/>
          <a:ext cx="1352471" cy="144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Average AQI</a:t>
          </a:r>
        </a:p>
      </xdr:txBody>
    </xdr:sp>
    <xdr:clientData/>
  </xdr:twoCellAnchor>
  <xdr:twoCellAnchor>
    <xdr:from>
      <xdr:col>11</xdr:col>
      <xdr:colOff>9923</xdr:colOff>
      <xdr:row>3</xdr:row>
      <xdr:rowOff>0</xdr:rowOff>
    </xdr:from>
    <xdr:to>
      <xdr:col>14</xdr:col>
      <xdr:colOff>545704</xdr:colOff>
      <xdr:row>6</xdr:row>
      <xdr:rowOff>59532</xdr:rowOff>
    </xdr:to>
    <xdr:sp macro="" textlink="">
      <xdr:nvSpPr>
        <xdr:cNvPr id="6" name="Rectangle 5">
          <a:extLst>
            <a:ext uri="{FF2B5EF4-FFF2-40B4-BE49-F238E27FC236}">
              <a16:creationId xmlns:a16="http://schemas.microsoft.com/office/drawing/2014/main" id="{2C2F19ED-E373-FC83-C846-0C6DF9B115B2}"/>
            </a:ext>
          </a:extLst>
        </xdr:cNvPr>
        <xdr:cNvSpPr/>
      </xdr:nvSpPr>
      <xdr:spPr>
        <a:xfrm>
          <a:off x="6766720" y="535781"/>
          <a:ext cx="2371328" cy="625079"/>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a:solidFill>
                <a:srgbClr val="C00000"/>
              </a:solidFill>
            </a:rPr>
            <a:t>500</a:t>
          </a:r>
        </a:p>
      </xdr:txBody>
    </xdr:sp>
    <xdr:clientData/>
  </xdr:twoCellAnchor>
  <xdr:twoCellAnchor>
    <xdr:from>
      <xdr:col>11</xdr:col>
      <xdr:colOff>598328</xdr:colOff>
      <xdr:row>4</xdr:row>
      <xdr:rowOff>124380</xdr:rowOff>
    </xdr:from>
    <xdr:to>
      <xdr:col>14</xdr:col>
      <xdr:colOff>15954</xdr:colOff>
      <xdr:row>5</xdr:row>
      <xdr:rowOff>95884</xdr:rowOff>
    </xdr:to>
    <xdr:sp macro="" textlink="">
      <xdr:nvSpPr>
        <xdr:cNvPr id="8" name="TextBox 7">
          <a:extLst>
            <a:ext uri="{FF2B5EF4-FFF2-40B4-BE49-F238E27FC236}">
              <a16:creationId xmlns:a16="http://schemas.microsoft.com/office/drawing/2014/main" id="{445AB751-852E-BE52-4F5F-097539539886}"/>
            </a:ext>
          </a:extLst>
        </xdr:cNvPr>
        <xdr:cNvSpPr txBox="1"/>
      </xdr:nvSpPr>
      <xdr:spPr>
        <a:xfrm>
          <a:off x="7355125" y="848677"/>
          <a:ext cx="1253173" cy="160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Highest AQI</a:t>
          </a:r>
        </a:p>
      </xdr:txBody>
    </xdr:sp>
    <xdr:clientData/>
  </xdr:twoCellAnchor>
  <xdr:twoCellAnchor>
    <xdr:from>
      <xdr:col>6</xdr:col>
      <xdr:colOff>585391</xdr:colOff>
      <xdr:row>3</xdr:row>
      <xdr:rowOff>0</xdr:rowOff>
    </xdr:from>
    <xdr:to>
      <xdr:col>10</xdr:col>
      <xdr:colOff>581263</xdr:colOff>
      <xdr:row>6</xdr:row>
      <xdr:rowOff>69453</xdr:rowOff>
    </xdr:to>
    <xdr:sp macro="" textlink="">
      <xdr:nvSpPr>
        <xdr:cNvPr id="9" name="Rectangle 8">
          <a:extLst>
            <a:ext uri="{FF2B5EF4-FFF2-40B4-BE49-F238E27FC236}">
              <a16:creationId xmlns:a16="http://schemas.microsoft.com/office/drawing/2014/main" id="{9F1990C4-5EAF-D5B2-C5D4-0E2FDDCC5BF0}"/>
            </a:ext>
          </a:extLst>
        </xdr:cNvPr>
        <xdr:cNvSpPr/>
      </xdr:nvSpPr>
      <xdr:spPr>
        <a:xfrm>
          <a:off x="4316016" y="535781"/>
          <a:ext cx="2416810" cy="635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a:solidFill>
                <a:srgbClr val="005600"/>
              </a:solidFill>
            </a:rPr>
            <a:t>East Residential</a:t>
          </a:r>
        </a:p>
      </xdr:txBody>
    </xdr:sp>
    <xdr:clientData/>
  </xdr:twoCellAnchor>
  <xdr:twoCellAnchor>
    <xdr:from>
      <xdr:col>7</xdr:col>
      <xdr:colOff>364172</xdr:colOff>
      <xdr:row>4</xdr:row>
      <xdr:rowOff>134304</xdr:rowOff>
    </xdr:from>
    <xdr:to>
      <xdr:col>10</xdr:col>
      <xdr:colOff>158432</xdr:colOff>
      <xdr:row>5</xdr:row>
      <xdr:rowOff>105808</xdr:rowOff>
    </xdr:to>
    <xdr:sp macro="" textlink="">
      <xdr:nvSpPr>
        <xdr:cNvPr id="11" name="TextBox 10">
          <a:extLst>
            <a:ext uri="{FF2B5EF4-FFF2-40B4-BE49-F238E27FC236}">
              <a16:creationId xmlns:a16="http://schemas.microsoft.com/office/drawing/2014/main" id="{291A3E3E-E627-0FF2-93BE-B24B0751ACC4}"/>
            </a:ext>
          </a:extLst>
        </xdr:cNvPr>
        <xdr:cNvSpPr txBox="1"/>
      </xdr:nvSpPr>
      <xdr:spPr>
        <a:xfrm>
          <a:off x="4700031" y="858601"/>
          <a:ext cx="1609964" cy="160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Cleanest</a:t>
          </a:r>
          <a:r>
            <a:rPr lang="en-IN" sz="1100" b="1" baseline="0"/>
            <a:t> Zone</a:t>
          </a:r>
          <a:endParaRPr lang="en-IN" sz="1100" b="1"/>
        </a:p>
      </xdr:txBody>
    </xdr:sp>
    <xdr:clientData/>
  </xdr:twoCellAnchor>
  <xdr:twoCellAnchor>
    <xdr:from>
      <xdr:col>14</xdr:col>
      <xdr:colOff>590232</xdr:colOff>
      <xdr:row>3</xdr:row>
      <xdr:rowOff>1</xdr:rowOff>
    </xdr:from>
    <xdr:to>
      <xdr:col>18</xdr:col>
      <xdr:colOff>562768</xdr:colOff>
      <xdr:row>6</xdr:row>
      <xdr:rowOff>59532</xdr:rowOff>
    </xdr:to>
    <xdr:sp macro="" textlink="">
      <xdr:nvSpPr>
        <xdr:cNvPr id="12" name="Rectangle 11">
          <a:extLst>
            <a:ext uri="{FF2B5EF4-FFF2-40B4-BE49-F238E27FC236}">
              <a16:creationId xmlns:a16="http://schemas.microsoft.com/office/drawing/2014/main" id="{64BDCDD0-298A-4007-5F0D-BA3BCE406A1F}"/>
            </a:ext>
          </a:extLst>
        </xdr:cNvPr>
        <xdr:cNvSpPr/>
      </xdr:nvSpPr>
      <xdr:spPr>
        <a:xfrm>
          <a:off x="9182576" y="535782"/>
          <a:ext cx="2413317" cy="625078"/>
        </a:xfrm>
        <a:prstGeom prst="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a:solidFill>
                <a:schemeClr val="tx1"/>
              </a:solidFill>
            </a:rPr>
            <a:t>North Industrial</a:t>
          </a:r>
        </a:p>
      </xdr:txBody>
    </xdr:sp>
    <xdr:clientData/>
  </xdr:twoCellAnchor>
  <xdr:twoCellAnchor>
    <xdr:from>
      <xdr:col>15</xdr:col>
      <xdr:colOff>443389</xdr:colOff>
      <xdr:row>4</xdr:row>
      <xdr:rowOff>151844</xdr:rowOff>
    </xdr:from>
    <xdr:to>
      <xdr:col>18</xdr:col>
      <xdr:colOff>115729</xdr:colOff>
      <xdr:row>5</xdr:row>
      <xdr:rowOff>108108</xdr:rowOff>
    </xdr:to>
    <xdr:sp macro="" textlink="">
      <xdr:nvSpPr>
        <xdr:cNvPr id="13" name="TextBox 12">
          <a:extLst>
            <a:ext uri="{FF2B5EF4-FFF2-40B4-BE49-F238E27FC236}">
              <a16:creationId xmlns:a16="http://schemas.microsoft.com/office/drawing/2014/main" id="{52575149-13AA-C3ED-9E77-CA8B008665B2}"/>
            </a:ext>
          </a:extLst>
        </xdr:cNvPr>
        <xdr:cNvSpPr txBox="1"/>
      </xdr:nvSpPr>
      <xdr:spPr>
        <a:xfrm>
          <a:off x="9660811" y="876141"/>
          <a:ext cx="1488043" cy="144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Most Polluted Zone</a:t>
          </a:r>
        </a:p>
      </xdr:txBody>
    </xdr:sp>
    <xdr:clientData/>
  </xdr:twoCellAnchor>
  <xdr:twoCellAnchor>
    <xdr:from>
      <xdr:col>18</xdr:col>
      <xdr:colOff>601980</xdr:colOff>
      <xdr:row>3</xdr:row>
      <xdr:rowOff>0</xdr:rowOff>
    </xdr:from>
    <xdr:to>
      <xdr:col>22</xdr:col>
      <xdr:colOff>586740</xdr:colOff>
      <xdr:row>6</xdr:row>
      <xdr:rowOff>69454</xdr:rowOff>
    </xdr:to>
    <xdr:sp macro="" textlink="">
      <xdr:nvSpPr>
        <xdr:cNvPr id="14" name="Rectangle 13">
          <a:extLst>
            <a:ext uri="{FF2B5EF4-FFF2-40B4-BE49-F238E27FC236}">
              <a16:creationId xmlns:a16="http://schemas.microsoft.com/office/drawing/2014/main" id="{DE7FA0AA-C4F3-97CF-9A88-6D9DF982C185}"/>
            </a:ext>
          </a:extLst>
        </xdr:cNvPr>
        <xdr:cNvSpPr/>
      </xdr:nvSpPr>
      <xdr:spPr>
        <a:xfrm>
          <a:off x="11635105" y="535781"/>
          <a:ext cx="2405698" cy="635001"/>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b="1">
              <a:solidFill>
                <a:srgbClr val="FFC000"/>
              </a:solidFill>
            </a:rPr>
            <a:t>PM10</a:t>
          </a:r>
        </a:p>
      </xdr:txBody>
    </xdr:sp>
    <xdr:clientData/>
  </xdr:twoCellAnchor>
  <xdr:twoCellAnchor>
    <xdr:from>
      <xdr:col>19</xdr:col>
      <xdr:colOff>355124</xdr:colOff>
      <xdr:row>4</xdr:row>
      <xdr:rowOff>144225</xdr:rowOff>
    </xdr:from>
    <xdr:to>
      <xdr:col>22</xdr:col>
      <xdr:colOff>225584</xdr:colOff>
      <xdr:row>5</xdr:row>
      <xdr:rowOff>108109</xdr:rowOff>
    </xdr:to>
    <xdr:sp macro="" textlink="">
      <xdr:nvSpPr>
        <xdr:cNvPr id="16" name="TextBox 15">
          <a:extLst>
            <a:ext uri="{FF2B5EF4-FFF2-40B4-BE49-F238E27FC236}">
              <a16:creationId xmlns:a16="http://schemas.microsoft.com/office/drawing/2014/main" id="{1F7C77D7-4C3C-348D-88E4-75B20621631F}"/>
            </a:ext>
          </a:extLst>
        </xdr:cNvPr>
        <xdr:cNvSpPr txBox="1"/>
      </xdr:nvSpPr>
      <xdr:spPr>
        <a:xfrm>
          <a:off x="11993483" y="868522"/>
          <a:ext cx="168616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Most</a:t>
          </a:r>
          <a:r>
            <a:rPr lang="en-IN" sz="1100" b="1" baseline="0"/>
            <a:t> Dominant Pollutant</a:t>
          </a:r>
        </a:p>
      </xdr:txBody>
    </xdr:sp>
    <xdr:clientData/>
  </xdr:twoCellAnchor>
  <xdr:twoCellAnchor editAs="oneCell">
    <xdr:from>
      <xdr:col>0</xdr:col>
      <xdr:colOff>692</xdr:colOff>
      <xdr:row>3</xdr:row>
      <xdr:rowOff>0</xdr:rowOff>
    </xdr:from>
    <xdr:to>
      <xdr:col>2</xdr:col>
      <xdr:colOff>587432</xdr:colOff>
      <xdr:row>10</xdr:row>
      <xdr:rowOff>79375</xdr:rowOff>
    </xdr:to>
    <mc:AlternateContent xmlns:mc="http://schemas.openxmlformats.org/markup-compatibility/2006" xmlns:a14="http://schemas.microsoft.com/office/drawing/2010/main">
      <mc:Choice Requires="a14">
        <xdr:graphicFrame macro="">
          <xdr:nvGraphicFramePr>
            <xdr:cNvPr id="4" name="AQI_Category">
              <a:extLst>
                <a:ext uri="{FF2B5EF4-FFF2-40B4-BE49-F238E27FC236}">
                  <a16:creationId xmlns:a16="http://schemas.microsoft.com/office/drawing/2014/main" id="{F9F9FEDD-3D02-F4F5-19E4-87168024C667}"/>
                </a:ext>
              </a:extLst>
            </xdr:cNvPr>
            <xdr:cNvGraphicFramePr/>
          </xdr:nvGraphicFramePr>
          <xdr:xfrm>
            <a:off x="0" y="0"/>
            <a:ext cx="0" cy="0"/>
          </xdr:xfrm>
          <a:graphic>
            <a:graphicData uri="http://schemas.microsoft.com/office/drawing/2010/slicer">
              <sle:slicer xmlns:sle="http://schemas.microsoft.com/office/drawing/2010/slicer" name="AQI_Category"/>
            </a:graphicData>
          </a:graphic>
        </xdr:graphicFrame>
      </mc:Choice>
      <mc:Fallback xmlns="">
        <xdr:sp macro="" textlink="">
          <xdr:nvSpPr>
            <xdr:cNvPr id="0" name=""/>
            <xdr:cNvSpPr>
              <a:spLocks noTextEdit="1"/>
            </xdr:cNvSpPr>
          </xdr:nvSpPr>
          <xdr:spPr>
            <a:xfrm>
              <a:off x="692" y="367147"/>
              <a:ext cx="1805940" cy="1399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24470</xdr:colOff>
      <xdr:row>10</xdr:row>
      <xdr:rowOff>158750</xdr:rowOff>
    </xdr:from>
    <xdr:to>
      <xdr:col>2</xdr:col>
      <xdr:colOff>603590</xdr:colOff>
      <xdr:row>19</xdr:row>
      <xdr:rowOff>158750</xdr:rowOff>
    </xdr:to>
    <mc:AlternateContent xmlns:mc="http://schemas.openxmlformats.org/markup-compatibility/2006" xmlns:a14="http://schemas.microsoft.com/office/drawing/2010/main">
      <mc:Choice Requires="a14">
        <xdr:graphicFrame macro="">
          <xdr:nvGraphicFramePr>
            <xdr:cNvPr id="7" name="Zone">
              <a:extLst>
                <a:ext uri="{FF2B5EF4-FFF2-40B4-BE49-F238E27FC236}">
                  <a16:creationId xmlns:a16="http://schemas.microsoft.com/office/drawing/2014/main" id="{6DB617FB-1B5B-B5EF-B2AF-FB26F8A1EFD5}"/>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24470" y="2014141"/>
              <a:ext cx="1829276" cy="1696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248047</xdr:colOff>
      <xdr:row>7</xdr:row>
      <xdr:rowOff>9921</xdr:rowOff>
    </xdr:from>
    <xdr:to>
      <xdr:col>22</xdr:col>
      <xdr:colOff>406797</xdr:colOff>
      <xdr:row>19</xdr:row>
      <xdr:rowOff>148827</xdr:rowOff>
    </xdr:to>
    <xdr:graphicFrame macro="">
      <xdr:nvGraphicFramePr>
        <xdr:cNvPr id="15" name="Chart 14">
          <a:extLst>
            <a:ext uri="{FF2B5EF4-FFF2-40B4-BE49-F238E27FC236}">
              <a16:creationId xmlns:a16="http://schemas.microsoft.com/office/drawing/2014/main" id="{29A86C72-F78B-4CBE-97B5-9500187A6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20</xdr:row>
      <xdr:rowOff>19844</xdr:rowOff>
    </xdr:from>
    <xdr:to>
      <xdr:col>2</xdr:col>
      <xdr:colOff>594360</xdr:colOff>
      <xdr:row>31</xdr:row>
      <xdr:rowOff>59530</xdr:rowOff>
    </xdr:to>
    <mc:AlternateContent xmlns:mc="http://schemas.openxmlformats.org/markup-compatibility/2006" xmlns:a14="http://schemas.microsoft.com/office/drawing/2010/main">
      <mc:Choice Requires="a14">
        <xdr:graphicFrame macro="">
          <xdr:nvGraphicFramePr>
            <xdr:cNvPr id="18" name="Months (Date)">
              <a:extLst>
                <a:ext uri="{FF2B5EF4-FFF2-40B4-BE49-F238E27FC236}">
                  <a16:creationId xmlns:a16="http://schemas.microsoft.com/office/drawing/2014/main" id="{48387181-AB86-E68C-EAF3-7DC8C653EA3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3760391"/>
              <a:ext cx="1844516" cy="2113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233363</xdr:colOff>
      <xdr:row>20</xdr:row>
      <xdr:rowOff>79375</xdr:rowOff>
    </xdr:from>
    <xdr:to>
      <xdr:col>16</xdr:col>
      <xdr:colOff>506016</xdr:colOff>
      <xdr:row>41</xdr:row>
      <xdr:rowOff>0</xdr:rowOff>
    </xdr:to>
    <xdr:graphicFrame macro="">
      <xdr:nvGraphicFramePr>
        <xdr:cNvPr id="19" name="Chart 18">
          <a:extLst>
            <a:ext uri="{FF2B5EF4-FFF2-40B4-BE49-F238E27FC236}">
              <a16:creationId xmlns:a16="http://schemas.microsoft.com/office/drawing/2014/main" id="{DE37DCBA-D4BC-4F77-86E1-323F716EE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6928</xdr:colOff>
      <xdr:row>31</xdr:row>
      <xdr:rowOff>151932</xdr:rowOff>
    </xdr:from>
    <xdr:to>
      <xdr:col>2</xdr:col>
      <xdr:colOff>578428</xdr:colOff>
      <xdr:row>41</xdr:row>
      <xdr:rowOff>0</xdr:rowOff>
    </xdr:to>
    <mc:AlternateContent xmlns:mc="http://schemas.openxmlformats.org/markup-compatibility/2006" xmlns:a14="http://schemas.microsoft.com/office/drawing/2010/main">
      <mc:Choice Requires="a14">
        <xdr:graphicFrame macro="">
          <xdr:nvGraphicFramePr>
            <xdr:cNvPr id="20" name="Dominant_Pollutant">
              <a:extLst>
                <a:ext uri="{FF2B5EF4-FFF2-40B4-BE49-F238E27FC236}">
                  <a16:creationId xmlns:a16="http://schemas.microsoft.com/office/drawing/2014/main" id="{A907B52F-657B-6A8E-2216-40C399D48EBD}"/>
                </a:ext>
              </a:extLst>
            </xdr:cNvPr>
            <xdr:cNvGraphicFramePr/>
          </xdr:nvGraphicFramePr>
          <xdr:xfrm>
            <a:off x="0" y="0"/>
            <a:ext cx="0" cy="0"/>
          </xdr:xfrm>
          <a:graphic>
            <a:graphicData uri="http://schemas.microsoft.com/office/drawing/2010/slicer">
              <sle:slicer xmlns:sle="http://schemas.microsoft.com/office/drawing/2010/slicer" name="Dominant_Pollutant"/>
            </a:graphicData>
          </a:graphic>
        </xdr:graphicFrame>
      </mc:Choice>
      <mc:Fallback xmlns="">
        <xdr:sp macro="" textlink="">
          <xdr:nvSpPr>
            <xdr:cNvPr id="0" name=""/>
            <xdr:cNvSpPr>
              <a:spLocks noTextEdit="1"/>
            </xdr:cNvSpPr>
          </xdr:nvSpPr>
          <xdr:spPr>
            <a:xfrm>
              <a:off x="6928" y="5966151"/>
              <a:ext cx="1821656" cy="1733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69454</xdr:colOff>
      <xdr:row>7</xdr:row>
      <xdr:rowOff>19844</xdr:rowOff>
    </xdr:from>
    <xdr:to>
      <xdr:col>11</xdr:col>
      <xdr:colOff>168672</xdr:colOff>
      <xdr:row>19</xdr:row>
      <xdr:rowOff>178594</xdr:rowOff>
    </xdr:to>
    <xdr:graphicFrame macro="">
      <xdr:nvGraphicFramePr>
        <xdr:cNvPr id="23" name="Chart 22">
          <a:extLst>
            <a:ext uri="{FF2B5EF4-FFF2-40B4-BE49-F238E27FC236}">
              <a16:creationId xmlns:a16="http://schemas.microsoft.com/office/drawing/2014/main" id="{418745FB-B805-4531-8E9D-5677AFBA0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48418</xdr:colOff>
      <xdr:row>20</xdr:row>
      <xdr:rowOff>59530</xdr:rowOff>
    </xdr:from>
    <xdr:to>
      <xdr:col>11</xdr:col>
      <xdr:colOff>148828</xdr:colOff>
      <xdr:row>41</xdr:row>
      <xdr:rowOff>0</xdr:rowOff>
    </xdr:to>
    <xdr:graphicFrame macro="">
      <xdr:nvGraphicFramePr>
        <xdr:cNvPr id="10" name="Chart 9">
          <a:extLst>
            <a:ext uri="{FF2B5EF4-FFF2-40B4-BE49-F238E27FC236}">
              <a16:creationId xmlns:a16="http://schemas.microsoft.com/office/drawing/2014/main" id="{421B8623-0D65-476B-922F-08EDAB295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nshpal/AppData/Local/Microsoft/Windows/INetCache/IE/J05UWJAX/Delhi_AQI_12months_5zones%5b1%5d.xlsx%5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nshpal/AppData/Local/Microsoft/Windows/INetCache/IE/J05UWJAX/Delhi_AQI_12months_5zones%5b1%5d.xlsx%5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pal" refreshedDate="45992.673482407408" createdVersion="8" refreshedVersion="8" minRefreshableVersion="3" recordCount="1825" xr:uid="{30DACA23-A14B-4BDB-AD38-653FC742729E}">
  <cacheSource type="worksheet">
    <worksheetSource ref="A1:T1826" sheet=".xlsx].xlsx]Delhi AQI Data" r:id="rId2"/>
  </cacheSource>
  <cacheFields count="22">
    <cacheField name="Date" numFmtId="14">
      <sharedItems containsSemiMixedTypes="0" containsNonDate="0" containsDate="1" containsString="0" minDate="2024-01-01T00:00:00" maxDate="2024-12-31T00:00:00" count="365">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21"/>
    </cacheField>
    <cacheField name="Zone" numFmtId="0">
      <sharedItems count="5">
        <s v="Central City"/>
        <s v="North Industrial"/>
        <s v="East Residential"/>
        <s v="South Market"/>
        <s v="West Highway"/>
      </sharedItems>
    </cacheField>
    <cacheField name="PM2.5_ug/m3" numFmtId="2">
      <sharedItems containsSemiMixedTypes="0" containsString="0" containsNumber="1" minValue="2" maxValue="277.2"/>
    </cacheField>
    <cacheField name="PM10_ug/m3" numFmtId="2">
      <sharedItems containsSemiMixedTypes="0" containsString="0" containsNumber="1" minValue="5" maxValue="613.20000000000005"/>
    </cacheField>
    <cacheField name="NO2_ug/m3" numFmtId="2">
      <sharedItems containsSemiMixedTypes="0" containsString="0" containsNumber="1" minValue="2" maxValue="195.3"/>
    </cacheField>
    <cacheField name="SO2_ug/m3" numFmtId="2">
      <sharedItems containsSemiMixedTypes="0" containsString="0" containsNumber="1" minValue="0.5" maxValue="55.93"/>
    </cacheField>
    <cacheField name="O3_ug/m3" numFmtId="2">
      <sharedItems containsSemiMixedTypes="0" containsString="0" containsNumber="1" minValue="1" maxValue="155.5"/>
    </cacheField>
    <cacheField name="CO_mg/m3" numFmtId="2">
      <sharedItems containsSemiMixedTypes="0" containsString="0" containsNumber="1" minValue="0.05" maxValue="5.58"/>
    </cacheField>
    <cacheField name="Temp_C" numFmtId="2">
      <sharedItems containsSemiMixedTypes="0" containsString="0" containsNumber="1" minValue="-5.4" maxValue="52.5" count="347">
        <n v="31.1"/>
        <n v="16.100000000000001"/>
        <n v="16.2"/>
        <n v="12.6"/>
        <n v="19.2"/>
        <n v="17.3"/>
        <n v="16.600000000000001"/>
        <n v="15.5"/>
        <n v="20.6"/>
        <n v="22.3"/>
        <n v="22.1"/>
        <n v="22.8"/>
        <n v="18.7"/>
        <n v="10.199999999999999"/>
        <n v="29.1"/>
        <n v="21.8"/>
        <n v="24.6"/>
        <n v="18.3"/>
        <n v="30.2"/>
        <n v="23.3"/>
        <n v="22.7"/>
        <n v="10.4"/>
        <n v="24.8"/>
        <n v="21.5"/>
        <n v="14.5"/>
        <n v="23.1"/>
        <n v="10"/>
        <n v="21.4"/>
        <n v="6.3"/>
        <n v="22.5"/>
        <n v="24.3"/>
        <n v="25.8"/>
        <n v="24.2"/>
        <n v="19.899999999999999"/>
        <n v="15"/>
        <n v="18"/>
        <n v="21.6"/>
        <n v="14.6"/>
        <n v="14.7"/>
        <n v="32.799999999999997"/>
        <n v="20"/>
        <n v="12.1"/>
        <n v="34.4"/>
        <n v="7.7"/>
        <n v="8.1"/>
        <n v="13.4"/>
        <n v="19.3"/>
        <n v="18.5"/>
        <n v="31.5"/>
        <n v="20.5"/>
        <n v="33.4"/>
        <n v="21.9"/>
        <n v="25.3"/>
        <n v="24"/>
        <n v="17.100000000000001"/>
        <n v="28.4"/>
        <n v="24.4"/>
        <n v="16.7"/>
        <n v="30.5"/>
        <n v="23.4"/>
        <n v="19.100000000000001"/>
        <n v="18.100000000000001"/>
        <n v="38"/>
        <n v="17.600000000000001"/>
        <n v="17.5"/>
        <n v="5.4"/>
        <n v="21.1"/>
        <n v="20.100000000000001"/>
        <n v="23.6"/>
        <n v="27.4"/>
        <n v="37.9"/>
        <n v="21.2"/>
        <n v="8.4"/>
        <n v="20.2"/>
        <n v="19.8"/>
        <n v="9.4"/>
        <n v="18.8"/>
        <n v="28.3"/>
        <n v="24.1"/>
        <n v="21"/>
        <n v="10.5"/>
        <n v="22"/>
        <n v="4.5999999999999996"/>
        <n v="24.5"/>
        <n v="8.9"/>
        <n v="26.1"/>
        <n v="32.6"/>
        <n v="32.200000000000003"/>
        <n v="35"/>
        <n v="16.8"/>
        <n v="15.6"/>
        <n v="17.399999999999999"/>
        <n v="17"/>
        <n v="27.2"/>
        <n v="19.399999999999999"/>
        <n v="27.8"/>
        <n v="23.5"/>
        <n v="23"/>
        <n v="17.899999999999999"/>
        <n v="14.1"/>
        <n v="26.9"/>
        <n v="23.9"/>
        <n v="26.6"/>
        <n v="8.8000000000000007"/>
        <n v="23.8"/>
        <n v="22.2"/>
        <n v="31.4"/>
        <n v="22.9"/>
        <n v="25.9"/>
        <n v="25.7"/>
        <n v="20.399999999999999"/>
        <n v="26.5"/>
        <n v="18.899999999999999"/>
        <n v="30.3"/>
        <n v="15.8"/>
        <n v="34.1"/>
        <n v="28.8"/>
        <n v="34.299999999999997"/>
        <n v="28.6"/>
        <n v="36.299999999999997"/>
        <n v="21.3"/>
        <n v="12.7"/>
        <n v="20.9"/>
        <n v="25.1"/>
        <n v="37.1"/>
        <n v="42.9"/>
        <n v="30.4"/>
        <n v="35.299999999999997"/>
        <n v="17.8"/>
        <n v="35.799999999999997"/>
        <n v="31.2"/>
        <n v="27.1"/>
        <n v="33"/>
        <n v="27.3"/>
        <n v="19.7"/>
        <n v="10.1"/>
        <n v="22.4"/>
        <n v="23.2"/>
        <n v="38.299999999999997"/>
        <n v="30.6"/>
        <n v="33.1"/>
        <n v="26.2"/>
        <n v="27"/>
        <n v="37.4"/>
        <n v="13.2"/>
        <n v="28"/>
        <n v="28.1"/>
        <n v="12.4"/>
        <n v="26.7"/>
        <n v="21.7"/>
        <n v="31.6"/>
        <n v="30.1"/>
        <n v="32.5"/>
        <n v="11.7"/>
        <n v="18.399999999999999"/>
        <n v="34.5"/>
        <n v="18.2"/>
        <n v="26.8"/>
        <n v="29.3"/>
        <n v="16.5"/>
        <n v="32.299999999999997"/>
        <n v="32.9"/>
        <n v="39.6"/>
        <n v="9.5"/>
        <n v="30"/>
        <n v="29.2"/>
        <n v="32.1"/>
        <n v="15.7"/>
        <n v="33.299999999999997"/>
        <n v="25.6"/>
        <n v="29.9"/>
        <n v="28.5"/>
        <n v="27.7"/>
        <n v="29.8"/>
        <n v="16.3"/>
        <n v="19.5"/>
        <n v="37"/>
        <n v="24.9"/>
        <n v="27.9"/>
        <n v="42"/>
        <n v="14.9"/>
        <n v="27.6"/>
        <n v="9.6"/>
        <n v="19"/>
        <n v="36.9"/>
        <n v="26"/>
        <n v="10.3"/>
        <n v="38.700000000000003"/>
        <n v="36"/>
        <n v="29.4"/>
        <n v="15.9"/>
        <n v="29"/>
        <n v="37.799999999999997"/>
        <n v="15.2"/>
        <n v="35.9"/>
        <n v="14.4"/>
        <n v="26.4"/>
        <n v="28.7"/>
        <n v="20.3"/>
        <n v="52.5"/>
        <n v="32"/>
        <n v="13.6"/>
        <n v="33.799999999999997"/>
        <n v="38.200000000000003"/>
        <n v="16"/>
        <n v="7.6"/>
        <n v="37.299999999999997"/>
        <n v="37.700000000000003"/>
        <n v="23.7"/>
        <n v="36.5"/>
        <n v="41"/>
        <n v="29.7"/>
        <n v="9.9"/>
        <n v="25"/>
        <n v="15.4"/>
        <n v="36.4"/>
        <n v="20.8"/>
        <n v="35.200000000000003"/>
        <n v="14"/>
        <n v="13.8"/>
        <n v="39.700000000000003"/>
        <n v="33.700000000000003"/>
        <n v="28.9"/>
        <n v="12.5"/>
        <n v="10.9"/>
        <n v="16.399999999999999"/>
        <n v="24.7"/>
        <n v="20.7"/>
        <n v="36.6"/>
        <n v="31.7"/>
        <n v="19.600000000000001"/>
        <n v="26.3"/>
        <n v="40.200000000000003"/>
        <n v="44.7"/>
        <n v="11.6"/>
        <n v="30.7"/>
        <n v="30.9"/>
        <n v="17.2"/>
        <n v="29.6"/>
        <n v="35.6"/>
        <n v="40.9"/>
        <n v="35.4"/>
        <n v="34.200000000000003"/>
        <n v="35.5"/>
        <n v="15.3"/>
        <n v="33.9"/>
        <n v="35.700000000000003"/>
        <n v="28.2"/>
        <n v="34.6"/>
        <n v="32.4"/>
        <n v="34.9"/>
        <n v="17.7"/>
        <n v="39.200000000000003"/>
        <n v="30.8"/>
        <n v="13.5"/>
        <n v="33.200000000000003"/>
        <n v="16.899999999999999"/>
        <n v="42.5"/>
        <n v="34.799999999999997"/>
        <n v="46.1"/>
        <n v="22.6"/>
        <n v="31"/>
        <n v="37.200000000000003"/>
        <n v="33.5"/>
        <n v="37.6"/>
        <n v="40"/>
        <n v="34"/>
        <n v="40.1"/>
        <n v="38.1"/>
        <n v="37.5"/>
        <n v="12.9"/>
        <n v="41.9"/>
        <n v="36.200000000000003"/>
        <n v="34.700000000000003"/>
        <n v="46.5"/>
        <n v="25.5"/>
        <n v="25.4"/>
        <n v="15.1"/>
        <n v="38.799999999999997"/>
        <n v="31.3"/>
        <n v="40.5"/>
        <n v="48.5"/>
        <n v="49.7"/>
        <n v="35.1"/>
        <n v="38.4"/>
        <n v="33.6"/>
        <n v="11.5"/>
        <n v="38.9"/>
        <n v="3.7"/>
        <n v="41.6"/>
        <n v="18.600000000000001"/>
        <n v="38.6"/>
        <n v="9.3000000000000007"/>
        <n v="13.9"/>
        <n v="-0.8"/>
        <n v="39.299999999999997"/>
        <n v="29.5"/>
        <n v="45.1"/>
        <n v="10.7"/>
        <n v="14.8"/>
        <n v="25.2"/>
        <n v="36.1"/>
        <n v="11"/>
        <n v="14.2"/>
        <n v="13"/>
        <n v="14.3"/>
        <n v="13.3"/>
        <n v="44.4"/>
        <n v="7.3"/>
        <n v="8.3000000000000007"/>
        <n v="39.1"/>
        <n v="5.8"/>
        <n v="41.8"/>
        <n v="31.8"/>
        <n v="45.4"/>
        <n v="32.700000000000003"/>
        <n v="44.6"/>
        <n v="27.5"/>
        <n v="12.8"/>
        <n v="13.1"/>
        <n v="36.700000000000003"/>
        <n v="5.9"/>
        <n v="42.1"/>
        <n v="12.2"/>
        <n v="4.2"/>
        <n v="13.7"/>
        <n v="11.9"/>
        <n v="31.9"/>
        <n v="36.799999999999997"/>
        <n v="8"/>
        <n v="8.6"/>
        <n v="8.5"/>
        <n v="42.4"/>
        <n v="-5.4"/>
        <n v="6.6"/>
        <n v="8.6999999999999993"/>
        <n v="9.1999999999999993"/>
        <n v="4"/>
        <n v="-3.2"/>
        <n v="11.8"/>
        <n v="3"/>
        <n v="3.8"/>
        <n v="7.4"/>
        <n v="11.2"/>
        <n v="11.3"/>
        <n v="12.3"/>
        <n v="2"/>
      </sharedItems>
      <fieldGroup base="8">
        <rangePr startNum="-5.4" endNum="52.5" groupInterval="10"/>
        <groupItems count="8">
          <s v="&lt;-5.4"/>
          <s v="-5.4-4.6"/>
          <s v="4.6-14.6"/>
          <s v="14.6-24.6"/>
          <s v="24.6-34.6"/>
          <s v="34.6-44.6"/>
          <s v="44.6-54.6"/>
          <s v="&gt;54.6"/>
        </groupItems>
      </fieldGroup>
    </cacheField>
    <cacheField name="Humidity_%" numFmtId="2">
      <sharedItems containsSemiMixedTypes="0" containsString="0" containsNumber="1" minValue="10" maxValue="100" count="662">
        <n v="73.8"/>
        <n v="41.8"/>
        <n v="62"/>
        <n v="74.8"/>
        <n v="54.6"/>
        <n v="47.8"/>
        <n v="56.7"/>
        <n v="66.5"/>
        <n v="24.2"/>
        <n v="50.5"/>
        <n v="64.7"/>
        <n v="94"/>
        <n v="65.400000000000006"/>
        <n v="70.599999999999994"/>
        <n v="68.5"/>
        <n v="31.1"/>
        <n v="66.2"/>
        <n v="42.5"/>
        <n v="46.4"/>
        <n v="55.2"/>
        <n v="58.7"/>
        <n v="44.1"/>
        <n v="43.1"/>
        <n v="54.3"/>
        <n v="31"/>
        <n v="60.8"/>
        <n v="57.9"/>
        <n v="37.299999999999997"/>
        <n v="73.900000000000006"/>
        <n v="52.1"/>
        <n v="49.2"/>
        <n v="57.3"/>
        <n v="47.5"/>
        <n v="59.6"/>
        <n v="74.599999999999994"/>
        <n v="45.3"/>
        <n v="43.8"/>
        <n v="45.2"/>
        <n v="56.2"/>
        <n v="65.8"/>
        <n v="60.2"/>
        <n v="75.7"/>
        <n v="62.7"/>
        <n v="81.2"/>
        <n v="32.4"/>
        <n v="91.6"/>
        <n v="38.700000000000003"/>
        <n v="59"/>
        <n v="50.8"/>
        <n v="41.4"/>
        <n v="71.099999999999994"/>
        <n v="55.5"/>
        <n v="44.5"/>
        <n v="34.799999999999997"/>
        <n v="59.1"/>
        <n v="30"/>
        <n v="43.7"/>
        <n v="78.099999999999994"/>
        <n v="56.3"/>
        <n v="51.2"/>
        <n v="52.7"/>
        <n v="74.900000000000006"/>
        <n v="100"/>
        <n v="68.599999999999994"/>
        <n v="43.4"/>
        <n v="71.8"/>
        <n v="64"/>
        <n v="61"/>
        <n v="61.3"/>
        <n v="11.5"/>
        <n v="61.1"/>
        <n v="47.2"/>
        <n v="53.3"/>
        <n v="50.6"/>
        <n v="80.900000000000006"/>
        <n v="90.5"/>
        <n v="53.5"/>
        <n v="66.3"/>
        <n v="64.599999999999994"/>
        <n v="46.9"/>
        <n v="42.9"/>
        <n v="58.3"/>
        <n v="71.400000000000006"/>
        <n v="36"/>
        <n v="67.7"/>
        <n v="60.5"/>
        <n v="82.6"/>
        <n v="76"/>
        <n v="88.4"/>
        <n v="64.2"/>
        <n v="63"/>
        <n v="81.400000000000006"/>
        <n v="87.9"/>
        <n v="45.6"/>
        <n v="80"/>
        <n v="81.7"/>
        <n v="73.400000000000006"/>
        <n v="70.900000000000006"/>
        <n v="32.6"/>
        <n v="67.900000000000006"/>
        <n v="58.2"/>
        <n v="37.5"/>
        <n v="83.9"/>
        <n v="62.3"/>
        <n v="73.7"/>
        <n v="56"/>
        <n v="71.5"/>
        <n v="76.099999999999994"/>
        <n v="63.6"/>
        <n v="91.1"/>
        <n v="71.599999999999994"/>
        <n v="79.400000000000006"/>
        <n v="67.099999999999994"/>
        <n v="87"/>
        <n v="64.3"/>
        <n v="61.4"/>
        <n v="41.3"/>
        <n v="39.4"/>
        <n v="89"/>
        <n v="84.8"/>
        <n v="42.2"/>
        <n v="54.2"/>
        <n v="70.7"/>
        <n v="42.3"/>
        <n v="60.9"/>
        <n v="35.299999999999997"/>
        <n v="53.2"/>
        <n v="32"/>
        <n v="47.3"/>
        <n v="61.5"/>
        <n v="85"/>
        <n v="69.5"/>
        <n v="87.6"/>
        <n v="63.1"/>
        <n v="35.4"/>
        <n v="59.5"/>
        <n v="62.5"/>
        <n v="81.3"/>
        <n v="70"/>
        <n v="69.7"/>
        <n v="55"/>
        <n v="68.8"/>
        <n v="73.599999999999994"/>
        <n v="45.9"/>
        <n v="52.8"/>
        <n v="49.8"/>
        <n v="50.1"/>
        <n v="93.4"/>
        <n v="50.4"/>
        <n v="42"/>
        <n v="66.599999999999994"/>
        <n v="73.3"/>
        <n v="35.6"/>
        <n v="41.7"/>
        <n v="10"/>
        <n v="52.3"/>
        <n v="83.1"/>
        <n v="42.8"/>
        <n v="66.099999999999994"/>
        <n v="49.1"/>
        <n v="52.9"/>
        <n v="63.2"/>
        <n v="57.6"/>
        <n v="63.4"/>
        <n v="30.9"/>
        <n v="43.3"/>
        <n v="27"/>
        <n v="34.700000000000003"/>
        <n v="84.1"/>
        <n v="69.2"/>
        <n v="21.3"/>
        <n v="68"/>
        <n v="49"/>
        <n v="61.7"/>
        <n v="38.5"/>
        <n v="40.1"/>
        <n v="45.5"/>
        <n v="51.5"/>
        <n v="88.8"/>
        <n v="31.7"/>
        <n v="50.2"/>
        <n v="97.3"/>
        <n v="58.1"/>
        <n v="64.8"/>
        <n v="82.7"/>
        <n v="80.400000000000006"/>
        <n v="46.1"/>
        <n v="69.3"/>
        <n v="63.8"/>
        <n v="36.4"/>
        <n v="52.6"/>
        <n v="63.5"/>
        <n v="85.6"/>
        <n v="50.9"/>
        <n v="58.6"/>
        <n v="38.6"/>
        <n v="59.7"/>
        <n v="60.4"/>
        <n v="30.4"/>
        <n v="37.4"/>
        <n v="36.700000000000003"/>
        <n v="75.900000000000006"/>
        <n v="48.3"/>
        <n v="47.7"/>
        <n v="72.400000000000006"/>
        <n v="56.6"/>
        <n v="52.4"/>
        <n v="28"/>
        <n v="40.5"/>
        <n v="51.6"/>
        <n v="53.1"/>
        <n v="92.3"/>
        <n v="75.3"/>
        <n v="60.1"/>
        <n v="53.4"/>
        <n v="80.099999999999994"/>
        <n v="33.1"/>
        <n v="74.7"/>
        <n v="36.1"/>
        <n v="80.2"/>
        <n v="65.3"/>
        <n v="86.8"/>
        <n v="75.599999999999994"/>
        <n v="35.1"/>
        <n v="95.9"/>
        <n v="47.6"/>
        <n v="70.3"/>
        <n v="36.200000000000003"/>
        <n v="55.9"/>
        <n v="77.599999999999994"/>
        <n v="67.8"/>
        <n v="44.4"/>
        <n v="67"/>
        <n v="82.3"/>
        <n v="51.1"/>
        <n v="85.3"/>
        <n v="79.3"/>
        <n v="40.4"/>
        <n v="78.599999999999994"/>
        <n v="70.8"/>
        <n v="70.5"/>
        <n v="72.2"/>
        <n v="71"/>
        <n v="71.2"/>
        <n v="85.8"/>
        <n v="60"/>
        <n v="41.6"/>
        <n v="35.5"/>
        <n v="46.3"/>
        <n v="17.899999999999999"/>
        <n v="48.5"/>
        <n v="45.1"/>
        <n v="76.599999999999994"/>
        <n v="65"/>
        <n v="72.099999999999994"/>
        <n v="55.3"/>
        <n v="75"/>
        <n v="12.5"/>
        <n v="48.8"/>
        <n v="34"/>
        <n v="71.7"/>
        <n v="30.1"/>
        <n v="17.2"/>
        <n v="51.4"/>
        <n v="24.9"/>
        <n v="42.6"/>
        <n v="38.200000000000003"/>
        <n v="28.4"/>
        <n v="50.3"/>
        <n v="55.6"/>
        <n v="34.5"/>
        <n v="44.6"/>
        <n v="39"/>
        <n v="48.4"/>
        <n v="48"/>
        <n v="52"/>
        <n v="43"/>
        <n v="36.5"/>
        <n v="38.9"/>
        <n v="54"/>
        <n v="28.8"/>
        <n v="49.3"/>
        <n v="36.799999999999997"/>
        <n v="34.1"/>
        <n v="84.9"/>
        <n v="33.5"/>
        <n v="73"/>
        <n v="28.7"/>
        <n v="91.8"/>
        <n v="30.3"/>
        <n v="44.9"/>
        <n v="47"/>
        <n v="37.200000000000003"/>
        <n v="82.5"/>
        <n v="53.8"/>
        <n v="58.8"/>
        <n v="26.7"/>
        <n v="60.3"/>
        <n v="29.5"/>
        <n v="68.400000000000006"/>
        <n v="43.6"/>
        <n v="78.7"/>
        <n v="95.2"/>
        <n v="10.6"/>
        <n v="88.2"/>
        <n v="56.1"/>
        <n v="32.299999999999997"/>
        <n v="32.9"/>
        <n v="49.4"/>
        <n v="58"/>
        <n v="36.9"/>
        <n v="40.6"/>
        <n v="38.799999999999997"/>
        <n v="55.8"/>
        <n v="40"/>
        <n v="12.6"/>
        <n v="59.2"/>
        <n v="27.2"/>
        <n v="46.5"/>
        <n v="52.5"/>
        <n v="54.4"/>
        <n v="10.5"/>
        <n v="79.099999999999994"/>
        <n v="77.5"/>
        <n v="56.8"/>
        <n v="70.099999999999994"/>
        <n v="16"/>
        <n v="12.8"/>
        <n v="58.5"/>
        <n v="24.4"/>
        <n v="65.5"/>
        <n v="37.6"/>
        <n v="48.1"/>
        <n v="74.3"/>
        <n v="39.1"/>
        <n v="79.8"/>
        <n v="66"/>
        <n v="46.8"/>
        <n v="39.5"/>
        <n v="73.099999999999994"/>
        <n v="45.4"/>
        <n v="17.5"/>
        <n v="53"/>
        <n v="48.9"/>
        <n v="30.6"/>
        <n v="42.4"/>
        <n v="20.100000000000001"/>
        <n v="59.3"/>
        <n v="14.9"/>
        <n v="15.1"/>
        <n v="65.2"/>
        <n v="28.5"/>
        <n v="50"/>
        <n v="10.9"/>
        <n v="54.8"/>
        <n v="39.200000000000003"/>
        <n v="65.7"/>
        <n v="39.299999999999997"/>
        <n v="73.2"/>
        <n v="56.4"/>
        <n v="65.099999999999994"/>
        <n v="76.7"/>
        <n v="31.2"/>
        <n v="58.9"/>
        <n v="69.900000000000006"/>
        <n v="28.6"/>
        <n v="25.9"/>
        <n v="41.5"/>
        <n v="30.8"/>
        <n v="64.900000000000006"/>
        <n v="24.8"/>
        <n v="69.099999999999994"/>
        <n v="25.3"/>
        <n v="17.7"/>
        <n v="79.2"/>
        <n v="49.6"/>
        <n v="62.8"/>
        <n v="53.6"/>
        <n v="32.1"/>
        <n v="44"/>
        <n v="40.700000000000003"/>
        <n v="57.5"/>
        <n v="61.9"/>
        <n v="78.3"/>
        <n v="36.299999999999997"/>
        <n v="46"/>
        <n v="41"/>
        <n v="29.7"/>
        <n v="10.8"/>
        <n v="15.9"/>
        <n v="61.8"/>
        <n v="62.4"/>
        <n v="40.299999999999997"/>
        <n v="90.7"/>
        <n v="71.900000000000006"/>
        <n v="87.3"/>
        <n v="41.1"/>
        <n v="32.700000000000003"/>
        <n v="82"/>
        <n v="67.3"/>
        <n v="41.2"/>
        <n v="35.700000000000003"/>
        <n v="10.7"/>
        <n v="67.400000000000006"/>
        <n v="49.9"/>
        <n v="47.9"/>
        <n v="28.9"/>
        <n v="84.2"/>
        <n v="69.400000000000006"/>
        <n v="67.2"/>
        <n v="46.2"/>
        <n v="50.7"/>
        <n v="68.099999999999994"/>
        <n v="54.9"/>
        <n v="92.7"/>
        <n v="63.9"/>
        <n v="55.7"/>
        <n v="48.2"/>
        <n v="33.4"/>
        <n v="58.4"/>
        <n v="82.4"/>
        <n v="81"/>
        <n v="57.8"/>
        <n v="48.6"/>
        <n v="77.400000000000006"/>
        <n v="24.6"/>
        <n v="79.599999999999994"/>
        <n v="54.5"/>
        <n v="79.5"/>
        <n v="34.299999999999997"/>
        <n v="57.2"/>
        <n v="75.400000000000006"/>
        <n v="34.6"/>
        <n v="57"/>
        <n v="75.2"/>
        <n v="35.9"/>
        <n v="78"/>
        <n v="55.4"/>
        <n v="62.6"/>
        <n v="74.5"/>
        <n v="87.7"/>
        <n v="11.9"/>
        <n v="85.2"/>
        <n v="41.9"/>
        <n v="99.5"/>
        <n v="68.2"/>
        <n v="40.200000000000003"/>
        <n v="90.3"/>
        <n v="68.900000000000006"/>
        <n v="98.4"/>
        <n v="72.3"/>
        <n v="34.200000000000003"/>
        <n v="52.2"/>
        <n v="22"/>
        <n v="59.4"/>
        <n v="51.7"/>
        <n v="26.9"/>
        <n v="77.3"/>
        <n v="74.099999999999994"/>
        <n v="86"/>
        <n v="83.2"/>
        <n v="39.700000000000003"/>
        <n v="62.1"/>
        <n v="17.399999999999999"/>
        <n v="65.599999999999994"/>
        <n v="23.5"/>
        <n v="92"/>
        <n v="39.799999999999997"/>
        <n v="48.7"/>
        <n v="79"/>
        <n v="29.1"/>
        <n v="75.5"/>
        <n v="40.9"/>
        <n v="78.400000000000006"/>
        <n v="85.1"/>
        <n v="90"/>
        <n v="78.5"/>
        <n v="68.3"/>
        <n v="51.8"/>
        <n v="82.1"/>
        <n v="51"/>
        <n v="90.2"/>
        <n v="38"/>
        <n v="21.2"/>
        <n v="44.7"/>
        <n v="27.1"/>
        <n v="21.6"/>
        <n v="46.6"/>
        <n v="77.900000000000006"/>
        <n v="57.1"/>
        <n v="56.9"/>
        <n v="70.400000000000006"/>
        <n v="33.200000000000003"/>
        <n v="84.3"/>
        <n v="81.8"/>
        <n v="97.4"/>
        <n v="46.7"/>
        <n v="95.7"/>
        <n v="77.2"/>
        <n v="47.4"/>
        <n v="32.5"/>
        <n v="75.8"/>
        <n v="95.5"/>
        <n v="74.400000000000006"/>
        <n v="89.5"/>
        <n v="89.3"/>
        <n v="45.7"/>
        <n v="98.7"/>
        <n v="45.8"/>
        <n v="82.8"/>
        <n v="68.7"/>
        <n v="30.2"/>
        <n v="28.2"/>
        <n v="70.2"/>
        <n v="86.6"/>
        <n v="29.4"/>
        <n v="72.5"/>
        <n v="60.7"/>
        <n v="37.9"/>
        <n v="76.400000000000006"/>
        <n v="64.5"/>
        <n v="29.3"/>
        <n v="61.2"/>
        <n v="92.2"/>
        <n v="42.1"/>
        <n v="43.2"/>
        <n v="84"/>
        <n v="22.8"/>
        <n v="60.6"/>
        <n v="86.9"/>
        <n v="69"/>
        <n v="83.5"/>
        <n v="77.8"/>
        <n v="35.200000000000003"/>
        <n v="67.5"/>
        <n v="65.900000000000006"/>
        <n v="34.4"/>
        <n v="22.7"/>
        <n v="29.6"/>
        <n v="69.599999999999994"/>
        <n v="39.9"/>
        <n v="83.7"/>
        <n v="93"/>
        <n v="28.3"/>
        <n v="53.7"/>
        <n v="37"/>
        <n v="22.9"/>
        <n v="38.4"/>
        <n v="81.599999999999994"/>
        <n v="89.1"/>
        <n v="42.7"/>
        <n v="98.1"/>
        <n v="80.3"/>
        <n v="66.400000000000006"/>
        <n v="47.1"/>
        <n v="64.099999999999994"/>
        <n v="44.3"/>
        <n v="22.5"/>
        <n v="73.5"/>
        <n v="59.8"/>
        <n v="89.6"/>
        <n v="83.4"/>
        <n v="45"/>
        <n v="76.900000000000006"/>
        <n v="39.6"/>
        <n v="86.5"/>
        <n v="55.1"/>
        <n v="74"/>
        <n v="66.8"/>
        <n v="75.099999999999994"/>
        <n v="83"/>
        <n v="88"/>
        <n v="83.3"/>
        <n v="88.9"/>
        <n v="76.3"/>
        <n v="66.7"/>
        <n v="44.8"/>
        <n v="72.7"/>
        <n v="67.599999999999994"/>
        <n v="74.2"/>
        <n v="82.9"/>
        <n v="66.900000000000006"/>
        <n v="69.8"/>
        <n v="53.9"/>
        <n v="95.3"/>
        <n v="54.1"/>
        <n v="59.9"/>
        <n v="89.4"/>
        <n v="63.7"/>
        <n v="99.6"/>
        <n v="26.4"/>
        <n v="72.599999999999994"/>
        <n v="97.9"/>
        <n v="78.900000000000006"/>
        <n v="87.2"/>
        <n v="81.099999999999994"/>
        <n v="61.6"/>
        <n v="96.7"/>
        <n v="81.5"/>
        <n v="99.4"/>
        <n v="23.4"/>
        <n v="30.7"/>
        <n v="25.8"/>
        <n v="78.2"/>
        <n v="57.7"/>
        <n v="76.2"/>
        <n v="62.9"/>
        <n v="86.3"/>
        <n v="76.5"/>
        <n v="35"/>
        <n v="80.8"/>
        <n v="62.2"/>
        <n v="56.5"/>
        <n v="97"/>
        <n v="23.6"/>
        <n v="98"/>
        <n v="54.7"/>
        <n v="32.799999999999997"/>
        <n v="85.4"/>
        <n v="72.900000000000006"/>
        <n v="80.7"/>
        <n v="17.3"/>
        <n v="87.4"/>
        <n v="80.5"/>
        <n v="18.399999999999999"/>
        <n v="35.799999999999997"/>
        <n v="89.2"/>
        <n v="63.3"/>
        <n v="64.400000000000006"/>
        <n v="94.5"/>
        <n v="86.7"/>
        <n v="87.1"/>
        <n v="94.2"/>
        <n v="93.6"/>
        <n v="38.1"/>
        <n v="96.1"/>
        <n v="83.8"/>
        <n v="25.6"/>
        <n v="97.8"/>
        <n v="72"/>
        <n v="37.700000000000003"/>
        <n v="49.7"/>
        <n v="97.7"/>
        <n v="24.7"/>
        <n v="82.2"/>
        <n v="81.900000000000006"/>
        <n v="18.600000000000001"/>
        <n v="44.2"/>
        <n v="95"/>
        <n v="27.7"/>
        <n v="93.3"/>
        <n v="22.1"/>
        <n v="12.2"/>
        <n v="91.4"/>
        <n v="88.3"/>
        <n v="79.7"/>
        <n v="71.3"/>
        <n v="51.9"/>
        <n v="31.8"/>
        <n v="38.299999999999997"/>
        <n v="13.8"/>
        <n v="32.200000000000003"/>
      </sharedItems>
    </cacheField>
    <cacheField name="WindSpeed_m/s" numFmtId="2">
      <sharedItems containsSemiMixedTypes="0" containsString="0" containsNumber="1" minValue="0.2" maxValue="6.39"/>
    </cacheField>
    <cacheField name="PM2.5_index" numFmtId="2">
      <sharedItems containsSemiMixedTypes="0" containsString="0" containsNumber="1" minValue="3.333333333333333" maxValue="461.99999999999989"/>
    </cacheField>
    <cacheField name="PM10_index" numFmtId="2">
      <sharedItems containsSemiMixedTypes="0" containsString="0" containsNumber="1" minValue="5" maxValue="500"/>
    </cacheField>
    <cacheField name="NO2_index" numFmtId="2">
      <sharedItems containsSemiMixedTypes="0" containsString="0" containsNumber="1" minValue="2.5" maxValue="244.125"/>
    </cacheField>
    <cacheField name="SO2_index" numFmtId="2">
      <sharedItems containsSemiMixedTypes="0" containsString="0" containsNumber="1" minValue="1.25" maxValue="139.82499999999999"/>
    </cacheField>
    <cacheField name="O3_index" numFmtId="2">
      <sharedItems containsSemiMixedTypes="0" containsString="0" containsNumber="1" minValue="2.5" maxValue="388.75"/>
    </cacheField>
    <cacheField name="CO_index" numFmtId="2">
      <sharedItems containsSemiMixedTypes="0" containsString="0" containsNumber="1" minValue="2.5" maxValue="279"/>
    </cacheField>
    <cacheField name="AQI" numFmtId="2">
      <sharedItems containsSemiMixedTypes="0" containsString="0" containsNumber="1" containsInteger="1" minValue="52" maxValue="500"/>
    </cacheField>
    <cacheField name="AQI_Category" numFmtId="2">
      <sharedItems count="4">
        <s v="Very Poor"/>
        <s v="Poor"/>
        <s v="Hazardous"/>
        <s v="Moderate"/>
      </sharedItems>
    </cacheField>
    <cacheField name="Dominant_Pollutant" numFmtId="0">
      <sharedItems/>
    </cacheField>
    <cacheField name="Days (Date)" numFmtId="0" databaseField="0">
      <fieldGroup base="0">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Date)" numFmtId="0" databaseField="0">
      <fieldGroup base="0">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97695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pal" refreshedDate="45994.791828703703" createdVersion="8" refreshedVersion="8" minRefreshableVersion="3" recordCount="1825" xr:uid="{0CD755EE-FED2-405A-8767-F2A96E846DAC}">
  <cacheSource type="worksheet">
    <worksheetSource ref="B1:T1826" sheet=".xlsx].xlsx]Delhi AQI Data" r:id="rId2"/>
  </cacheSource>
  <cacheFields count="19">
    <cacheField name="Zone" numFmtId="0">
      <sharedItems count="5">
        <s v="Central City"/>
        <s v="North Industrial"/>
        <s v="East Residential"/>
        <s v="South Market"/>
        <s v="West Highway"/>
      </sharedItems>
    </cacheField>
    <cacheField name="PM2.5_ug/m3" numFmtId="2">
      <sharedItems containsSemiMixedTypes="0" containsString="0" containsNumber="1" minValue="2" maxValue="277.2"/>
    </cacheField>
    <cacheField name="PM10_ug/m3" numFmtId="2">
      <sharedItems containsSemiMixedTypes="0" containsString="0" containsNumber="1" minValue="5" maxValue="613.20000000000005"/>
    </cacheField>
    <cacheField name="NO2_ug/m3" numFmtId="2">
      <sharedItems containsSemiMixedTypes="0" containsString="0" containsNumber="1" minValue="2" maxValue="195.3"/>
    </cacheField>
    <cacheField name="SO2_ug/m3" numFmtId="2">
      <sharedItems containsSemiMixedTypes="0" containsString="0" containsNumber="1" minValue="0.5" maxValue="55.93"/>
    </cacheField>
    <cacheField name="O3_ug/m3" numFmtId="2">
      <sharedItems containsSemiMixedTypes="0" containsString="0" containsNumber="1" minValue="1" maxValue="155.5"/>
    </cacheField>
    <cacheField name="CO_mg/m3" numFmtId="2">
      <sharedItems containsSemiMixedTypes="0" containsString="0" containsNumber="1" minValue="0.05" maxValue="5.58"/>
    </cacheField>
    <cacheField name="Temp_C" numFmtId="2">
      <sharedItems containsSemiMixedTypes="0" containsString="0" containsNumber="1" minValue="-5.4" maxValue="52.5"/>
    </cacheField>
    <cacheField name="Humidity_%" numFmtId="2">
      <sharedItems containsSemiMixedTypes="0" containsString="0" containsNumber="1" minValue="10" maxValue="100"/>
    </cacheField>
    <cacheField name="WindSpeed_m/s" numFmtId="2">
      <sharedItems containsSemiMixedTypes="0" containsString="0" containsNumber="1" minValue="0.2" maxValue="6.39"/>
    </cacheField>
    <cacheField name="PM2.5_index" numFmtId="2">
      <sharedItems containsSemiMixedTypes="0" containsString="0" containsNumber="1" minValue="3.333333333333333" maxValue="461.99999999999989"/>
    </cacheField>
    <cacheField name="PM10_index" numFmtId="2">
      <sharedItems containsSemiMixedTypes="0" containsString="0" containsNumber="1" minValue="5" maxValue="500"/>
    </cacheField>
    <cacheField name="NO2_index" numFmtId="2">
      <sharedItems containsSemiMixedTypes="0" containsString="0" containsNumber="1" minValue="2.5" maxValue="244.125"/>
    </cacheField>
    <cacheField name="SO2_index" numFmtId="2">
      <sharedItems containsSemiMixedTypes="0" containsString="0" containsNumber="1" minValue="1.25" maxValue="139.82499999999999"/>
    </cacheField>
    <cacheField name="O3_index" numFmtId="2">
      <sharedItems containsSemiMixedTypes="0" containsString="0" containsNumber="1" minValue="2.5" maxValue="388.75"/>
    </cacheField>
    <cacheField name="CO_index" numFmtId="2">
      <sharedItems containsSemiMixedTypes="0" containsString="0" containsNumber="1" minValue="2.5" maxValue="279"/>
    </cacheField>
    <cacheField name="AQI" numFmtId="2">
      <sharedItems containsSemiMixedTypes="0" containsString="0" containsNumber="1" containsInteger="1" minValue="52" maxValue="500"/>
    </cacheField>
    <cacheField name="AQI_Category" numFmtId="2">
      <sharedItems count="4">
        <s v="Very Poor"/>
        <s v="Poor"/>
        <s v="Hazardous"/>
        <s v="Moderate"/>
      </sharedItems>
    </cacheField>
    <cacheField name="Dominant_Pollutant" numFmtId="0">
      <sharedItems count="5">
        <s v="PM2.5"/>
        <s v="NO2"/>
        <s v="O3"/>
        <s v="PM10"/>
        <s v="CO"/>
      </sharedItems>
    </cacheField>
  </cacheFields>
  <extLst>
    <ext xmlns:x14="http://schemas.microsoft.com/office/spreadsheetml/2009/9/main" uri="{725AE2AE-9491-48be-B2B4-4EB974FC3084}">
      <x14:pivotCacheDefinition pivotCacheId="2133093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5">
  <r>
    <x v="0"/>
    <x v="0"/>
    <n v="137.80000000000001"/>
    <n v="205.5"/>
    <n v="106.6"/>
    <n v="28.73"/>
    <n v="35.299999999999997"/>
    <n v="1.95"/>
    <x v="0"/>
    <x v="0"/>
    <n v="1.94"/>
    <n v="229.66666666666671"/>
    <n v="205.5"/>
    <n v="133.25"/>
    <n v="71.825000000000003"/>
    <n v="88.25"/>
    <n v="97.5"/>
    <n v="230"/>
    <x v="0"/>
    <s v="PM2.5"/>
  </r>
  <r>
    <x v="0"/>
    <x v="1"/>
    <n v="152.6"/>
    <n v="184.4"/>
    <n v="71.400000000000006"/>
    <n v="18.420000000000002"/>
    <n v="1"/>
    <n v="0.33"/>
    <x v="1"/>
    <x v="1"/>
    <n v="2.88"/>
    <n v="254.33333333333329"/>
    <n v="184.4"/>
    <n v="89.250000000000014"/>
    <n v="46.05"/>
    <n v="2.5"/>
    <n v="16.5"/>
    <n v="254"/>
    <x v="0"/>
    <s v="PM2.5"/>
  </r>
  <r>
    <x v="0"/>
    <x v="2"/>
    <n v="49.8"/>
    <n v="53.6"/>
    <n v="113"/>
    <n v="10.44"/>
    <n v="35.6"/>
    <n v="0.52"/>
    <x v="2"/>
    <x v="2"/>
    <n v="1.1200000000000001"/>
    <n v="82.999999999999986"/>
    <n v="53.6"/>
    <n v="141.25"/>
    <n v="26.1"/>
    <n v="89.000000000000014"/>
    <n v="26"/>
    <n v="141"/>
    <x v="1"/>
    <s v="NO2"/>
  </r>
  <r>
    <x v="0"/>
    <x v="3"/>
    <n v="114"/>
    <n v="134.30000000000001"/>
    <n v="62.7"/>
    <n v="7.99"/>
    <n v="77.7"/>
    <n v="1.91"/>
    <x v="3"/>
    <x v="3"/>
    <n v="1.03"/>
    <n v="190"/>
    <n v="134.30000000000001"/>
    <n v="78.375"/>
    <n v="19.975000000000001"/>
    <n v="194.25"/>
    <n v="95.5"/>
    <n v="194"/>
    <x v="1"/>
    <s v="O3"/>
  </r>
  <r>
    <x v="0"/>
    <x v="4"/>
    <n v="116.6"/>
    <n v="5"/>
    <n v="32.4"/>
    <n v="15.81"/>
    <n v="57.9"/>
    <n v="2.29"/>
    <x v="4"/>
    <x v="4"/>
    <n v="1.23"/>
    <n v="194.33333333333329"/>
    <n v="5"/>
    <n v="40.5"/>
    <n v="39.525000000000013"/>
    <n v="144.75"/>
    <n v="114.5"/>
    <n v="194"/>
    <x v="1"/>
    <s v="PM2.5"/>
  </r>
  <r>
    <x v="1"/>
    <x v="0"/>
    <n v="70.7"/>
    <n v="169.9"/>
    <n v="121.7"/>
    <n v="17.88"/>
    <n v="1"/>
    <n v="2.57"/>
    <x v="5"/>
    <x v="5"/>
    <n v="3.23"/>
    <n v="117.8333333333333"/>
    <n v="169.9"/>
    <n v="152.125"/>
    <n v="44.7"/>
    <n v="2.5"/>
    <n v="128.5"/>
    <n v="170"/>
    <x v="1"/>
    <s v="PM10"/>
  </r>
  <r>
    <x v="1"/>
    <x v="1"/>
    <n v="181.9"/>
    <n v="351.8"/>
    <n v="56.4"/>
    <n v="12.91"/>
    <n v="54.3"/>
    <n v="3.57"/>
    <x v="6"/>
    <x v="6"/>
    <n v="1.17"/>
    <n v="303.16666666666669"/>
    <n v="351.8"/>
    <n v="70.5"/>
    <n v="32.274999999999999"/>
    <n v="135.75"/>
    <n v="178.5"/>
    <n v="352"/>
    <x v="2"/>
    <s v="PM10"/>
  </r>
  <r>
    <x v="1"/>
    <x v="2"/>
    <n v="36.700000000000003"/>
    <n v="256.5"/>
    <n v="109.6"/>
    <n v="11.61"/>
    <n v="55.7"/>
    <n v="2.15"/>
    <x v="7"/>
    <x v="7"/>
    <n v="4.3499999999999996"/>
    <n v="61.166666666666671"/>
    <n v="256.5"/>
    <n v="137"/>
    <n v="29.024999999999999"/>
    <n v="139.25"/>
    <n v="107.5"/>
    <n v="256"/>
    <x v="0"/>
    <s v="PM10"/>
  </r>
  <r>
    <x v="1"/>
    <x v="3"/>
    <n v="94.3"/>
    <n v="342.2"/>
    <n v="2"/>
    <n v="19.38"/>
    <n v="38"/>
    <n v="1.63"/>
    <x v="8"/>
    <x v="8"/>
    <n v="2.2400000000000002"/>
    <n v="157.16666666666671"/>
    <n v="342.2"/>
    <n v="2.5"/>
    <n v="48.45"/>
    <n v="95"/>
    <n v="81.499999999999986"/>
    <n v="342"/>
    <x v="2"/>
    <s v="PM10"/>
  </r>
  <r>
    <x v="1"/>
    <x v="4"/>
    <n v="124.5"/>
    <n v="367.3"/>
    <n v="61"/>
    <n v="6.97"/>
    <n v="27.2"/>
    <n v="3.08"/>
    <x v="9"/>
    <x v="9"/>
    <n v="3.62"/>
    <n v="207.5"/>
    <n v="367.3"/>
    <n v="76.25"/>
    <n v="17.425000000000001"/>
    <n v="68"/>
    <n v="154"/>
    <n v="367"/>
    <x v="2"/>
    <s v="PM10"/>
  </r>
  <r>
    <x v="2"/>
    <x v="0"/>
    <n v="115.8"/>
    <n v="327.7"/>
    <n v="57"/>
    <n v="11.71"/>
    <n v="31.3"/>
    <n v="0.59"/>
    <x v="10"/>
    <x v="10"/>
    <n v="2.5099999999999998"/>
    <n v="193"/>
    <n v="327.7"/>
    <n v="71.25"/>
    <n v="29.274999999999999"/>
    <n v="78.25"/>
    <n v="29.5"/>
    <n v="328"/>
    <x v="2"/>
    <s v="PM10"/>
  </r>
  <r>
    <x v="2"/>
    <x v="1"/>
    <n v="105.9"/>
    <n v="70.2"/>
    <n v="73.2"/>
    <n v="12.57"/>
    <n v="22.4"/>
    <n v="2.21"/>
    <x v="11"/>
    <x v="11"/>
    <n v="2.71"/>
    <n v="176.5"/>
    <n v="70.2"/>
    <n v="91.5"/>
    <n v="31.425000000000001"/>
    <n v="55.999999999999993"/>
    <n v="110.5"/>
    <n v="177"/>
    <x v="1"/>
    <s v="PM2.5"/>
  </r>
  <r>
    <x v="2"/>
    <x v="2"/>
    <n v="102.9"/>
    <n v="175.6"/>
    <n v="10.1"/>
    <n v="11.96"/>
    <n v="35.5"/>
    <n v="4.07"/>
    <x v="12"/>
    <x v="12"/>
    <n v="2.46"/>
    <n v="171.5"/>
    <n v="175.6"/>
    <n v="12.625"/>
    <n v="29.9"/>
    <n v="88.75"/>
    <n v="203.5"/>
    <n v="204"/>
    <x v="0"/>
    <s v="CO"/>
  </r>
  <r>
    <x v="2"/>
    <x v="3"/>
    <n v="39.9"/>
    <n v="301.7"/>
    <n v="96.1"/>
    <n v="19.13"/>
    <n v="15.5"/>
    <n v="3.27"/>
    <x v="13"/>
    <x v="13"/>
    <n v="5.13"/>
    <n v="66.5"/>
    <n v="301.7"/>
    <n v="120.125"/>
    <n v="47.825000000000003"/>
    <n v="38.75"/>
    <n v="163.5"/>
    <n v="302"/>
    <x v="2"/>
    <s v="PM10"/>
  </r>
  <r>
    <x v="2"/>
    <x v="4"/>
    <n v="53.3"/>
    <n v="151.4"/>
    <n v="82.7"/>
    <n v="9.65"/>
    <n v="1.2"/>
    <n v="2.1800000000000002"/>
    <x v="3"/>
    <x v="14"/>
    <n v="1.9"/>
    <n v="88.833333333333329"/>
    <n v="151.4"/>
    <n v="103.375"/>
    <n v="24.125"/>
    <n v="3"/>
    <n v="109"/>
    <n v="151"/>
    <x v="1"/>
    <s v="PM10"/>
  </r>
  <r>
    <x v="3"/>
    <x v="0"/>
    <n v="196"/>
    <n v="134.30000000000001"/>
    <n v="70.900000000000006"/>
    <n v="22.2"/>
    <n v="9.6"/>
    <n v="2.46"/>
    <x v="14"/>
    <x v="15"/>
    <n v="2.72"/>
    <n v="326.66666666666669"/>
    <n v="134.30000000000001"/>
    <n v="88.625000000000014"/>
    <n v="55.5"/>
    <n v="24"/>
    <n v="123"/>
    <n v="327"/>
    <x v="2"/>
    <s v="PM2.5"/>
  </r>
  <r>
    <x v="3"/>
    <x v="1"/>
    <n v="135.6"/>
    <n v="333.8"/>
    <n v="40.5"/>
    <n v="2.8"/>
    <n v="59.7"/>
    <n v="2.76"/>
    <x v="15"/>
    <x v="16"/>
    <n v="1.68"/>
    <n v="226"/>
    <n v="333.8"/>
    <n v="50.625"/>
    <n v="6.9999999999999991"/>
    <n v="149.25"/>
    <n v="138"/>
    <n v="334"/>
    <x v="2"/>
    <s v="PM10"/>
  </r>
  <r>
    <x v="3"/>
    <x v="2"/>
    <n v="101.8"/>
    <n v="209.1"/>
    <n v="46.7"/>
    <n v="26.34"/>
    <n v="44.3"/>
    <n v="0.74"/>
    <x v="16"/>
    <x v="17"/>
    <n v="3.44"/>
    <n v="169.66666666666671"/>
    <n v="209.1"/>
    <n v="58.375"/>
    <n v="65.850000000000009"/>
    <n v="110.75"/>
    <n v="37"/>
    <n v="209"/>
    <x v="0"/>
    <s v="PM10"/>
  </r>
  <r>
    <x v="3"/>
    <x v="3"/>
    <n v="151.6"/>
    <n v="113.2"/>
    <n v="102.8"/>
    <n v="16.100000000000001"/>
    <n v="54.5"/>
    <n v="3.74"/>
    <x v="17"/>
    <x v="18"/>
    <n v="1.43"/>
    <n v="252.66666666666671"/>
    <n v="113.2"/>
    <n v="128.5"/>
    <n v="40.25"/>
    <n v="136.25"/>
    <n v="187"/>
    <n v="253"/>
    <x v="0"/>
    <s v="PM2.5"/>
  </r>
  <r>
    <x v="3"/>
    <x v="4"/>
    <n v="62.5"/>
    <n v="203.1"/>
    <n v="91.2"/>
    <n v="16.510000000000002"/>
    <n v="60.1"/>
    <n v="2.13"/>
    <x v="18"/>
    <x v="19"/>
    <n v="6.26"/>
    <n v="104.1666666666667"/>
    <n v="203.1"/>
    <n v="114"/>
    <n v="41.275000000000013"/>
    <n v="150.25"/>
    <n v="106.5"/>
    <n v="203"/>
    <x v="0"/>
    <s v="PM10"/>
  </r>
  <r>
    <x v="4"/>
    <x v="0"/>
    <n v="144.9"/>
    <n v="126.2"/>
    <n v="43.4"/>
    <n v="19.16"/>
    <n v="35.6"/>
    <n v="3"/>
    <x v="19"/>
    <x v="20"/>
    <n v="1.48"/>
    <n v="241.5"/>
    <n v="126.2"/>
    <n v="54.25"/>
    <n v="47.9"/>
    <n v="89.000000000000014"/>
    <n v="150"/>
    <n v="242"/>
    <x v="0"/>
    <s v="PM2.5"/>
  </r>
  <r>
    <x v="4"/>
    <x v="1"/>
    <n v="29.1"/>
    <n v="186.4"/>
    <n v="124.3"/>
    <n v="18.14"/>
    <n v="10"/>
    <n v="2.61"/>
    <x v="20"/>
    <x v="21"/>
    <n v="2.68"/>
    <n v="48.5"/>
    <n v="186.4"/>
    <n v="155.375"/>
    <n v="45.35"/>
    <n v="25"/>
    <n v="130.5"/>
    <n v="186"/>
    <x v="1"/>
    <s v="PM10"/>
  </r>
  <r>
    <x v="4"/>
    <x v="2"/>
    <n v="93.9"/>
    <n v="78.2"/>
    <n v="79.3"/>
    <n v="16.420000000000002"/>
    <n v="57.4"/>
    <n v="2.79"/>
    <x v="21"/>
    <x v="22"/>
    <n v="3.12"/>
    <n v="156.5"/>
    <n v="78.2"/>
    <n v="99.124999999999986"/>
    <n v="41.05"/>
    <n v="143.5"/>
    <n v="139.5"/>
    <n v="156"/>
    <x v="1"/>
    <s v="PM2.5"/>
  </r>
  <r>
    <x v="4"/>
    <x v="3"/>
    <n v="120.7"/>
    <n v="241.4"/>
    <n v="195.3"/>
    <n v="17.37"/>
    <n v="61.6"/>
    <n v="2.84"/>
    <x v="16"/>
    <x v="23"/>
    <n v="3.41"/>
    <n v="201.16666666666671"/>
    <n v="241.4"/>
    <n v="244.125"/>
    <n v="43.424999999999997"/>
    <n v="154"/>
    <n v="142"/>
    <n v="244"/>
    <x v="0"/>
    <s v="NO2"/>
  </r>
  <r>
    <x v="4"/>
    <x v="4"/>
    <n v="64.8"/>
    <n v="186.2"/>
    <n v="62.1"/>
    <n v="14.8"/>
    <n v="96.9"/>
    <n v="0.14000000000000001"/>
    <x v="22"/>
    <x v="24"/>
    <n v="2.4300000000000002"/>
    <n v="108"/>
    <n v="186.2"/>
    <n v="77.625"/>
    <n v="37.000000000000007"/>
    <n v="242.25"/>
    <n v="7.0000000000000009"/>
    <n v="242"/>
    <x v="0"/>
    <s v="O3"/>
  </r>
  <r>
    <x v="5"/>
    <x v="0"/>
    <n v="170.5"/>
    <n v="227.9"/>
    <n v="43.1"/>
    <n v="8.14"/>
    <n v="59"/>
    <n v="1.4"/>
    <x v="23"/>
    <x v="25"/>
    <n v="1.72"/>
    <n v="284.16666666666669"/>
    <n v="227.9"/>
    <n v="53.875"/>
    <n v="20.350000000000001"/>
    <n v="147.5"/>
    <n v="69.999999999999986"/>
    <n v="284"/>
    <x v="0"/>
    <s v="PM2.5"/>
  </r>
  <r>
    <x v="5"/>
    <x v="1"/>
    <n v="248.6"/>
    <n v="316.10000000000002"/>
    <n v="9"/>
    <n v="17.86"/>
    <n v="26.4"/>
    <n v="3.42"/>
    <x v="24"/>
    <x v="26"/>
    <n v="3.11"/>
    <n v="414.33333333333331"/>
    <n v="316.10000000000002"/>
    <n v="11.25"/>
    <n v="44.65"/>
    <n v="66"/>
    <n v="171"/>
    <n v="414"/>
    <x v="2"/>
    <s v="PM2.5"/>
  </r>
  <r>
    <x v="5"/>
    <x v="2"/>
    <n v="130.69999999999999"/>
    <n v="72.900000000000006"/>
    <n v="58.2"/>
    <n v="8.5500000000000007"/>
    <n v="20.2"/>
    <n v="3.43"/>
    <x v="11"/>
    <x v="27"/>
    <n v="3.6"/>
    <n v="217.83333333333329"/>
    <n v="72.900000000000006"/>
    <n v="72.750000000000014"/>
    <n v="21.375"/>
    <n v="50.499999999999993"/>
    <n v="171.5"/>
    <n v="218"/>
    <x v="0"/>
    <s v="PM2.5"/>
  </r>
  <r>
    <x v="5"/>
    <x v="3"/>
    <n v="197.9"/>
    <n v="291.10000000000002"/>
    <n v="23.4"/>
    <n v="8.93"/>
    <n v="64.5"/>
    <n v="1.24"/>
    <x v="25"/>
    <x v="28"/>
    <n v="1.39"/>
    <n v="329.83333333333343"/>
    <n v="291.10000000000002"/>
    <n v="29.25"/>
    <n v="22.324999999999999"/>
    <n v="161.25"/>
    <n v="62"/>
    <n v="330"/>
    <x v="2"/>
    <s v="PM2.5"/>
  </r>
  <r>
    <x v="5"/>
    <x v="4"/>
    <n v="102.5"/>
    <n v="5"/>
    <n v="43.1"/>
    <n v="11.86"/>
    <n v="8.6999999999999993"/>
    <n v="3.84"/>
    <x v="26"/>
    <x v="29"/>
    <n v="3.16"/>
    <n v="170.83333333333329"/>
    <n v="5"/>
    <n v="53.875"/>
    <n v="29.65"/>
    <n v="21.75"/>
    <n v="192"/>
    <n v="192"/>
    <x v="1"/>
    <s v="CO"/>
  </r>
  <r>
    <x v="6"/>
    <x v="0"/>
    <n v="190"/>
    <n v="62.3"/>
    <n v="125.6"/>
    <n v="14.81"/>
    <n v="16"/>
    <n v="2.72"/>
    <x v="27"/>
    <x v="30"/>
    <n v="2.58"/>
    <n v="316.66666666666657"/>
    <n v="62.3"/>
    <n v="157"/>
    <n v="37.025000000000013"/>
    <n v="40"/>
    <n v="136"/>
    <n v="317"/>
    <x v="2"/>
    <s v="PM2.5"/>
  </r>
  <r>
    <x v="6"/>
    <x v="1"/>
    <n v="96.9"/>
    <n v="253.6"/>
    <n v="116.5"/>
    <n v="31.86"/>
    <n v="10.199999999999999"/>
    <n v="4.96"/>
    <x v="28"/>
    <x v="31"/>
    <n v="3.21"/>
    <n v="161.5"/>
    <n v="253.6"/>
    <n v="145.625"/>
    <n v="79.650000000000006"/>
    <n v="25.5"/>
    <n v="248"/>
    <n v="254"/>
    <x v="0"/>
    <s v="PM10"/>
  </r>
  <r>
    <x v="6"/>
    <x v="2"/>
    <n v="104"/>
    <n v="125.6"/>
    <n v="62.1"/>
    <n v="8.41"/>
    <n v="21.6"/>
    <n v="2.6"/>
    <x v="29"/>
    <x v="32"/>
    <n v="3.58"/>
    <n v="173.33333333333329"/>
    <n v="125.6"/>
    <n v="77.625"/>
    <n v="21.024999999999999"/>
    <n v="54.000000000000007"/>
    <n v="130"/>
    <n v="173"/>
    <x v="1"/>
    <s v="PM2.5"/>
  </r>
  <r>
    <x v="6"/>
    <x v="3"/>
    <n v="110.8"/>
    <n v="270"/>
    <n v="92.1"/>
    <n v="6.17"/>
    <n v="23.4"/>
    <n v="2.64"/>
    <x v="30"/>
    <x v="33"/>
    <n v="2.64"/>
    <n v="184.66666666666671"/>
    <n v="270"/>
    <n v="115.125"/>
    <n v="15.425000000000001"/>
    <n v="58.5"/>
    <n v="132"/>
    <n v="270"/>
    <x v="0"/>
    <s v="PM10"/>
  </r>
  <r>
    <x v="6"/>
    <x v="4"/>
    <n v="173.1"/>
    <n v="148.69999999999999"/>
    <n v="98.5"/>
    <n v="12.3"/>
    <n v="34.200000000000003"/>
    <n v="3.27"/>
    <x v="31"/>
    <x v="34"/>
    <n v="4.57"/>
    <n v="288.5"/>
    <n v="148.69999999999999"/>
    <n v="123.125"/>
    <n v="30.75"/>
    <n v="85.5"/>
    <n v="163.5"/>
    <n v="288"/>
    <x v="0"/>
    <s v="PM2.5"/>
  </r>
  <r>
    <x v="7"/>
    <x v="0"/>
    <n v="111.6"/>
    <n v="296.10000000000002"/>
    <n v="71.400000000000006"/>
    <n v="17.7"/>
    <n v="38"/>
    <n v="2.3199999999999998"/>
    <x v="32"/>
    <x v="35"/>
    <n v="5.01"/>
    <n v="186"/>
    <n v="296.10000000000002"/>
    <n v="89.250000000000014"/>
    <n v="44.25"/>
    <n v="95"/>
    <n v="116"/>
    <n v="296"/>
    <x v="0"/>
    <s v="PM10"/>
  </r>
  <r>
    <x v="7"/>
    <x v="1"/>
    <n v="59.6"/>
    <n v="94.3"/>
    <n v="136.30000000000001"/>
    <n v="23.92"/>
    <n v="62.6"/>
    <n v="3.15"/>
    <x v="33"/>
    <x v="36"/>
    <n v="2.59"/>
    <n v="99.333333333333329"/>
    <n v="94.3"/>
    <n v="170.375"/>
    <n v="59.8"/>
    <n v="156.5"/>
    <n v="157.5"/>
    <n v="170"/>
    <x v="1"/>
    <s v="NO2"/>
  </r>
  <r>
    <x v="7"/>
    <x v="2"/>
    <n v="60.3"/>
    <n v="271.3"/>
    <n v="63.9"/>
    <n v="5.89"/>
    <n v="27.3"/>
    <n v="2.2000000000000002"/>
    <x v="1"/>
    <x v="37"/>
    <n v="2.79"/>
    <n v="100.5"/>
    <n v="271.3"/>
    <n v="79.875"/>
    <n v="14.725"/>
    <n v="68.25"/>
    <n v="110"/>
    <n v="271"/>
    <x v="0"/>
    <s v="PM10"/>
  </r>
  <r>
    <x v="7"/>
    <x v="3"/>
    <n v="107.8"/>
    <n v="143.30000000000001"/>
    <n v="56.9"/>
    <n v="14.66"/>
    <n v="3.4"/>
    <n v="0.56999999999999995"/>
    <x v="34"/>
    <x v="38"/>
    <n v="2.87"/>
    <n v="179.66666666666671"/>
    <n v="143.30000000000001"/>
    <n v="71.125"/>
    <n v="36.65"/>
    <n v="8.5"/>
    <n v="28.5"/>
    <n v="180"/>
    <x v="1"/>
    <s v="PM2.5"/>
  </r>
  <r>
    <x v="7"/>
    <x v="4"/>
    <n v="183.5"/>
    <n v="301.8"/>
    <n v="73.599999999999994"/>
    <n v="13.91"/>
    <n v="14.8"/>
    <n v="2.09"/>
    <x v="35"/>
    <x v="39"/>
    <n v="2.0099999999999998"/>
    <n v="305.83333333333343"/>
    <n v="301.8"/>
    <n v="92"/>
    <n v="34.774999999999999"/>
    <n v="37.000000000000007"/>
    <n v="104.5"/>
    <n v="306"/>
    <x v="2"/>
    <s v="PM2.5"/>
  </r>
  <r>
    <x v="8"/>
    <x v="0"/>
    <n v="139.1"/>
    <n v="390"/>
    <n v="78.8"/>
    <n v="18.420000000000002"/>
    <n v="59.3"/>
    <n v="1.77"/>
    <x v="36"/>
    <x v="40"/>
    <n v="2.62"/>
    <n v="231.83333333333329"/>
    <n v="390"/>
    <n v="98.499999999999986"/>
    <n v="46.05"/>
    <n v="148.25"/>
    <n v="88.5"/>
    <n v="390"/>
    <x v="2"/>
    <s v="PM10"/>
  </r>
  <r>
    <x v="8"/>
    <x v="1"/>
    <n v="73.599999999999994"/>
    <n v="242.9"/>
    <n v="109.9"/>
    <n v="30.51"/>
    <n v="72"/>
    <n v="4.9800000000000004"/>
    <x v="37"/>
    <x v="41"/>
    <n v="2.72"/>
    <n v="122.6666666666667"/>
    <n v="242.9"/>
    <n v="137.375"/>
    <n v="76.275000000000006"/>
    <n v="180"/>
    <n v="249"/>
    <n v="249"/>
    <x v="0"/>
    <s v="CO"/>
  </r>
  <r>
    <x v="8"/>
    <x v="2"/>
    <n v="191.1"/>
    <n v="108.7"/>
    <n v="42.9"/>
    <n v="7.6"/>
    <n v="1"/>
    <n v="1.34"/>
    <x v="38"/>
    <x v="42"/>
    <n v="2.91"/>
    <n v="318.5"/>
    <n v="108.7"/>
    <n v="53.625"/>
    <n v="19"/>
    <n v="2.5"/>
    <n v="67"/>
    <n v="318"/>
    <x v="2"/>
    <s v="PM2.5"/>
  </r>
  <r>
    <x v="8"/>
    <x v="3"/>
    <n v="186.1"/>
    <n v="283.2"/>
    <n v="53.5"/>
    <n v="5.61"/>
    <n v="47.1"/>
    <n v="0.65"/>
    <x v="39"/>
    <x v="43"/>
    <n v="1.94"/>
    <n v="310.16666666666657"/>
    <n v="283.2"/>
    <n v="66.875"/>
    <n v="14.025"/>
    <n v="117.75"/>
    <n v="32.5"/>
    <n v="310"/>
    <x v="2"/>
    <s v="PM2.5"/>
  </r>
  <r>
    <x v="8"/>
    <x v="4"/>
    <n v="15.1"/>
    <n v="354.2"/>
    <n v="75.2"/>
    <n v="24.97"/>
    <n v="1"/>
    <n v="1.48"/>
    <x v="40"/>
    <x v="25"/>
    <n v="2.46"/>
    <n v="25.166666666666671"/>
    <n v="354.2"/>
    <n v="94"/>
    <n v="62.424999999999997"/>
    <n v="2.5"/>
    <n v="74"/>
    <n v="354"/>
    <x v="2"/>
    <s v="PM10"/>
  </r>
  <r>
    <x v="9"/>
    <x v="0"/>
    <n v="144.80000000000001"/>
    <n v="102.9"/>
    <n v="77.599999999999994"/>
    <n v="15.83"/>
    <n v="54.7"/>
    <n v="2.99"/>
    <x v="41"/>
    <x v="44"/>
    <n v="4.03"/>
    <n v="241.33333333333329"/>
    <n v="102.9"/>
    <n v="96.999999999999986"/>
    <n v="39.575000000000003"/>
    <n v="136.75"/>
    <n v="149.5"/>
    <n v="241"/>
    <x v="0"/>
    <s v="PM2.5"/>
  </r>
  <r>
    <x v="9"/>
    <x v="1"/>
    <n v="139.9"/>
    <n v="150.19999999999999"/>
    <n v="152"/>
    <n v="17.16"/>
    <n v="78.2"/>
    <n v="2.48"/>
    <x v="42"/>
    <x v="45"/>
    <n v="2.2000000000000002"/>
    <n v="233.16666666666671"/>
    <n v="150.19999999999999"/>
    <n v="190"/>
    <n v="42.9"/>
    <n v="195.5"/>
    <n v="124"/>
    <n v="233"/>
    <x v="0"/>
    <s v="PM2.5"/>
  </r>
  <r>
    <x v="9"/>
    <x v="2"/>
    <n v="135.5"/>
    <n v="241.3"/>
    <n v="110"/>
    <n v="4.83"/>
    <n v="48.9"/>
    <n v="2.79"/>
    <x v="43"/>
    <x v="46"/>
    <n v="0.2"/>
    <n v="225.83333333333329"/>
    <n v="241.3"/>
    <n v="137.5"/>
    <n v="12.074999999999999"/>
    <n v="122.25"/>
    <n v="139.5"/>
    <n v="241"/>
    <x v="0"/>
    <s v="PM10"/>
  </r>
  <r>
    <x v="9"/>
    <x v="3"/>
    <n v="83.1"/>
    <n v="260.89999999999998"/>
    <n v="120.1"/>
    <n v="13.39"/>
    <n v="72.599999999999994"/>
    <n v="0.6"/>
    <x v="44"/>
    <x v="47"/>
    <n v="2.96"/>
    <n v="138.5"/>
    <n v="260.89999999999998"/>
    <n v="150.125"/>
    <n v="33.475000000000001"/>
    <n v="181.5"/>
    <n v="30"/>
    <n v="261"/>
    <x v="0"/>
    <s v="PM10"/>
  </r>
  <r>
    <x v="9"/>
    <x v="4"/>
    <n v="103.9"/>
    <n v="5"/>
    <n v="76.099999999999994"/>
    <n v="2.6"/>
    <n v="56.2"/>
    <n v="2.5"/>
    <x v="45"/>
    <x v="48"/>
    <n v="1.73"/>
    <n v="173.16666666666671"/>
    <n v="5"/>
    <n v="95.124999999999986"/>
    <n v="6.5000000000000009"/>
    <n v="140.5"/>
    <n v="125"/>
    <n v="173"/>
    <x v="1"/>
    <s v="PM2.5"/>
  </r>
  <r>
    <x v="10"/>
    <x v="0"/>
    <n v="106.9"/>
    <n v="326.2"/>
    <n v="46.5"/>
    <n v="19.36"/>
    <n v="27.7"/>
    <n v="1.33"/>
    <x v="46"/>
    <x v="49"/>
    <n v="1.84"/>
    <n v="178.16666666666671"/>
    <n v="326.2"/>
    <n v="58.125"/>
    <n v="48.4"/>
    <n v="69.249999999999986"/>
    <n v="66.5"/>
    <n v="326"/>
    <x v="2"/>
    <s v="PM10"/>
  </r>
  <r>
    <x v="10"/>
    <x v="1"/>
    <n v="48.1"/>
    <n v="475.8"/>
    <n v="91.4"/>
    <n v="9"/>
    <n v="51"/>
    <n v="2.27"/>
    <x v="47"/>
    <x v="50"/>
    <n v="3.41"/>
    <n v="80.166666666666657"/>
    <n v="475.8"/>
    <n v="114.25"/>
    <n v="22.5"/>
    <n v="127.5"/>
    <n v="113.5"/>
    <n v="476"/>
    <x v="2"/>
    <s v="PM10"/>
  </r>
  <r>
    <x v="10"/>
    <x v="2"/>
    <n v="67"/>
    <n v="129.9"/>
    <n v="60"/>
    <n v="0.5"/>
    <n v="1.8"/>
    <n v="3.07"/>
    <x v="48"/>
    <x v="51"/>
    <n v="3.19"/>
    <n v="111.6666666666667"/>
    <n v="129.9"/>
    <n v="75"/>
    <n v="1.25"/>
    <n v="4.5000000000000009"/>
    <n v="153.5"/>
    <n v="154"/>
    <x v="1"/>
    <s v="CO"/>
  </r>
  <r>
    <x v="10"/>
    <x v="3"/>
    <n v="110.9"/>
    <n v="487.6"/>
    <n v="107.8"/>
    <n v="11.78"/>
    <n v="14.5"/>
    <n v="0.38"/>
    <x v="27"/>
    <x v="18"/>
    <n v="0.79"/>
    <n v="184.83333333333329"/>
    <n v="487.6"/>
    <n v="134.75"/>
    <n v="29.45"/>
    <n v="36.25"/>
    <n v="19"/>
    <n v="488"/>
    <x v="2"/>
    <s v="PM10"/>
  </r>
  <r>
    <x v="10"/>
    <x v="4"/>
    <n v="71.5"/>
    <n v="97"/>
    <n v="138.6"/>
    <n v="21.84"/>
    <n v="39.4"/>
    <n v="3.67"/>
    <x v="49"/>
    <x v="52"/>
    <n v="4.83"/>
    <n v="119.1666666666667"/>
    <n v="97"/>
    <n v="173.25"/>
    <n v="54.6"/>
    <n v="98.499999999999986"/>
    <n v="183.5"/>
    <n v="184"/>
    <x v="1"/>
    <s v="CO"/>
  </r>
  <r>
    <x v="11"/>
    <x v="0"/>
    <n v="140.1"/>
    <n v="106.3"/>
    <n v="75.8"/>
    <n v="6.66"/>
    <n v="5.6"/>
    <n v="3.23"/>
    <x v="50"/>
    <x v="53"/>
    <n v="3.18"/>
    <n v="233.5"/>
    <n v="106.3"/>
    <n v="94.75"/>
    <n v="16.649999999999999"/>
    <n v="14"/>
    <n v="161.5"/>
    <n v="233"/>
    <x v="0"/>
    <s v="PM2.5"/>
  </r>
  <r>
    <x v="11"/>
    <x v="1"/>
    <n v="81"/>
    <n v="181.5"/>
    <n v="66.3"/>
    <n v="7.36"/>
    <n v="46.4"/>
    <n v="1.4"/>
    <x v="51"/>
    <x v="54"/>
    <n v="2.21"/>
    <n v="135"/>
    <n v="181.5"/>
    <n v="82.874999999999986"/>
    <n v="18.399999999999999"/>
    <n v="116"/>
    <n v="69.999999999999986"/>
    <n v="182"/>
    <x v="1"/>
    <s v="PM10"/>
  </r>
  <r>
    <x v="11"/>
    <x v="2"/>
    <n v="49.8"/>
    <n v="129.80000000000001"/>
    <n v="91.4"/>
    <n v="15.97"/>
    <n v="13.3"/>
    <n v="1.91"/>
    <x v="52"/>
    <x v="55"/>
    <n v="3.15"/>
    <n v="82.999999999999986"/>
    <n v="129.80000000000001"/>
    <n v="114.25"/>
    <n v="39.924999999999997"/>
    <n v="33.25"/>
    <n v="95.5"/>
    <n v="130"/>
    <x v="1"/>
    <s v="PM10"/>
  </r>
  <r>
    <x v="11"/>
    <x v="3"/>
    <n v="64.2"/>
    <n v="246.8"/>
    <n v="47.6"/>
    <n v="0.5"/>
    <n v="1"/>
    <n v="1.97"/>
    <x v="15"/>
    <x v="56"/>
    <n v="3.27"/>
    <n v="107"/>
    <n v="246.8"/>
    <n v="59.500000000000007"/>
    <n v="1.25"/>
    <n v="2.5"/>
    <n v="98.5"/>
    <n v="247"/>
    <x v="0"/>
    <s v="PM10"/>
  </r>
  <r>
    <x v="11"/>
    <x v="4"/>
    <n v="17.899999999999999"/>
    <n v="204.2"/>
    <n v="36.6"/>
    <n v="8.34"/>
    <n v="40.799999999999997"/>
    <n v="1.2"/>
    <x v="5"/>
    <x v="57"/>
    <n v="2.31"/>
    <n v="29.833333333333329"/>
    <n v="204.2"/>
    <n v="45.75"/>
    <n v="20.85"/>
    <n v="102"/>
    <n v="60"/>
    <n v="204"/>
    <x v="0"/>
    <s v="PM10"/>
  </r>
  <r>
    <x v="12"/>
    <x v="0"/>
    <n v="156.5"/>
    <n v="96.1"/>
    <n v="102.3"/>
    <n v="27.98"/>
    <n v="1"/>
    <n v="1.33"/>
    <x v="53"/>
    <x v="58"/>
    <n v="2.95"/>
    <n v="260.83333333333331"/>
    <n v="96.1"/>
    <n v="127.875"/>
    <n v="69.95"/>
    <n v="2.5"/>
    <n v="66.5"/>
    <n v="261"/>
    <x v="0"/>
    <s v="PM2.5"/>
  </r>
  <r>
    <x v="12"/>
    <x v="1"/>
    <n v="83.8"/>
    <n v="250.4"/>
    <n v="83.8"/>
    <n v="27.68"/>
    <n v="52.2"/>
    <n v="2.81"/>
    <x v="54"/>
    <x v="59"/>
    <n v="1.98"/>
    <n v="139.66666666666671"/>
    <n v="250.4"/>
    <n v="104.75"/>
    <n v="69.2"/>
    <n v="130.5"/>
    <n v="140.5"/>
    <n v="250"/>
    <x v="0"/>
    <s v="PM10"/>
  </r>
  <r>
    <x v="12"/>
    <x v="2"/>
    <n v="109.2"/>
    <n v="144"/>
    <n v="77.2"/>
    <n v="27.93"/>
    <n v="52.8"/>
    <n v="1.53"/>
    <x v="55"/>
    <x v="60"/>
    <n v="0.2"/>
    <n v="182"/>
    <n v="144"/>
    <n v="96.5"/>
    <n v="69.825000000000003"/>
    <n v="132"/>
    <n v="76.5"/>
    <n v="182"/>
    <x v="1"/>
    <s v="PM2.5"/>
  </r>
  <r>
    <x v="12"/>
    <x v="3"/>
    <n v="47.6"/>
    <n v="12.4"/>
    <n v="60.8"/>
    <n v="12.95"/>
    <n v="73.7"/>
    <n v="2.23"/>
    <x v="47"/>
    <x v="61"/>
    <n v="0.2"/>
    <n v="79.333333333333343"/>
    <n v="12.4"/>
    <n v="76"/>
    <n v="32.375"/>
    <n v="184.25"/>
    <n v="111.5"/>
    <n v="184"/>
    <x v="1"/>
    <s v="O3"/>
  </r>
  <r>
    <x v="12"/>
    <x v="4"/>
    <n v="118"/>
    <n v="292.60000000000002"/>
    <n v="27.2"/>
    <n v="24.15"/>
    <n v="48"/>
    <n v="1.67"/>
    <x v="56"/>
    <x v="62"/>
    <n v="3.22"/>
    <n v="196.66666666666671"/>
    <n v="292.60000000000002"/>
    <n v="34"/>
    <n v="60.375"/>
    <n v="120"/>
    <n v="83.499999999999986"/>
    <n v="293"/>
    <x v="0"/>
    <s v="PM10"/>
  </r>
  <r>
    <x v="13"/>
    <x v="0"/>
    <n v="124.1"/>
    <n v="170.1"/>
    <n v="51.5"/>
    <n v="22.36"/>
    <n v="19.2"/>
    <n v="2.29"/>
    <x v="57"/>
    <x v="63"/>
    <n v="2.9"/>
    <n v="206.83333333333329"/>
    <n v="170.1"/>
    <n v="64.375"/>
    <n v="55.9"/>
    <n v="48"/>
    <n v="114.5"/>
    <n v="207"/>
    <x v="0"/>
    <s v="PM2.5"/>
  </r>
  <r>
    <x v="13"/>
    <x v="1"/>
    <n v="182.3"/>
    <n v="178.8"/>
    <n v="79.2"/>
    <n v="6.21"/>
    <n v="32.5"/>
    <n v="2.85"/>
    <x v="52"/>
    <x v="64"/>
    <n v="3.54"/>
    <n v="303.83333333333343"/>
    <n v="178.8"/>
    <n v="99"/>
    <n v="15.525"/>
    <n v="81.25"/>
    <n v="142.5"/>
    <n v="304"/>
    <x v="2"/>
    <s v="PM2.5"/>
  </r>
  <r>
    <x v="13"/>
    <x v="2"/>
    <n v="153"/>
    <n v="220.1"/>
    <n v="125.5"/>
    <n v="6.28"/>
    <n v="7.6"/>
    <n v="0.2"/>
    <x v="58"/>
    <x v="65"/>
    <n v="2.4300000000000002"/>
    <n v="255"/>
    <n v="220.1"/>
    <n v="156.875"/>
    <n v="15.7"/>
    <n v="19"/>
    <n v="10"/>
    <n v="255"/>
    <x v="0"/>
    <s v="PM2.5"/>
  </r>
  <r>
    <x v="13"/>
    <x v="3"/>
    <n v="109.4"/>
    <n v="84"/>
    <n v="150.30000000000001"/>
    <n v="13.83"/>
    <n v="38.5"/>
    <n v="2.62"/>
    <x v="59"/>
    <x v="66"/>
    <n v="1.55"/>
    <n v="182.33333333333329"/>
    <n v="84"/>
    <n v="187.875"/>
    <n v="34.575000000000003"/>
    <n v="96.25"/>
    <n v="131"/>
    <n v="188"/>
    <x v="1"/>
    <s v="NO2"/>
  </r>
  <r>
    <x v="13"/>
    <x v="4"/>
    <n v="130.5"/>
    <n v="409.9"/>
    <n v="126.6"/>
    <n v="28.1"/>
    <n v="26.9"/>
    <n v="1.07"/>
    <x v="60"/>
    <x v="67"/>
    <n v="4.3099999999999996"/>
    <n v="217.5"/>
    <n v="409.9"/>
    <n v="158.25"/>
    <n v="70.25"/>
    <n v="67.249999999999986"/>
    <n v="53.500000000000007"/>
    <n v="410"/>
    <x v="2"/>
    <s v="PM10"/>
  </r>
  <r>
    <x v="14"/>
    <x v="0"/>
    <n v="17"/>
    <n v="389.7"/>
    <n v="77"/>
    <n v="10.79"/>
    <n v="15.2"/>
    <n v="0.38"/>
    <x v="31"/>
    <x v="68"/>
    <n v="0.95"/>
    <n v="28.333333333333329"/>
    <n v="389.7"/>
    <n v="96.25"/>
    <n v="26.975000000000001"/>
    <n v="38"/>
    <n v="19"/>
    <n v="390"/>
    <x v="2"/>
    <s v="PM10"/>
  </r>
  <r>
    <x v="14"/>
    <x v="1"/>
    <n v="42.3"/>
    <n v="199.7"/>
    <n v="156.80000000000001"/>
    <n v="13.4"/>
    <n v="2.7"/>
    <n v="2.11"/>
    <x v="61"/>
    <x v="69"/>
    <n v="2.4300000000000002"/>
    <n v="70.5"/>
    <n v="199.7"/>
    <n v="196"/>
    <n v="33.5"/>
    <n v="6.7500000000000009"/>
    <n v="105.5"/>
    <n v="200"/>
    <x v="1"/>
    <s v="PM10"/>
  </r>
  <r>
    <x v="14"/>
    <x v="2"/>
    <n v="80.7"/>
    <n v="245.9"/>
    <n v="124.6"/>
    <n v="20.72"/>
    <n v="28.5"/>
    <n v="0.81"/>
    <x v="62"/>
    <x v="70"/>
    <n v="2.52"/>
    <n v="134.5"/>
    <n v="245.9"/>
    <n v="155.75"/>
    <n v="51.8"/>
    <n v="71.25"/>
    <n v="40.5"/>
    <n v="246"/>
    <x v="0"/>
    <s v="PM10"/>
  </r>
  <r>
    <x v="14"/>
    <x v="3"/>
    <n v="94.8"/>
    <n v="211"/>
    <n v="67.400000000000006"/>
    <n v="8.2100000000000009"/>
    <n v="23.7"/>
    <n v="1.89"/>
    <x v="2"/>
    <x v="71"/>
    <n v="2.63"/>
    <n v="158"/>
    <n v="211"/>
    <n v="84.25"/>
    <n v="20.524999999999999"/>
    <n v="59.25"/>
    <n v="94.5"/>
    <n v="211"/>
    <x v="0"/>
    <s v="PM10"/>
  </r>
  <r>
    <x v="14"/>
    <x v="4"/>
    <n v="92.1"/>
    <n v="370"/>
    <n v="2"/>
    <n v="23.69"/>
    <n v="70.400000000000006"/>
    <n v="0.05"/>
    <x v="63"/>
    <x v="72"/>
    <n v="1.31"/>
    <n v="153.5"/>
    <n v="370"/>
    <n v="2.5"/>
    <n v="59.225000000000001"/>
    <n v="176"/>
    <n v="2.5"/>
    <n v="370"/>
    <x v="2"/>
    <s v="PM10"/>
  </r>
  <r>
    <x v="15"/>
    <x v="0"/>
    <n v="67.5"/>
    <n v="98.2"/>
    <n v="147.30000000000001"/>
    <n v="23.33"/>
    <n v="74.3"/>
    <n v="3"/>
    <x v="41"/>
    <x v="73"/>
    <n v="3.09"/>
    <n v="112.5"/>
    <n v="98.2"/>
    <n v="184.125"/>
    <n v="58.325000000000003"/>
    <n v="185.75"/>
    <n v="150"/>
    <n v="186"/>
    <x v="1"/>
    <s v="O3"/>
  </r>
  <r>
    <x v="15"/>
    <x v="1"/>
    <n v="46.7"/>
    <n v="325.60000000000002"/>
    <n v="80.400000000000006"/>
    <n v="12.25"/>
    <n v="65"/>
    <n v="2.93"/>
    <x v="64"/>
    <x v="74"/>
    <n v="1.2"/>
    <n v="77.833333333333343"/>
    <n v="325.60000000000002"/>
    <n v="100.5"/>
    <n v="30.625"/>
    <n v="162.5"/>
    <n v="146.5"/>
    <n v="326"/>
    <x v="2"/>
    <s v="PM10"/>
  </r>
  <r>
    <x v="15"/>
    <x v="2"/>
    <n v="119.3"/>
    <n v="236.5"/>
    <n v="59"/>
    <n v="14.64"/>
    <n v="7.5"/>
    <n v="2.67"/>
    <x v="12"/>
    <x v="73"/>
    <n v="3.76"/>
    <n v="198.83333333333329"/>
    <n v="236.5"/>
    <n v="73.75"/>
    <n v="36.6"/>
    <n v="18.75"/>
    <n v="133.5"/>
    <n v="236"/>
    <x v="0"/>
    <s v="PM10"/>
  </r>
  <r>
    <x v="15"/>
    <x v="3"/>
    <n v="62.2"/>
    <n v="56.8"/>
    <n v="22.2"/>
    <n v="17.649999999999999"/>
    <n v="7.2"/>
    <n v="3.6"/>
    <x v="65"/>
    <x v="75"/>
    <n v="2.75"/>
    <n v="103.6666666666667"/>
    <n v="56.8"/>
    <n v="27.75"/>
    <n v="44.125"/>
    <n v="18"/>
    <n v="180"/>
    <n v="180"/>
    <x v="1"/>
    <s v="CO"/>
  </r>
  <r>
    <x v="15"/>
    <x v="4"/>
    <n v="100.5"/>
    <n v="153.69999999999999"/>
    <n v="93.2"/>
    <n v="13.75"/>
    <n v="66.900000000000006"/>
    <n v="2.23"/>
    <x v="66"/>
    <x v="76"/>
    <n v="2.93"/>
    <n v="167.5"/>
    <n v="153.69999999999999"/>
    <n v="116.5"/>
    <n v="34.375"/>
    <n v="167.25"/>
    <n v="111.5"/>
    <n v="168"/>
    <x v="1"/>
    <s v="PM2.5"/>
  </r>
  <r>
    <x v="16"/>
    <x v="0"/>
    <n v="127.4"/>
    <n v="32"/>
    <n v="33.200000000000003"/>
    <n v="21.56"/>
    <n v="45.8"/>
    <n v="2"/>
    <x v="67"/>
    <x v="77"/>
    <n v="1.85"/>
    <n v="212.33333333333329"/>
    <n v="32"/>
    <n v="41.5"/>
    <n v="53.9"/>
    <n v="114.5"/>
    <n v="100"/>
    <n v="212"/>
    <x v="0"/>
    <s v="PM2.5"/>
  </r>
  <r>
    <x v="16"/>
    <x v="1"/>
    <n v="73.3"/>
    <n v="263.5"/>
    <n v="50.9"/>
    <n v="20.079999999999998"/>
    <n v="1"/>
    <n v="3.63"/>
    <x v="19"/>
    <x v="78"/>
    <n v="3.68"/>
    <n v="122.1666666666667"/>
    <n v="263.5"/>
    <n v="63.625"/>
    <n v="50.2"/>
    <n v="2.5"/>
    <n v="181.5"/>
    <n v="264"/>
    <x v="0"/>
    <s v="PM10"/>
  </r>
  <r>
    <x v="16"/>
    <x v="2"/>
    <n v="167.1"/>
    <n v="274.89999999999998"/>
    <n v="12.4"/>
    <n v="2.44"/>
    <n v="20.8"/>
    <n v="1.85"/>
    <x v="68"/>
    <x v="79"/>
    <n v="2.72"/>
    <n v="278.49999999999989"/>
    <n v="274.89999999999998"/>
    <n v="15.5"/>
    <n v="6.1"/>
    <n v="52.000000000000007"/>
    <n v="92.5"/>
    <n v="278"/>
    <x v="0"/>
    <s v="PM2.5"/>
  </r>
  <r>
    <x v="16"/>
    <x v="3"/>
    <n v="59.7"/>
    <n v="133.30000000000001"/>
    <n v="27"/>
    <n v="5.41"/>
    <n v="5.6"/>
    <n v="0.98"/>
    <x v="69"/>
    <x v="80"/>
    <n v="5.66"/>
    <n v="99.5"/>
    <n v="133.30000000000001"/>
    <n v="33.75"/>
    <n v="13.525"/>
    <n v="14"/>
    <n v="49"/>
    <n v="133"/>
    <x v="1"/>
    <s v="PM10"/>
  </r>
  <r>
    <x v="16"/>
    <x v="4"/>
    <n v="131.6"/>
    <n v="230.7"/>
    <n v="49"/>
    <n v="20.239999999999998"/>
    <n v="25.4"/>
    <n v="2.2400000000000002"/>
    <x v="70"/>
    <x v="81"/>
    <n v="4.38"/>
    <n v="219.33333333333329"/>
    <n v="230.7"/>
    <n v="61.25"/>
    <n v="50.6"/>
    <n v="63.5"/>
    <n v="112"/>
    <n v="231"/>
    <x v="0"/>
    <s v="PM10"/>
  </r>
  <r>
    <x v="17"/>
    <x v="0"/>
    <n v="71.599999999999994"/>
    <n v="216.9"/>
    <n v="148"/>
    <n v="8.9499999999999993"/>
    <n v="88.3"/>
    <n v="2.99"/>
    <x v="1"/>
    <x v="82"/>
    <n v="3.67"/>
    <n v="119.3333333333333"/>
    <n v="216.9"/>
    <n v="185"/>
    <n v="22.375"/>
    <n v="220.75"/>
    <n v="149.5"/>
    <n v="221"/>
    <x v="0"/>
    <s v="O3"/>
  </r>
  <r>
    <x v="17"/>
    <x v="1"/>
    <n v="157.30000000000001"/>
    <n v="51.6"/>
    <n v="60.9"/>
    <n v="13.52"/>
    <n v="42.9"/>
    <n v="3.14"/>
    <x v="71"/>
    <x v="83"/>
    <n v="2.96"/>
    <n v="262.16666666666669"/>
    <n v="51.6"/>
    <n v="76.125"/>
    <n v="33.799999999999997"/>
    <n v="107.25"/>
    <n v="157"/>
    <n v="262"/>
    <x v="0"/>
    <s v="PM2.5"/>
  </r>
  <r>
    <x v="17"/>
    <x v="2"/>
    <n v="119"/>
    <n v="233.5"/>
    <n v="101.3"/>
    <n v="18.5"/>
    <n v="44"/>
    <n v="1.76"/>
    <x v="72"/>
    <x v="84"/>
    <n v="2.75"/>
    <n v="198.33333333333329"/>
    <n v="233.5"/>
    <n v="126.625"/>
    <n v="46.25"/>
    <n v="110"/>
    <n v="88"/>
    <n v="234"/>
    <x v="0"/>
    <s v="PM10"/>
  </r>
  <r>
    <x v="17"/>
    <x v="3"/>
    <n v="109"/>
    <n v="69.400000000000006"/>
    <n v="37.4"/>
    <n v="21.23"/>
    <n v="35.1"/>
    <n v="2.57"/>
    <x v="73"/>
    <x v="85"/>
    <n v="3.63"/>
    <n v="181.66666666666671"/>
    <n v="69.400000000000006"/>
    <n v="46.75"/>
    <n v="53.075000000000003"/>
    <n v="87.750000000000014"/>
    <n v="128.5"/>
    <n v="182"/>
    <x v="1"/>
    <s v="PM2.5"/>
  </r>
  <r>
    <x v="17"/>
    <x v="4"/>
    <n v="78.400000000000006"/>
    <n v="221.4"/>
    <n v="62.9"/>
    <n v="10.26"/>
    <n v="31.9"/>
    <n v="2.35"/>
    <x v="6"/>
    <x v="86"/>
    <n v="1.93"/>
    <n v="130.66666666666671"/>
    <n v="221.4"/>
    <n v="78.625"/>
    <n v="25.65"/>
    <n v="79.75"/>
    <n v="117.5"/>
    <n v="221"/>
    <x v="0"/>
    <s v="PM10"/>
  </r>
  <r>
    <x v="18"/>
    <x v="0"/>
    <n v="100.1"/>
    <n v="172.3"/>
    <n v="136"/>
    <n v="16.53"/>
    <n v="68.099999999999994"/>
    <n v="0.56999999999999995"/>
    <x v="51"/>
    <x v="87"/>
    <n v="2.6"/>
    <n v="166.83333333333329"/>
    <n v="172.3"/>
    <n v="170"/>
    <n v="41.325000000000003"/>
    <n v="170.25"/>
    <n v="28.5"/>
    <n v="172"/>
    <x v="1"/>
    <s v="PM10"/>
  </r>
  <r>
    <x v="18"/>
    <x v="1"/>
    <n v="183.9"/>
    <n v="177.9"/>
    <n v="146.4"/>
    <n v="38.99"/>
    <n v="34.799999999999997"/>
    <n v="1.87"/>
    <x v="18"/>
    <x v="88"/>
    <n v="1.87"/>
    <n v="306.5"/>
    <n v="177.9"/>
    <n v="183"/>
    <n v="97.475000000000009"/>
    <n v="87"/>
    <n v="93.5"/>
    <n v="306"/>
    <x v="2"/>
    <s v="PM2.5"/>
  </r>
  <r>
    <x v="18"/>
    <x v="2"/>
    <n v="72"/>
    <n v="156.69999999999999"/>
    <n v="27.5"/>
    <n v="5.18"/>
    <n v="12.7"/>
    <n v="1.1200000000000001"/>
    <x v="74"/>
    <x v="89"/>
    <n v="4.3600000000000003"/>
    <n v="120"/>
    <n v="156.69999999999999"/>
    <n v="34.375"/>
    <n v="12.95"/>
    <n v="31.75"/>
    <n v="56.000000000000007"/>
    <n v="157"/>
    <x v="1"/>
    <s v="PM10"/>
  </r>
  <r>
    <x v="18"/>
    <x v="3"/>
    <n v="48.1"/>
    <n v="286.5"/>
    <n v="65.2"/>
    <n v="12.4"/>
    <n v="51.2"/>
    <n v="0.84"/>
    <x v="20"/>
    <x v="90"/>
    <n v="3.09"/>
    <n v="80.166666666666657"/>
    <n v="286.5"/>
    <n v="81.5"/>
    <n v="31"/>
    <n v="128"/>
    <n v="41.999999999999993"/>
    <n v="286"/>
    <x v="0"/>
    <s v="PM10"/>
  </r>
  <r>
    <x v="18"/>
    <x v="4"/>
    <n v="120.9"/>
    <n v="470.5"/>
    <n v="56.8"/>
    <n v="9.41"/>
    <n v="24.2"/>
    <n v="1.53"/>
    <x v="7"/>
    <x v="91"/>
    <n v="4.7"/>
    <n v="201.5"/>
    <n v="470.5"/>
    <n v="71"/>
    <n v="23.524999999999999"/>
    <n v="60.5"/>
    <n v="76.5"/>
    <n v="470"/>
    <x v="2"/>
    <s v="PM10"/>
  </r>
  <r>
    <x v="19"/>
    <x v="0"/>
    <n v="78.900000000000006"/>
    <n v="128.9"/>
    <n v="100.1"/>
    <n v="9.64"/>
    <n v="57.8"/>
    <n v="2.4300000000000002"/>
    <x v="75"/>
    <x v="92"/>
    <n v="4.66"/>
    <n v="131.5"/>
    <n v="128.9"/>
    <n v="125.125"/>
    <n v="24.1"/>
    <n v="144.5"/>
    <n v="121.5"/>
    <n v="144"/>
    <x v="1"/>
    <s v="O3"/>
  </r>
  <r>
    <x v="19"/>
    <x v="1"/>
    <n v="83.2"/>
    <n v="193.5"/>
    <n v="101.4"/>
    <n v="19.34"/>
    <n v="63.5"/>
    <n v="4.8099999999999996"/>
    <x v="76"/>
    <x v="93"/>
    <n v="0.84"/>
    <n v="138.66666666666671"/>
    <n v="193.5"/>
    <n v="126.75"/>
    <n v="48.349999999999987"/>
    <n v="158.75"/>
    <n v="240.5"/>
    <n v="240"/>
    <x v="0"/>
    <s v="CO"/>
  </r>
  <r>
    <x v="19"/>
    <x v="2"/>
    <n v="57.9"/>
    <n v="179.4"/>
    <n v="123"/>
    <n v="8.23"/>
    <n v="39"/>
    <n v="1.81"/>
    <x v="77"/>
    <x v="62"/>
    <n v="1.86"/>
    <n v="96.5"/>
    <n v="179.4"/>
    <n v="153.75"/>
    <n v="20.574999999999999"/>
    <n v="97.5"/>
    <n v="90.5"/>
    <n v="179"/>
    <x v="1"/>
    <s v="PM10"/>
  </r>
  <r>
    <x v="19"/>
    <x v="3"/>
    <n v="72.5"/>
    <n v="292.2"/>
    <n v="93.8"/>
    <n v="27.57"/>
    <n v="49.1"/>
    <n v="1.58"/>
    <x v="78"/>
    <x v="94"/>
    <n v="3.48"/>
    <n v="120.8333333333333"/>
    <n v="292.2"/>
    <n v="117.25"/>
    <n v="68.924999999999997"/>
    <n v="122.75"/>
    <n v="79"/>
    <n v="292"/>
    <x v="0"/>
    <s v="PM10"/>
  </r>
  <r>
    <x v="19"/>
    <x v="4"/>
    <n v="132.4"/>
    <n v="323.8"/>
    <n v="120.4"/>
    <n v="26.24"/>
    <n v="55.7"/>
    <n v="1.94"/>
    <x v="79"/>
    <x v="95"/>
    <n v="2.02"/>
    <n v="220.66666666666671"/>
    <n v="323.8"/>
    <n v="150.5"/>
    <n v="65.599999999999994"/>
    <n v="139.25"/>
    <n v="97"/>
    <n v="324"/>
    <x v="2"/>
    <s v="PM10"/>
  </r>
  <r>
    <x v="20"/>
    <x v="0"/>
    <n v="130.80000000000001"/>
    <n v="177.4"/>
    <n v="83.9"/>
    <n v="26.48"/>
    <n v="46.3"/>
    <n v="2.2599999999999998"/>
    <x v="80"/>
    <x v="96"/>
    <n v="3.27"/>
    <n v="218"/>
    <n v="177.4"/>
    <n v="104.875"/>
    <n v="66.199999999999989"/>
    <n v="115.75"/>
    <n v="113"/>
    <n v="218"/>
    <x v="0"/>
    <s v="PM2.5"/>
  </r>
  <r>
    <x v="20"/>
    <x v="1"/>
    <n v="249.8"/>
    <n v="203.1"/>
    <n v="98.8"/>
    <n v="18.489999999999998"/>
    <n v="89.4"/>
    <n v="2.29"/>
    <x v="81"/>
    <x v="97"/>
    <n v="2.72"/>
    <n v="416.33333333333331"/>
    <n v="203.1"/>
    <n v="123.5"/>
    <n v="46.224999999999987"/>
    <n v="223.5"/>
    <n v="114.5"/>
    <n v="416"/>
    <x v="2"/>
    <s v="PM2.5"/>
  </r>
  <r>
    <x v="20"/>
    <x v="2"/>
    <n v="70.8"/>
    <n v="200.1"/>
    <n v="101"/>
    <n v="4.3600000000000003"/>
    <n v="37"/>
    <n v="1.19"/>
    <x v="55"/>
    <x v="98"/>
    <n v="1.83"/>
    <n v="118"/>
    <n v="200.1"/>
    <n v="126.25"/>
    <n v="10.9"/>
    <n v="92.5"/>
    <n v="59.5"/>
    <n v="200"/>
    <x v="1"/>
    <s v="PM10"/>
  </r>
  <r>
    <x v="20"/>
    <x v="3"/>
    <n v="114.1"/>
    <n v="342.3"/>
    <n v="69.900000000000006"/>
    <n v="8.36"/>
    <n v="78.3"/>
    <n v="0.53"/>
    <x v="82"/>
    <x v="99"/>
    <n v="1.9"/>
    <n v="190.16666666666671"/>
    <n v="342.3"/>
    <n v="87.375000000000014"/>
    <n v="20.9"/>
    <n v="195.75"/>
    <n v="26.5"/>
    <n v="342"/>
    <x v="2"/>
    <s v="PM10"/>
  </r>
  <r>
    <x v="20"/>
    <x v="4"/>
    <n v="51.7"/>
    <n v="286"/>
    <n v="87.8"/>
    <n v="9.1199999999999992"/>
    <n v="7.9"/>
    <n v="3.03"/>
    <x v="16"/>
    <x v="100"/>
    <n v="5.22"/>
    <n v="86.166666666666671"/>
    <n v="286"/>
    <n v="109.75"/>
    <n v="22.8"/>
    <n v="19.75"/>
    <n v="151.5"/>
    <n v="286"/>
    <x v="0"/>
    <s v="PM10"/>
  </r>
  <r>
    <x v="21"/>
    <x v="0"/>
    <n v="51.3"/>
    <n v="52.4"/>
    <n v="57.3"/>
    <n v="14.3"/>
    <n v="47.7"/>
    <n v="1.94"/>
    <x v="29"/>
    <x v="101"/>
    <n v="4.2300000000000004"/>
    <n v="85.499999999999986"/>
    <n v="52.4"/>
    <n v="71.625"/>
    <n v="35.750000000000007"/>
    <n v="119.25"/>
    <n v="97"/>
    <n v="119"/>
    <x v="1"/>
    <s v="O3"/>
  </r>
  <r>
    <x v="21"/>
    <x v="1"/>
    <n v="115.1"/>
    <n v="374.1"/>
    <n v="103.7"/>
    <n v="20.57"/>
    <n v="61"/>
    <n v="2.94"/>
    <x v="83"/>
    <x v="102"/>
    <n v="2.74"/>
    <n v="191.83333333333329"/>
    <n v="374.1"/>
    <n v="129.625"/>
    <n v="51.424999999999997"/>
    <n v="152.5"/>
    <n v="147"/>
    <n v="374"/>
    <x v="2"/>
    <s v="PM10"/>
  </r>
  <r>
    <x v="21"/>
    <x v="2"/>
    <n v="123.5"/>
    <n v="174.2"/>
    <n v="112.2"/>
    <n v="7.02"/>
    <n v="72.7"/>
    <n v="1.79"/>
    <x v="26"/>
    <x v="103"/>
    <n v="1.68"/>
    <n v="205.83333333333329"/>
    <n v="174.2"/>
    <n v="140.25"/>
    <n v="17.55"/>
    <n v="181.75"/>
    <n v="89.5"/>
    <n v="206"/>
    <x v="0"/>
    <s v="PM2.5"/>
  </r>
  <r>
    <x v="21"/>
    <x v="3"/>
    <n v="136.4"/>
    <n v="129.30000000000001"/>
    <n v="57.7"/>
    <n v="0.5"/>
    <n v="25.8"/>
    <n v="0.05"/>
    <x v="84"/>
    <x v="104"/>
    <n v="3.44"/>
    <n v="227.33333333333329"/>
    <n v="129.30000000000001"/>
    <n v="72.125000000000014"/>
    <n v="1.25"/>
    <n v="64.5"/>
    <n v="2.5"/>
    <n v="227"/>
    <x v="0"/>
    <s v="PM2.5"/>
  </r>
  <r>
    <x v="21"/>
    <x v="4"/>
    <n v="128.1"/>
    <n v="109.1"/>
    <n v="77.5"/>
    <n v="14.05"/>
    <n v="10.9"/>
    <n v="3.7"/>
    <x v="85"/>
    <x v="105"/>
    <n v="3.03"/>
    <n v="213.5"/>
    <n v="109.1"/>
    <n v="96.875"/>
    <n v="35.125"/>
    <n v="27.25"/>
    <n v="185"/>
    <n v="214"/>
    <x v="0"/>
    <s v="PM2.5"/>
  </r>
  <r>
    <x v="22"/>
    <x v="0"/>
    <n v="121.9"/>
    <n v="5"/>
    <n v="73.7"/>
    <n v="8.4499999999999993"/>
    <n v="15.5"/>
    <n v="1.9"/>
    <x v="86"/>
    <x v="106"/>
    <n v="1.81"/>
    <n v="203.16666666666671"/>
    <n v="5"/>
    <n v="92.125"/>
    <n v="21.125"/>
    <n v="38.75"/>
    <n v="95"/>
    <n v="203"/>
    <x v="0"/>
    <s v="PM2.5"/>
  </r>
  <r>
    <x v="22"/>
    <x v="1"/>
    <n v="154.4"/>
    <n v="407.9"/>
    <n v="127"/>
    <n v="16.600000000000001"/>
    <n v="26.8"/>
    <n v="3.24"/>
    <x v="11"/>
    <x v="107"/>
    <n v="3.26"/>
    <n v="257.33333333333343"/>
    <n v="407.9"/>
    <n v="158.75"/>
    <n v="41.5"/>
    <n v="67"/>
    <n v="162"/>
    <n v="408"/>
    <x v="2"/>
    <s v="PM10"/>
  </r>
  <r>
    <x v="22"/>
    <x v="2"/>
    <n v="139.1"/>
    <n v="133.6"/>
    <n v="108.4"/>
    <n v="13.66"/>
    <n v="78.599999999999994"/>
    <n v="1.2"/>
    <x v="87"/>
    <x v="108"/>
    <n v="1.72"/>
    <n v="231.83333333333329"/>
    <n v="133.6"/>
    <n v="135.5"/>
    <n v="34.15"/>
    <n v="196.5"/>
    <n v="60"/>
    <n v="232"/>
    <x v="0"/>
    <s v="PM2.5"/>
  </r>
  <r>
    <x v="22"/>
    <x v="3"/>
    <n v="72.8"/>
    <n v="161.19999999999999"/>
    <n v="85.6"/>
    <n v="16.98"/>
    <n v="23.1"/>
    <n v="1.9"/>
    <x v="88"/>
    <x v="109"/>
    <n v="3.02"/>
    <n v="121.3333333333333"/>
    <n v="161.19999999999999"/>
    <n v="107"/>
    <n v="42.45"/>
    <n v="57.75"/>
    <n v="95"/>
    <n v="161"/>
    <x v="1"/>
    <s v="PM10"/>
  </r>
  <r>
    <x v="22"/>
    <x v="4"/>
    <n v="107.6"/>
    <n v="223.9"/>
    <n v="100.8"/>
    <n v="5.08"/>
    <n v="33.200000000000003"/>
    <n v="0.35"/>
    <x v="11"/>
    <x v="110"/>
    <n v="2.42"/>
    <n v="179.33333333333329"/>
    <n v="223.9"/>
    <n v="126"/>
    <n v="12.7"/>
    <n v="83"/>
    <n v="17.5"/>
    <n v="224"/>
    <x v="0"/>
    <s v="PM10"/>
  </r>
  <r>
    <x v="23"/>
    <x v="0"/>
    <n v="197.3"/>
    <n v="85.5"/>
    <n v="28.9"/>
    <n v="16.78"/>
    <n v="68.5"/>
    <n v="4.07"/>
    <x v="89"/>
    <x v="111"/>
    <n v="2.4500000000000002"/>
    <n v="328.83333333333343"/>
    <n v="85.5"/>
    <n v="36.125"/>
    <n v="41.95"/>
    <n v="171.25"/>
    <n v="203.5"/>
    <n v="329"/>
    <x v="2"/>
    <s v="PM2.5"/>
  </r>
  <r>
    <x v="23"/>
    <x v="1"/>
    <n v="109.6"/>
    <n v="346"/>
    <n v="116.1"/>
    <n v="0.5"/>
    <n v="86.5"/>
    <n v="4.0599999999999996"/>
    <x v="90"/>
    <x v="112"/>
    <n v="3.09"/>
    <n v="182.66666666666671"/>
    <n v="346"/>
    <n v="145.125"/>
    <n v="1.25"/>
    <n v="216.25"/>
    <n v="203"/>
    <n v="346"/>
    <x v="2"/>
    <s v="PM10"/>
  </r>
  <r>
    <x v="23"/>
    <x v="2"/>
    <n v="103.1"/>
    <n v="132.19999999999999"/>
    <n v="48"/>
    <n v="11.97"/>
    <n v="59.3"/>
    <n v="2.3199999999999998"/>
    <x v="91"/>
    <x v="28"/>
    <n v="0.2"/>
    <n v="171.83333333333329"/>
    <n v="132.19999999999999"/>
    <n v="60"/>
    <n v="29.925000000000001"/>
    <n v="148.25"/>
    <n v="116"/>
    <n v="172"/>
    <x v="1"/>
    <s v="PM2.5"/>
  </r>
  <r>
    <x v="23"/>
    <x v="3"/>
    <n v="151.1"/>
    <n v="25"/>
    <n v="60.4"/>
    <n v="3.84"/>
    <n v="6.9"/>
    <n v="3.03"/>
    <x v="57"/>
    <x v="16"/>
    <n v="2.44"/>
    <n v="251.83333333333329"/>
    <n v="25"/>
    <n v="75.5"/>
    <n v="9.6"/>
    <n v="17.25"/>
    <n v="151.5"/>
    <n v="252"/>
    <x v="0"/>
    <s v="PM2.5"/>
  </r>
  <r>
    <x v="23"/>
    <x v="4"/>
    <n v="130.80000000000001"/>
    <n v="219.3"/>
    <n v="34"/>
    <n v="22.85"/>
    <n v="27.4"/>
    <n v="0.47"/>
    <x v="92"/>
    <x v="113"/>
    <n v="4.0199999999999996"/>
    <n v="218"/>
    <n v="219.3"/>
    <n v="42.5"/>
    <n v="57.125"/>
    <n v="68.499999999999986"/>
    <n v="23.5"/>
    <n v="219"/>
    <x v="0"/>
    <s v="PM10"/>
  </r>
  <r>
    <x v="24"/>
    <x v="0"/>
    <n v="91.2"/>
    <n v="182.2"/>
    <n v="71"/>
    <n v="33.83"/>
    <n v="51.3"/>
    <n v="2.68"/>
    <x v="93"/>
    <x v="114"/>
    <n v="2.19"/>
    <n v="152"/>
    <n v="182.2"/>
    <n v="88.75"/>
    <n v="84.575000000000003"/>
    <n v="128.25"/>
    <n v="134"/>
    <n v="182"/>
    <x v="1"/>
    <s v="PM10"/>
  </r>
  <r>
    <x v="24"/>
    <x v="1"/>
    <n v="108.2"/>
    <n v="231.4"/>
    <n v="88.5"/>
    <n v="23.28"/>
    <n v="46.5"/>
    <n v="3.28"/>
    <x v="94"/>
    <x v="115"/>
    <n v="0.2"/>
    <n v="180.33333333333329"/>
    <n v="231.4"/>
    <n v="110.625"/>
    <n v="58.2"/>
    <n v="116.25"/>
    <n v="164"/>
    <n v="231"/>
    <x v="0"/>
    <s v="PM10"/>
  </r>
  <r>
    <x v="24"/>
    <x v="2"/>
    <n v="133"/>
    <n v="214"/>
    <n v="98.7"/>
    <n v="0.5"/>
    <n v="78.8"/>
    <n v="1.7"/>
    <x v="95"/>
    <x v="116"/>
    <n v="3.24"/>
    <n v="221.66666666666671"/>
    <n v="214"/>
    <n v="123.375"/>
    <n v="1.25"/>
    <n v="197"/>
    <n v="84.999999999999986"/>
    <n v="222"/>
    <x v="0"/>
    <s v="PM2.5"/>
  </r>
  <r>
    <x v="24"/>
    <x v="3"/>
    <n v="45.4"/>
    <n v="132.1"/>
    <n v="133.19999999999999"/>
    <n v="11.27"/>
    <n v="40.9"/>
    <n v="2.76"/>
    <x v="96"/>
    <x v="42"/>
    <n v="2.94"/>
    <n v="75.666666666666657"/>
    <n v="132.1"/>
    <n v="166.5"/>
    <n v="28.175000000000001"/>
    <n v="102.25"/>
    <n v="138"/>
    <n v="166"/>
    <x v="1"/>
    <s v="NO2"/>
  </r>
  <r>
    <x v="24"/>
    <x v="4"/>
    <n v="232.5"/>
    <n v="205.1"/>
    <n v="86.3"/>
    <n v="23.33"/>
    <n v="67"/>
    <n v="3.37"/>
    <x v="83"/>
    <x v="117"/>
    <n v="4.96"/>
    <n v="387.5"/>
    <n v="205.1"/>
    <n v="107.875"/>
    <n v="58.325000000000003"/>
    <n v="167.5"/>
    <n v="168.5"/>
    <n v="388"/>
    <x v="2"/>
    <s v="PM2.5"/>
  </r>
  <r>
    <x v="25"/>
    <x v="0"/>
    <n v="47.1"/>
    <n v="254.2"/>
    <n v="55"/>
    <n v="14.13"/>
    <n v="49.9"/>
    <n v="2.56"/>
    <x v="97"/>
    <x v="118"/>
    <n v="3.04"/>
    <n v="78.5"/>
    <n v="254.2"/>
    <n v="68.75"/>
    <n v="35.325000000000003"/>
    <n v="124.75"/>
    <n v="128"/>
    <n v="254"/>
    <x v="0"/>
    <s v="PM10"/>
  </r>
  <r>
    <x v="25"/>
    <x v="1"/>
    <n v="105.4"/>
    <n v="355.7"/>
    <n v="137.6"/>
    <n v="3.72"/>
    <n v="61.8"/>
    <n v="3.24"/>
    <x v="98"/>
    <x v="119"/>
    <n v="2.3199999999999998"/>
    <n v="175.66666666666671"/>
    <n v="355.7"/>
    <n v="172"/>
    <n v="9.3000000000000007"/>
    <n v="154.5"/>
    <n v="162"/>
    <n v="356"/>
    <x v="2"/>
    <s v="PM10"/>
  </r>
  <r>
    <x v="25"/>
    <x v="2"/>
    <n v="96.9"/>
    <n v="166.6"/>
    <n v="68.900000000000006"/>
    <n v="3.83"/>
    <n v="3.4"/>
    <n v="3.28"/>
    <x v="99"/>
    <x v="120"/>
    <n v="0.2"/>
    <n v="161.5"/>
    <n v="166.6"/>
    <n v="86.125"/>
    <n v="9.5749999999999993"/>
    <n v="8.5"/>
    <n v="164"/>
    <n v="167"/>
    <x v="1"/>
    <s v="PM10"/>
  </r>
  <r>
    <x v="25"/>
    <x v="3"/>
    <n v="65.3"/>
    <n v="65"/>
    <n v="124.5"/>
    <n v="20.88"/>
    <n v="20.5"/>
    <n v="4.08"/>
    <x v="100"/>
    <x v="121"/>
    <n v="0.2"/>
    <n v="108.8333333333333"/>
    <n v="65"/>
    <n v="155.625"/>
    <n v="52.2"/>
    <n v="51.25"/>
    <n v="204"/>
    <n v="204"/>
    <x v="0"/>
    <s v="CO"/>
  </r>
  <r>
    <x v="25"/>
    <x v="4"/>
    <n v="226.6"/>
    <n v="64.5"/>
    <n v="21.3"/>
    <n v="23.08"/>
    <n v="100"/>
    <n v="3.57"/>
    <x v="101"/>
    <x v="122"/>
    <n v="4.0199999999999996"/>
    <n v="377.66666666666657"/>
    <n v="64.5"/>
    <n v="26.625"/>
    <n v="57.7"/>
    <n v="250"/>
    <n v="178.5"/>
    <n v="378"/>
    <x v="2"/>
    <s v="PM2.5"/>
  </r>
  <r>
    <x v="26"/>
    <x v="0"/>
    <n v="152.30000000000001"/>
    <n v="251.8"/>
    <n v="86.6"/>
    <n v="14.14"/>
    <n v="21.9"/>
    <n v="1.9"/>
    <x v="44"/>
    <x v="100"/>
    <n v="1.31"/>
    <n v="253.83333333333329"/>
    <n v="251.8"/>
    <n v="108.25"/>
    <n v="35.35"/>
    <n v="54.749999999999993"/>
    <n v="95"/>
    <n v="254"/>
    <x v="0"/>
    <s v="PM2.5"/>
  </r>
  <r>
    <x v="26"/>
    <x v="1"/>
    <n v="53.8"/>
    <n v="261.60000000000002"/>
    <n v="145.69999999999999"/>
    <n v="25.18"/>
    <n v="1"/>
    <n v="1.21"/>
    <x v="102"/>
    <x v="123"/>
    <n v="2.23"/>
    <n v="89.666666666666657"/>
    <n v="261.60000000000002"/>
    <n v="182.125"/>
    <n v="62.95"/>
    <n v="2.5"/>
    <n v="60.5"/>
    <n v="262"/>
    <x v="0"/>
    <s v="PM10"/>
  </r>
  <r>
    <x v="26"/>
    <x v="2"/>
    <n v="116.3"/>
    <n v="94.1"/>
    <n v="71.599999999999994"/>
    <n v="2.02"/>
    <n v="21.3"/>
    <n v="2.12"/>
    <x v="103"/>
    <x v="99"/>
    <n v="2.48"/>
    <n v="193.83333333333329"/>
    <n v="94.1"/>
    <n v="89.5"/>
    <n v="5.05"/>
    <n v="53.25"/>
    <n v="106"/>
    <n v="194"/>
    <x v="1"/>
    <s v="PM2.5"/>
  </r>
  <r>
    <x v="26"/>
    <x v="3"/>
    <n v="122.5"/>
    <n v="213.5"/>
    <n v="115.7"/>
    <n v="13.8"/>
    <n v="26.3"/>
    <n v="2.04"/>
    <x v="104"/>
    <x v="124"/>
    <n v="2.5499999999999998"/>
    <n v="204.16666666666671"/>
    <n v="213.5"/>
    <n v="144.625"/>
    <n v="34.5"/>
    <n v="65.75"/>
    <n v="102"/>
    <n v="214"/>
    <x v="0"/>
    <s v="PM10"/>
  </r>
  <r>
    <x v="26"/>
    <x v="4"/>
    <n v="68.5"/>
    <n v="141.19999999999999"/>
    <n v="29.8"/>
    <n v="29.48"/>
    <n v="8.8000000000000007"/>
    <n v="1.38"/>
    <x v="34"/>
    <x v="107"/>
    <n v="2.65"/>
    <n v="114.1666666666667"/>
    <n v="141.19999999999999"/>
    <n v="37.25"/>
    <n v="73.7"/>
    <n v="22"/>
    <n v="68.999999999999986"/>
    <n v="141"/>
    <x v="1"/>
    <s v="PM10"/>
  </r>
  <r>
    <x v="27"/>
    <x v="0"/>
    <n v="179.3"/>
    <n v="146.4"/>
    <n v="93.1"/>
    <n v="7.03"/>
    <n v="96.9"/>
    <n v="0.9"/>
    <x v="105"/>
    <x v="82"/>
    <n v="3"/>
    <n v="298.83333333333331"/>
    <n v="146.4"/>
    <n v="116.375"/>
    <n v="17.574999999999999"/>
    <n v="242.25"/>
    <n v="45"/>
    <n v="299"/>
    <x v="0"/>
    <s v="PM2.5"/>
  </r>
  <r>
    <x v="27"/>
    <x v="1"/>
    <n v="108.9"/>
    <n v="224.4"/>
    <n v="91.8"/>
    <n v="14.53"/>
    <n v="72.099999999999994"/>
    <n v="5.05"/>
    <x v="1"/>
    <x v="125"/>
    <n v="2.39"/>
    <n v="181.5"/>
    <n v="224.4"/>
    <n v="114.75"/>
    <n v="36.325000000000003"/>
    <n v="180.25"/>
    <n v="252.5"/>
    <n v="252"/>
    <x v="0"/>
    <s v="CO"/>
  </r>
  <r>
    <x v="27"/>
    <x v="2"/>
    <n v="208.8"/>
    <n v="109.1"/>
    <n v="118.2"/>
    <n v="24.91"/>
    <n v="22.4"/>
    <n v="2.34"/>
    <x v="106"/>
    <x v="126"/>
    <n v="2.2599999999999998"/>
    <n v="348.00000000000011"/>
    <n v="109.1"/>
    <n v="147.75"/>
    <n v="62.274999999999999"/>
    <n v="55.999999999999993"/>
    <n v="117"/>
    <n v="348"/>
    <x v="2"/>
    <s v="PM2.5"/>
  </r>
  <r>
    <x v="27"/>
    <x v="3"/>
    <n v="68.099999999999994"/>
    <n v="94.6"/>
    <n v="51.2"/>
    <n v="3.01"/>
    <n v="36.799999999999997"/>
    <n v="1.18"/>
    <x v="36"/>
    <x v="127"/>
    <n v="2.9"/>
    <n v="113.5"/>
    <n v="94.6"/>
    <n v="64"/>
    <n v="7.5249999999999986"/>
    <n v="92"/>
    <n v="59"/>
    <n v="113"/>
    <x v="1"/>
    <s v="PM2.5"/>
  </r>
  <r>
    <x v="27"/>
    <x v="4"/>
    <n v="149.6"/>
    <n v="5"/>
    <n v="92.4"/>
    <n v="24.88"/>
    <n v="9.6999999999999993"/>
    <n v="3.88"/>
    <x v="107"/>
    <x v="128"/>
    <n v="2.93"/>
    <n v="249.33333333333329"/>
    <n v="5"/>
    <n v="115.5"/>
    <n v="62.2"/>
    <n v="24.25"/>
    <n v="194"/>
    <n v="249"/>
    <x v="0"/>
    <s v="PM2.5"/>
  </r>
  <r>
    <x v="28"/>
    <x v="0"/>
    <n v="141.19999999999999"/>
    <n v="229.2"/>
    <n v="102.6"/>
    <n v="6.25"/>
    <n v="45.8"/>
    <n v="0.65"/>
    <x v="4"/>
    <x v="56"/>
    <n v="1.62"/>
    <n v="235.33333333333329"/>
    <n v="229.2"/>
    <n v="128.25"/>
    <n v="15.625"/>
    <n v="114.5"/>
    <n v="32.5"/>
    <n v="235"/>
    <x v="0"/>
    <s v="PM2.5"/>
  </r>
  <r>
    <x v="28"/>
    <x v="1"/>
    <n v="194.2"/>
    <n v="371"/>
    <n v="114.4"/>
    <n v="5.08"/>
    <n v="36.1"/>
    <n v="3.86"/>
    <x v="79"/>
    <x v="62"/>
    <n v="2.97"/>
    <n v="323.66666666666669"/>
    <n v="371"/>
    <n v="143"/>
    <n v="12.7"/>
    <n v="90.25"/>
    <n v="193"/>
    <n v="371"/>
    <x v="2"/>
    <s v="PM10"/>
  </r>
  <r>
    <x v="28"/>
    <x v="2"/>
    <n v="100"/>
    <n v="154.19999999999999"/>
    <n v="72.5"/>
    <n v="11"/>
    <n v="49.3"/>
    <n v="2.7"/>
    <x v="24"/>
    <x v="83"/>
    <n v="0.3"/>
    <n v="166.66666666666671"/>
    <n v="154.19999999999999"/>
    <n v="90.625"/>
    <n v="27.5"/>
    <n v="123.25"/>
    <n v="135"/>
    <n v="167"/>
    <x v="1"/>
    <s v="PM2.5"/>
  </r>
  <r>
    <x v="28"/>
    <x v="3"/>
    <n v="120.4"/>
    <n v="86.1"/>
    <n v="3.1"/>
    <n v="15.91"/>
    <n v="92.1"/>
    <n v="1.91"/>
    <x v="108"/>
    <x v="129"/>
    <n v="2.38"/>
    <n v="200.66666666666671"/>
    <n v="86.1"/>
    <n v="3.875"/>
    <n v="39.774999999999999"/>
    <n v="230.25"/>
    <n v="95.5"/>
    <n v="230"/>
    <x v="0"/>
    <s v="O3"/>
  </r>
  <r>
    <x v="28"/>
    <x v="4"/>
    <n v="154.1"/>
    <n v="180.5"/>
    <n v="88.6"/>
    <n v="16.91"/>
    <n v="23.1"/>
    <n v="3.16"/>
    <x v="76"/>
    <x v="18"/>
    <n v="3.64"/>
    <n v="256.83333333333331"/>
    <n v="180.5"/>
    <n v="110.75"/>
    <n v="42.274999999999999"/>
    <n v="57.75"/>
    <n v="158"/>
    <n v="257"/>
    <x v="0"/>
    <s v="PM2.5"/>
  </r>
  <r>
    <x v="29"/>
    <x v="0"/>
    <n v="60.8"/>
    <n v="223.9"/>
    <n v="82.5"/>
    <n v="24.71"/>
    <n v="53.7"/>
    <n v="2.1800000000000002"/>
    <x v="109"/>
    <x v="130"/>
    <n v="3.17"/>
    <n v="101.3333333333333"/>
    <n v="223.9"/>
    <n v="103.125"/>
    <n v="61.775000000000013"/>
    <n v="134.25"/>
    <n v="109"/>
    <n v="224"/>
    <x v="0"/>
    <s v="PM10"/>
  </r>
  <r>
    <x v="29"/>
    <x v="1"/>
    <n v="120.6"/>
    <n v="82.6"/>
    <n v="47.4"/>
    <n v="12.95"/>
    <n v="27.9"/>
    <n v="2.1800000000000002"/>
    <x v="110"/>
    <x v="131"/>
    <n v="2.42"/>
    <n v="201"/>
    <n v="82.6"/>
    <n v="59.25"/>
    <n v="32.375"/>
    <n v="69.749999999999986"/>
    <n v="109"/>
    <n v="201"/>
    <x v="0"/>
    <s v="PM2.5"/>
  </r>
  <r>
    <x v="29"/>
    <x v="2"/>
    <n v="113.4"/>
    <n v="188.3"/>
    <n v="8.3000000000000007"/>
    <n v="5.0199999999999996"/>
    <n v="31.1"/>
    <n v="0.72"/>
    <x v="32"/>
    <x v="132"/>
    <n v="3.96"/>
    <n v="189"/>
    <n v="188.3"/>
    <n v="10.375"/>
    <n v="12.55"/>
    <n v="77.75"/>
    <n v="36"/>
    <n v="189"/>
    <x v="1"/>
    <s v="PM2.5"/>
  </r>
  <r>
    <x v="29"/>
    <x v="3"/>
    <n v="85.8"/>
    <n v="335.1"/>
    <n v="76.8"/>
    <n v="10.1"/>
    <n v="22.2"/>
    <n v="1.63"/>
    <x v="5"/>
    <x v="133"/>
    <n v="2.69"/>
    <n v="143"/>
    <n v="335.1"/>
    <n v="96"/>
    <n v="25.25"/>
    <n v="55.5"/>
    <n v="81.499999999999986"/>
    <n v="335"/>
    <x v="2"/>
    <s v="PM10"/>
  </r>
  <r>
    <x v="29"/>
    <x v="4"/>
    <n v="105.8"/>
    <n v="257.3"/>
    <n v="121.1"/>
    <n v="22.44"/>
    <n v="2.8"/>
    <n v="0.05"/>
    <x v="111"/>
    <x v="134"/>
    <n v="2.73"/>
    <n v="176.33333333333329"/>
    <n v="257.3"/>
    <n v="151.375"/>
    <n v="56.1"/>
    <n v="6.9999999999999991"/>
    <n v="2.5"/>
    <n v="257"/>
    <x v="0"/>
    <s v="PM10"/>
  </r>
  <r>
    <x v="30"/>
    <x v="0"/>
    <n v="45.8"/>
    <n v="21.9"/>
    <n v="102.7"/>
    <n v="21.7"/>
    <n v="26.5"/>
    <n v="0.05"/>
    <x v="2"/>
    <x v="112"/>
    <n v="0.73"/>
    <n v="76.333333333333329"/>
    <n v="21.9"/>
    <n v="128.375"/>
    <n v="54.25"/>
    <n v="66.25"/>
    <n v="2.5"/>
    <n v="128"/>
    <x v="1"/>
    <s v="NO2"/>
  </r>
  <r>
    <x v="30"/>
    <x v="1"/>
    <n v="131"/>
    <n v="238.2"/>
    <n v="113.2"/>
    <n v="17.2"/>
    <n v="17.600000000000001"/>
    <n v="3.84"/>
    <x v="112"/>
    <x v="135"/>
    <n v="1.38"/>
    <n v="218.33333333333329"/>
    <n v="238.2"/>
    <n v="141.5"/>
    <n v="43"/>
    <n v="44.000000000000007"/>
    <n v="192"/>
    <n v="238"/>
    <x v="0"/>
    <s v="PM10"/>
  </r>
  <r>
    <x v="30"/>
    <x v="2"/>
    <n v="71"/>
    <n v="101.7"/>
    <n v="63.1"/>
    <n v="25.17"/>
    <n v="4.9000000000000004"/>
    <n v="0.35"/>
    <x v="113"/>
    <x v="38"/>
    <n v="1.7"/>
    <n v="118.3333333333333"/>
    <n v="101.7"/>
    <n v="78.875"/>
    <n v="62.925000000000011"/>
    <n v="12.25"/>
    <n v="17.5"/>
    <n v="118"/>
    <x v="1"/>
    <s v="PM2.5"/>
  </r>
  <r>
    <x v="30"/>
    <x v="3"/>
    <n v="145.9"/>
    <n v="133.9"/>
    <n v="130.4"/>
    <n v="18.22"/>
    <n v="25"/>
    <n v="3.99"/>
    <x v="114"/>
    <x v="96"/>
    <n v="2.86"/>
    <n v="243.16666666666671"/>
    <n v="133.9"/>
    <n v="163"/>
    <n v="45.55"/>
    <n v="62.5"/>
    <n v="199.5"/>
    <n v="243"/>
    <x v="0"/>
    <s v="PM2.5"/>
  </r>
  <r>
    <x v="30"/>
    <x v="4"/>
    <n v="174.3"/>
    <n v="376.1"/>
    <n v="80.3"/>
    <n v="7.45"/>
    <n v="51"/>
    <n v="1.4"/>
    <x v="115"/>
    <x v="136"/>
    <n v="2.56"/>
    <n v="290.50000000000011"/>
    <n v="376.1"/>
    <n v="100.375"/>
    <n v="18.625"/>
    <n v="127.5"/>
    <n v="69.999999999999986"/>
    <n v="376"/>
    <x v="2"/>
    <s v="PM10"/>
  </r>
  <r>
    <x v="31"/>
    <x v="0"/>
    <n v="120.6"/>
    <n v="72.099999999999994"/>
    <n v="47"/>
    <n v="25.76"/>
    <n v="24.4"/>
    <n v="1.05"/>
    <x v="116"/>
    <x v="137"/>
    <n v="3.36"/>
    <n v="201"/>
    <n v="72.099999999999994"/>
    <n v="58.75"/>
    <n v="64.400000000000006"/>
    <n v="61"/>
    <n v="52.500000000000007"/>
    <n v="201"/>
    <x v="0"/>
    <s v="PM2.5"/>
  </r>
  <r>
    <x v="31"/>
    <x v="1"/>
    <n v="179.8"/>
    <n v="149.19999999999999"/>
    <n v="33.1"/>
    <n v="31.01"/>
    <n v="35.9"/>
    <n v="2.1"/>
    <x v="117"/>
    <x v="138"/>
    <n v="3.05"/>
    <n v="299.66666666666669"/>
    <n v="149.19999999999999"/>
    <n v="41.375"/>
    <n v="77.525000000000006"/>
    <n v="89.75"/>
    <n v="105"/>
    <n v="300"/>
    <x v="0"/>
    <s v="PM2.5"/>
  </r>
  <r>
    <x v="31"/>
    <x v="2"/>
    <n v="189.9"/>
    <n v="123.7"/>
    <n v="96.6"/>
    <n v="12.59"/>
    <n v="39.9"/>
    <n v="3.22"/>
    <x v="118"/>
    <x v="139"/>
    <n v="3.79"/>
    <n v="316.5"/>
    <n v="123.7"/>
    <n v="120.75"/>
    <n v="31.475000000000001"/>
    <n v="99.749999999999986"/>
    <n v="161"/>
    <n v="316"/>
    <x v="2"/>
    <s v="PM2.5"/>
  </r>
  <r>
    <x v="31"/>
    <x v="3"/>
    <n v="78.5"/>
    <n v="111.4"/>
    <n v="38.6"/>
    <n v="0.5"/>
    <n v="82.3"/>
    <n v="0.86"/>
    <x v="96"/>
    <x v="140"/>
    <n v="2.87"/>
    <n v="130.83333333333329"/>
    <n v="111.4"/>
    <n v="48.25"/>
    <n v="1.25"/>
    <n v="205.75"/>
    <n v="43"/>
    <n v="206"/>
    <x v="0"/>
    <s v="O3"/>
  </r>
  <r>
    <x v="31"/>
    <x v="4"/>
    <n v="148.69999999999999"/>
    <n v="302.10000000000002"/>
    <n v="58.7"/>
    <n v="12.61"/>
    <n v="46.6"/>
    <n v="1.85"/>
    <x v="119"/>
    <x v="141"/>
    <n v="3.88"/>
    <n v="247.83333333333329"/>
    <n v="302.10000000000002"/>
    <n v="73.375000000000014"/>
    <n v="31.524999999999999"/>
    <n v="116.5"/>
    <n v="92.5"/>
    <n v="302"/>
    <x v="2"/>
    <s v="PM10"/>
  </r>
  <r>
    <x v="32"/>
    <x v="0"/>
    <n v="147"/>
    <n v="350.4"/>
    <n v="89.5"/>
    <n v="2.79"/>
    <n v="51.7"/>
    <n v="1.49"/>
    <x v="120"/>
    <x v="13"/>
    <n v="3.99"/>
    <n v="245"/>
    <n v="350.4"/>
    <n v="111.875"/>
    <n v="6.9750000000000014"/>
    <n v="129.25"/>
    <n v="74.5"/>
    <n v="350"/>
    <x v="2"/>
    <s v="PM10"/>
  </r>
  <r>
    <x v="32"/>
    <x v="1"/>
    <n v="121.3"/>
    <n v="277.10000000000002"/>
    <n v="158.1"/>
    <n v="18.41"/>
    <n v="118.2"/>
    <n v="3.08"/>
    <x v="121"/>
    <x v="142"/>
    <n v="2.96"/>
    <n v="202.16666666666671"/>
    <n v="277.10000000000002"/>
    <n v="197.625"/>
    <n v="46.025000000000013"/>
    <n v="295.5"/>
    <n v="154"/>
    <n v="296"/>
    <x v="0"/>
    <s v="O3"/>
  </r>
  <r>
    <x v="32"/>
    <x v="2"/>
    <n v="150"/>
    <n v="243.8"/>
    <n v="64.2"/>
    <n v="2.86"/>
    <n v="29.7"/>
    <n v="1.05"/>
    <x v="122"/>
    <x v="13"/>
    <n v="4.5"/>
    <n v="250"/>
    <n v="243.8"/>
    <n v="80.25"/>
    <n v="7.15"/>
    <n v="74.25"/>
    <n v="52.500000000000007"/>
    <n v="250"/>
    <x v="0"/>
    <s v="PM2.5"/>
  </r>
  <r>
    <x v="32"/>
    <x v="3"/>
    <n v="114.9"/>
    <n v="77.2"/>
    <n v="86.2"/>
    <n v="22.37"/>
    <n v="22.3"/>
    <n v="1.79"/>
    <x v="123"/>
    <x v="143"/>
    <n v="3.28"/>
    <n v="191.5"/>
    <n v="77.2"/>
    <n v="107.75"/>
    <n v="55.924999999999997"/>
    <n v="55.75"/>
    <n v="89.5"/>
    <n v="192"/>
    <x v="1"/>
    <s v="PM2.5"/>
  </r>
  <r>
    <x v="32"/>
    <x v="4"/>
    <n v="99.2"/>
    <n v="255.5"/>
    <n v="48"/>
    <n v="10.23"/>
    <n v="57.5"/>
    <n v="1.72"/>
    <x v="124"/>
    <x v="144"/>
    <n v="3.27"/>
    <n v="165.33333333333329"/>
    <n v="255.5"/>
    <n v="60"/>
    <n v="25.574999999999999"/>
    <n v="143.75"/>
    <n v="86"/>
    <n v="256"/>
    <x v="0"/>
    <s v="PM10"/>
  </r>
  <r>
    <x v="33"/>
    <x v="0"/>
    <n v="161.9"/>
    <n v="64.2"/>
    <n v="18"/>
    <n v="0.68"/>
    <n v="74.099999999999994"/>
    <n v="1.6"/>
    <x v="125"/>
    <x v="145"/>
    <n v="2.72"/>
    <n v="269.83333333333343"/>
    <n v="64.2"/>
    <n v="22.5"/>
    <n v="1.7"/>
    <n v="185.25"/>
    <n v="80"/>
    <n v="270"/>
    <x v="0"/>
    <s v="PM2.5"/>
  </r>
  <r>
    <x v="33"/>
    <x v="1"/>
    <n v="212.5"/>
    <n v="480.7"/>
    <n v="172.5"/>
    <n v="28.08"/>
    <n v="73.8"/>
    <n v="3.11"/>
    <x v="126"/>
    <x v="146"/>
    <n v="1.52"/>
    <n v="354.16666666666669"/>
    <n v="480.7"/>
    <n v="215.625"/>
    <n v="70.2"/>
    <n v="184.5"/>
    <n v="155.5"/>
    <n v="481"/>
    <x v="2"/>
    <s v="PM10"/>
  </r>
  <r>
    <x v="33"/>
    <x v="2"/>
    <n v="91"/>
    <n v="166.9"/>
    <n v="54.6"/>
    <n v="17.45"/>
    <n v="54.6"/>
    <n v="1.9"/>
    <x v="127"/>
    <x v="117"/>
    <n v="2.27"/>
    <n v="151.66666666666671"/>
    <n v="166.9"/>
    <n v="68.25"/>
    <n v="43.625"/>
    <n v="136.5"/>
    <n v="95"/>
    <n v="167"/>
    <x v="1"/>
    <s v="PM10"/>
  </r>
  <r>
    <x v="33"/>
    <x v="3"/>
    <n v="61.6"/>
    <n v="12.8"/>
    <n v="69.400000000000006"/>
    <n v="11.83"/>
    <n v="70.099999999999994"/>
    <n v="2.5299999999999998"/>
    <x v="128"/>
    <x v="147"/>
    <n v="3.97"/>
    <n v="102.6666666666667"/>
    <n v="12.8"/>
    <n v="86.750000000000014"/>
    <n v="29.574999999999999"/>
    <n v="175.25"/>
    <n v="126.5"/>
    <n v="175"/>
    <x v="1"/>
    <s v="O3"/>
  </r>
  <r>
    <x v="33"/>
    <x v="4"/>
    <n v="136.30000000000001"/>
    <n v="187.3"/>
    <n v="45.4"/>
    <n v="10.8"/>
    <n v="66.5"/>
    <n v="4.0999999999999996"/>
    <x v="129"/>
    <x v="59"/>
    <n v="1.66"/>
    <n v="227.16666666666671"/>
    <n v="187.3"/>
    <n v="56.749999999999993"/>
    <n v="27"/>
    <n v="166.25"/>
    <n v="205"/>
    <n v="227"/>
    <x v="0"/>
    <s v="PM2.5"/>
  </r>
  <r>
    <x v="34"/>
    <x v="0"/>
    <n v="118.2"/>
    <n v="25.6"/>
    <n v="94.7"/>
    <n v="13.36"/>
    <n v="29.3"/>
    <n v="0.45"/>
    <x v="118"/>
    <x v="148"/>
    <n v="1.1000000000000001"/>
    <n v="197"/>
    <n v="25.6"/>
    <n v="118.375"/>
    <n v="33.4"/>
    <n v="73.25"/>
    <n v="22.5"/>
    <n v="197"/>
    <x v="1"/>
    <s v="PM2.5"/>
  </r>
  <r>
    <x v="34"/>
    <x v="1"/>
    <n v="2"/>
    <n v="236.7"/>
    <n v="160.9"/>
    <n v="32.61"/>
    <n v="32.1"/>
    <n v="1.68"/>
    <x v="77"/>
    <x v="149"/>
    <n v="2.86"/>
    <n v="3.333333333333333"/>
    <n v="236.7"/>
    <n v="201.125"/>
    <n v="81.525000000000006"/>
    <n v="80.25"/>
    <n v="83.999999999999986"/>
    <n v="237"/>
    <x v="0"/>
    <s v="PM10"/>
  </r>
  <r>
    <x v="34"/>
    <x v="2"/>
    <n v="126.1"/>
    <n v="294.3"/>
    <n v="65.400000000000006"/>
    <n v="10.61"/>
    <n v="15.4"/>
    <n v="1.07"/>
    <x v="59"/>
    <x v="150"/>
    <n v="3.6"/>
    <n v="210.16666666666671"/>
    <n v="294.3"/>
    <n v="81.75"/>
    <n v="26.524999999999999"/>
    <n v="38.5"/>
    <n v="53.500000000000007"/>
    <n v="294"/>
    <x v="0"/>
    <s v="PM10"/>
  </r>
  <r>
    <x v="34"/>
    <x v="3"/>
    <n v="57.4"/>
    <n v="335.3"/>
    <n v="63.3"/>
    <n v="12.63"/>
    <n v="19.2"/>
    <n v="0.05"/>
    <x v="130"/>
    <x v="151"/>
    <n v="2.16"/>
    <n v="95.666666666666657"/>
    <n v="335.3"/>
    <n v="79.125"/>
    <n v="31.574999999999999"/>
    <n v="48"/>
    <n v="2.5"/>
    <n v="335"/>
    <x v="2"/>
    <s v="PM10"/>
  </r>
  <r>
    <x v="34"/>
    <x v="4"/>
    <n v="109.1"/>
    <n v="265.7"/>
    <n v="24.2"/>
    <n v="9.42"/>
    <n v="59.3"/>
    <n v="0.79"/>
    <x v="131"/>
    <x v="152"/>
    <n v="3.56"/>
    <n v="181.83333333333329"/>
    <n v="265.7"/>
    <n v="30.25"/>
    <n v="23.55"/>
    <n v="148.25"/>
    <n v="39.5"/>
    <n v="266"/>
    <x v="0"/>
    <s v="PM10"/>
  </r>
  <r>
    <x v="35"/>
    <x v="0"/>
    <n v="108.4"/>
    <n v="42.5"/>
    <n v="125.7"/>
    <n v="7.96"/>
    <n v="20.399999999999999"/>
    <n v="2.4300000000000002"/>
    <x v="132"/>
    <x v="153"/>
    <n v="2.57"/>
    <n v="180.66666666666671"/>
    <n v="42.5"/>
    <n v="157.125"/>
    <n v="19.899999999999999"/>
    <n v="51"/>
    <n v="121.5"/>
    <n v="181"/>
    <x v="1"/>
    <s v="PM2.5"/>
  </r>
  <r>
    <x v="35"/>
    <x v="1"/>
    <n v="145.69999999999999"/>
    <n v="323.2"/>
    <n v="97.1"/>
    <n v="12.33"/>
    <n v="21.7"/>
    <n v="2.5"/>
    <x v="64"/>
    <x v="154"/>
    <n v="3.02"/>
    <n v="242.83333333333329"/>
    <n v="323.2"/>
    <n v="121.375"/>
    <n v="30.824999999999999"/>
    <n v="54.25"/>
    <n v="125"/>
    <n v="323"/>
    <x v="2"/>
    <s v="PM10"/>
  </r>
  <r>
    <x v="35"/>
    <x v="2"/>
    <n v="132.4"/>
    <n v="5"/>
    <n v="37.700000000000003"/>
    <n v="16.87"/>
    <n v="78.2"/>
    <n v="1.84"/>
    <x v="33"/>
    <x v="6"/>
    <n v="4.1500000000000004"/>
    <n v="220.66666666666671"/>
    <n v="5"/>
    <n v="47.125"/>
    <n v="42.174999999999997"/>
    <n v="195.5"/>
    <n v="92"/>
    <n v="221"/>
    <x v="0"/>
    <s v="PM2.5"/>
  </r>
  <r>
    <x v="35"/>
    <x v="3"/>
    <n v="65"/>
    <n v="115.3"/>
    <n v="56.6"/>
    <n v="5.17"/>
    <n v="38.799999999999997"/>
    <n v="3.48"/>
    <x v="133"/>
    <x v="51"/>
    <n v="2.15"/>
    <n v="108.3333333333333"/>
    <n v="115.3"/>
    <n v="70.750000000000014"/>
    <n v="12.925000000000001"/>
    <n v="96.999999999999986"/>
    <n v="174"/>
    <n v="174"/>
    <x v="1"/>
    <s v="CO"/>
  </r>
  <r>
    <x v="35"/>
    <x v="4"/>
    <n v="23.1"/>
    <n v="304.5"/>
    <n v="76.5"/>
    <n v="12.49"/>
    <n v="118.6"/>
    <n v="2.4300000000000002"/>
    <x v="134"/>
    <x v="155"/>
    <n v="4.38"/>
    <n v="38.5"/>
    <n v="304.5"/>
    <n v="95.625"/>
    <n v="31.225000000000001"/>
    <n v="296.5"/>
    <n v="121.5"/>
    <n v="304"/>
    <x v="2"/>
    <s v="PM10"/>
  </r>
  <r>
    <x v="36"/>
    <x v="0"/>
    <n v="116.7"/>
    <n v="62"/>
    <n v="116.6"/>
    <n v="8.57"/>
    <n v="89.9"/>
    <n v="3.4"/>
    <x v="51"/>
    <x v="156"/>
    <n v="2.58"/>
    <n v="194.5"/>
    <n v="62"/>
    <n v="145.75"/>
    <n v="21.425000000000001"/>
    <n v="224.75"/>
    <n v="170"/>
    <n v="225"/>
    <x v="0"/>
    <s v="O3"/>
  </r>
  <r>
    <x v="36"/>
    <x v="1"/>
    <n v="171.2"/>
    <n v="298.2"/>
    <n v="56.1"/>
    <n v="9.56"/>
    <n v="74"/>
    <n v="2"/>
    <x v="105"/>
    <x v="157"/>
    <n v="3.01"/>
    <n v="285.33333333333331"/>
    <n v="298.2"/>
    <n v="70.125"/>
    <n v="23.9"/>
    <n v="185"/>
    <n v="100"/>
    <n v="298"/>
    <x v="0"/>
    <s v="PM10"/>
  </r>
  <r>
    <x v="36"/>
    <x v="2"/>
    <n v="185.3"/>
    <n v="85"/>
    <n v="69.099999999999994"/>
    <n v="22.89"/>
    <n v="32.5"/>
    <n v="2.2400000000000002"/>
    <x v="63"/>
    <x v="84"/>
    <n v="2.2799999999999998"/>
    <n v="308.83333333333343"/>
    <n v="85"/>
    <n v="86.375"/>
    <n v="57.225000000000001"/>
    <n v="81.25"/>
    <n v="112"/>
    <n v="309"/>
    <x v="2"/>
    <s v="PM2.5"/>
  </r>
  <r>
    <x v="36"/>
    <x v="3"/>
    <n v="143.30000000000001"/>
    <n v="306"/>
    <n v="154.9"/>
    <n v="17.440000000000001"/>
    <n v="43.3"/>
    <n v="2.11"/>
    <x v="29"/>
    <x v="158"/>
    <n v="2.15"/>
    <n v="238.83333333333329"/>
    <n v="306"/>
    <n v="193.625"/>
    <n v="43.6"/>
    <n v="108.25"/>
    <n v="105.5"/>
    <n v="306"/>
    <x v="2"/>
    <s v="PM10"/>
  </r>
  <r>
    <x v="36"/>
    <x v="4"/>
    <n v="114.5"/>
    <n v="350.3"/>
    <n v="43.8"/>
    <n v="24.11"/>
    <n v="72.2"/>
    <n v="1.99"/>
    <x v="135"/>
    <x v="159"/>
    <n v="4.5599999999999996"/>
    <n v="190.83333333333329"/>
    <n v="350.3"/>
    <n v="54.749999999999993"/>
    <n v="60.274999999999999"/>
    <n v="180.5"/>
    <n v="99.5"/>
    <n v="350"/>
    <x v="2"/>
    <s v="PM10"/>
  </r>
  <r>
    <x v="37"/>
    <x v="0"/>
    <n v="109.1"/>
    <n v="110.5"/>
    <n v="64.2"/>
    <n v="22.45"/>
    <n v="55.5"/>
    <n v="1.94"/>
    <x v="136"/>
    <x v="160"/>
    <n v="1.39"/>
    <n v="181.83333333333329"/>
    <n v="110.5"/>
    <n v="80.25"/>
    <n v="56.125"/>
    <n v="138.75"/>
    <n v="97"/>
    <n v="182"/>
    <x v="1"/>
    <s v="PM2.5"/>
  </r>
  <r>
    <x v="37"/>
    <x v="1"/>
    <n v="216.9"/>
    <n v="201.3"/>
    <n v="138.69999999999999"/>
    <n v="31.21"/>
    <n v="73.099999999999994"/>
    <n v="1.88"/>
    <x v="95"/>
    <x v="33"/>
    <n v="1.42"/>
    <n v="361.5"/>
    <n v="201.3"/>
    <n v="173.375"/>
    <n v="78.024999999999991"/>
    <n v="182.75"/>
    <n v="94"/>
    <n v="362"/>
    <x v="2"/>
    <s v="PM2.5"/>
  </r>
  <r>
    <x v="37"/>
    <x v="2"/>
    <n v="106"/>
    <n v="74.900000000000006"/>
    <n v="104.5"/>
    <n v="8.6300000000000008"/>
    <n v="38.5"/>
    <n v="2.08"/>
    <x v="137"/>
    <x v="13"/>
    <n v="1.93"/>
    <n v="176.66666666666671"/>
    <n v="74.900000000000006"/>
    <n v="130.625"/>
    <n v="21.574999999999999"/>
    <n v="96.25"/>
    <n v="104"/>
    <n v="177"/>
    <x v="1"/>
    <s v="PM2.5"/>
  </r>
  <r>
    <x v="37"/>
    <x v="3"/>
    <n v="137.80000000000001"/>
    <n v="62.8"/>
    <n v="76"/>
    <n v="28.31"/>
    <n v="13.5"/>
    <n v="1.27"/>
    <x v="118"/>
    <x v="161"/>
    <n v="2.92"/>
    <n v="229.66666666666671"/>
    <n v="62.8"/>
    <n v="95"/>
    <n v="70.774999999999991"/>
    <n v="33.75"/>
    <n v="63.5"/>
    <n v="230"/>
    <x v="0"/>
    <s v="PM2.5"/>
  </r>
  <r>
    <x v="37"/>
    <x v="4"/>
    <n v="131.4"/>
    <n v="278.2"/>
    <n v="118.3"/>
    <n v="17.690000000000001"/>
    <n v="33.6"/>
    <n v="2.82"/>
    <x v="138"/>
    <x v="162"/>
    <n v="1.83"/>
    <n v="219"/>
    <n v="278.2"/>
    <n v="147.875"/>
    <n v="44.225000000000001"/>
    <n v="84"/>
    <n v="141"/>
    <n v="278"/>
    <x v="0"/>
    <s v="PM10"/>
  </r>
  <r>
    <x v="38"/>
    <x v="0"/>
    <n v="171.5"/>
    <n v="207.5"/>
    <n v="2.8"/>
    <n v="22.52"/>
    <n v="27.5"/>
    <n v="2.11"/>
    <x v="133"/>
    <x v="163"/>
    <n v="3.35"/>
    <n v="285.83333333333331"/>
    <n v="207.5"/>
    <n v="3.5"/>
    <n v="56.3"/>
    <n v="68.75"/>
    <n v="105.5"/>
    <n v="286"/>
    <x v="0"/>
    <s v="PM2.5"/>
  </r>
  <r>
    <x v="38"/>
    <x v="1"/>
    <n v="93.9"/>
    <n v="301.60000000000002"/>
    <n v="79.599999999999994"/>
    <n v="23.39"/>
    <n v="62.3"/>
    <n v="1.28"/>
    <x v="86"/>
    <x v="148"/>
    <n v="3.47"/>
    <n v="156.5"/>
    <n v="301.60000000000002"/>
    <n v="99.499999999999986"/>
    <n v="58.475000000000001"/>
    <n v="155.75"/>
    <n v="64"/>
    <n v="302"/>
    <x v="2"/>
    <s v="PM10"/>
  </r>
  <r>
    <x v="38"/>
    <x v="2"/>
    <n v="107.9"/>
    <n v="350"/>
    <n v="61.6"/>
    <n v="9.51"/>
    <n v="33.799999999999997"/>
    <n v="1.55"/>
    <x v="139"/>
    <x v="164"/>
    <n v="1.24"/>
    <n v="179.83333333333329"/>
    <n v="350"/>
    <n v="77"/>
    <n v="23.774999999999999"/>
    <n v="84.499999999999986"/>
    <n v="77.5"/>
    <n v="350"/>
    <x v="2"/>
    <s v="PM10"/>
  </r>
  <r>
    <x v="38"/>
    <x v="3"/>
    <n v="44.7"/>
    <n v="283.2"/>
    <n v="126.7"/>
    <n v="11.96"/>
    <n v="32.200000000000003"/>
    <n v="1.99"/>
    <x v="140"/>
    <x v="165"/>
    <n v="2.79"/>
    <n v="74.500000000000014"/>
    <n v="283.2"/>
    <n v="158.375"/>
    <n v="29.9"/>
    <n v="80.5"/>
    <n v="99.5"/>
    <n v="283"/>
    <x v="0"/>
    <s v="PM10"/>
  </r>
  <r>
    <x v="38"/>
    <x v="4"/>
    <n v="157.1"/>
    <n v="264.10000000000002"/>
    <n v="85.9"/>
    <n v="22.89"/>
    <n v="1"/>
    <n v="2.83"/>
    <x v="110"/>
    <x v="166"/>
    <n v="3.61"/>
    <n v="261.83333333333331"/>
    <n v="264.10000000000002"/>
    <n v="107.375"/>
    <n v="57.225000000000001"/>
    <n v="2.5"/>
    <n v="141.5"/>
    <n v="264"/>
    <x v="0"/>
    <s v="PM10"/>
  </r>
  <r>
    <x v="39"/>
    <x v="0"/>
    <n v="186.2"/>
    <n v="205.6"/>
    <n v="117.9"/>
    <n v="29.55"/>
    <n v="75.400000000000006"/>
    <n v="4.0199999999999996"/>
    <x v="18"/>
    <x v="115"/>
    <n v="0.57999999999999996"/>
    <n v="310.33333333333331"/>
    <n v="205.6"/>
    <n v="147.375"/>
    <n v="73.875"/>
    <n v="188.5"/>
    <n v="201"/>
    <n v="310"/>
    <x v="2"/>
    <s v="PM2.5"/>
  </r>
  <r>
    <x v="39"/>
    <x v="1"/>
    <n v="105.2"/>
    <n v="138.80000000000001"/>
    <n v="176.8"/>
    <n v="14.24"/>
    <n v="48.5"/>
    <n v="3.06"/>
    <x v="52"/>
    <x v="75"/>
    <n v="1.75"/>
    <n v="175.33333333333329"/>
    <n v="138.80000000000001"/>
    <n v="221"/>
    <n v="35.6"/>
    <n v="121.25"/>
    <n v="153"/>
    <n v="221"/>
    <x v="0"/>
    <s v="NO2"/>
  </r>
  <r>
    <x v="39"/>
    <x v="2"/>
    <n v="100.1"/>
    <n v="114.7"/>
    <n v="28.3"/>
    <n v="7.51"/>
    <n v="33.4"/>
    <n v="1.43"/>
    <x v="73"/>
    <x v="167"/>
    <n v="2.4"/>
    <n v="166.83333333333329"/>
    <n v="114.7"/>
    <n v="35.375000000000007"/>
    <n v="18.774999999999999"/>
    <n v="83.499999999999986"/>
    <n v="71.5"/>
    <n v="167"/>
    <x v="1"/>
    <s v="PM2.5"/>
  </r>
  <r>
    <x v="39"/>
    <x v="3"/>
    <n v="23.8"/>
    <n v="265"/>
    <n v="74.599999999999994"/>
    <n v="1.1399999999999999"/>
    <n v="29"/>
    <n v="1.2"/>
    <x v="93"/>
    <x v="168"/>
    <n v="0.25"/>
    <n v="39.666666666666671"/>
    <n v="265"/>
    <n v="93.25"/>
    <n v="2.85"/>
    <n v="72.5"/>
    <n v="60"/>
    <n v="265"/>
    <x v="0"/>
    <s v="PM10"/>
  </r>
  <r>
    <x v="39"/>
    <x v="4"/>
    <n v="111.7"/>
    <n v="194.3"/>
    <n v="102.8"/>
    <n v="15.96"/>
    <n v="21"/>
    <n v="1.78"/>
    <x v="94"/>
    <x v="111"/>
    <n v="3.03"/>
    <n v="186.16666666666671"/>
    <n v="194.3"/>
    <n v="128.5"/>
    <n v="39.900000000000013"/>
    <n v="52.5"/>
    <n v="89"/>
    <n v="194"/>
    <x v="1"/>
    <s v="PM10"/>
  </r>
  <r>
    <x v="40"/>
    <x v="0"/>
    <n v="215.3"/>
    <n v="214.1"/>
    <n v="56.7"/>
    <n v="0.79"/>
    <n v="1"/>
    <n v="0.46"/>
    <x v="100"/>
    <x v="169"/>
    <n v="0.6"/>
    <n v="358.83333333333331"/>
    <n v="214.1"/>
    <n v="70.875000000000014"/>
    <n v="1.9750000000000001"/>
    <n v="2.5"/>
    <n v="23"/>
    <n v="359"/>
    <x v="2"/>
    <s v="PM2.5"/>
  </r>
  <r>
    <x v="40"/>
    <x v="1"/>
    <n v="173.7"/>
    <n v="182"/>
    <n v="95.9"/>
    <n v="32.119999999999997"/>
    <n v="70.2"/>
    <n v="2.08"/>
    <x v="76"/>
    <x v="170"/>
    <n v="1.64"/>
    <n v="289.5"/>
    <n v="182"/>
    <n v="119.875"/>
    <n v="80.3"/>
    <n v="175.5"/>
    <n v="104"/>
    <n v="290"/>
    <x v="0"/>
    <s v="PM2.5"/>
  </r>
  <r>
    <x v="40"/>
    <x v="2"/>
    <n v="81.599999999999994"/>
    <n v="92.4"/>
    <n v="64.400000000000006"/>
    <n v="12.74"/>
    <n v="29.4"/>
    <n v="1.23"/>
    <x v="141"/>
    <x v="171"/>
    <n v="1.19"/>
    <n v="136"/>
    <n v="92.4"/>
    <n v="80.5"/>
    <n v="31.85"/>
    <n v="73.5"/>
    <n v="61.5"/>
    <n v="136"/>
    <x v="1"/>
    <s v="PM2.5"/>
  </r>
  <r>
    <x v="40"/>
    <x v="3"/>
    <n v="163.69999999999999"/>
    <n v="182.5"/>
    <n v="72.599999999999994"/>
    <n v="18.47"/>
    <n v="41.2"/>
    <n v="2.84"/>
    <x v="142"/>
    <x v="172"/>
    <n v="2.93"/>
    <n v="272.83333333333331"/>
    <n v="182.5"/>
    <n v="90.75"/>
    <n v="46.174999999999997"/>
    <n v="103"/>
    <n v="142"/>
    <n v="273"/>
    <x v="0"/>
    <s v="PM2.5"/>
  </r>
  <r>
    <x v="40"/>
    <x v="4"/>
    <n v="45.2"/>
    <n v="222.7"/>
    <n v="78"/>
    <n v="12.25"/>
    <n v="36.4"/>
    <n v="0.12"/>
    <x v="71"/>
    <x v="173"/>
    <n v="3.19"/>
    <n v="75.333333333333329"/>
    <n v="222.7"/>
    <n v="97.5"/>
    <n v="30.625"/>
    <n v="91"/>
    <n v="6"/>
    <n v="223"/>
    <x v="0"/>
    <s v="PM10"/>
  </r>
  <r>
    <x v="41"/>
    <x v="0"/>
    <n v="53.7"/>
    <n v="360.5"/>
    <n v="50.9"/>
    <n v="23.64"/>
    <n v="52.5"/>
    <n v="1.49"/>
    <x v="143"/>
    <x v="174"/>
    <n v="3.6"/>
    <n v="89.500000000000014"/>
    <n v="360.5"/>
    <n v="63.625"/>
    <n v="59.1"/>
    <n v="131.25"/>
    <n v="74.5"/>
    <n v="360"/>
    <x v="2"/>
    <s v="PM10"/>
  </r>
  <r>
    <x v="41"/>
    <x v="1"/>
    <n v="180"/>
    <n v="159.5"/>
    <n v="145.69999999999999"/>
    <n v="13.5"/>
    <n v="53.1"/>
    <n v="2.71"/>
    <x v="78"/>
    <x v="34"/>
    <n v="3.45"/>
    <n v="300"/>
    <n v="159.5"/>
    <n v="182.125"/>
    <n v="33.75"/>
    <n v="132.75"/>
    <n v="135.5"/>
    <n v="300"/>
    <x v="0"/>
    <s v="PM2.5"/>
  </r>
  <r>
    <x v="41"/>
    <x v="2"/>
    <n v="11.5"/>
    <n v="301.39999999999998"/>
    <n v="17.899999999999999"/>
    <n v="20.010000000000002"/>
    <n v="58.3"/>
    <n v="0.83"/>
    <x v="10"/>
    <x v="175"/>
    <n v="2.2400000000000002"/>
    <n v="19.166666666666661"/>
    <n v="301.39999999999998"/>
    <n v="22.375"/>
    <n v="50.025000000000013"/>
    <n v="145.75"/>
    <n v="41.499999999999993"/>
    <n v="301"/>
    <x v="2"/>
    <s v="PM10"/>
  </r>
  <r>
    <x v="41"/>
    <x v="3"/>
    <n v="81.2"/>
    <n v="266.8"/>
    <n v="113.9"/>
    <n v="23.97"/>
    <n v="23.4"/>
    <n v="1.72"/>
    <x v="144"/>
    <x v="176"/>
    <n v="3.66"/>
    <n v="135.33333333333329"/>
    <n v="266.8"/>
    <n v="142.375"/>
    <n v="59.924999999999997"/>
    <n v="58.5"/>
    <n v="86"/>
    <n v="267"/>
    <x v="0"/>
    <s v="PM10"/>
  </r>
  <r>
    <x v="41"/>
    <x v="4"/>
    <n v="190.9"/>
    <n v="80.900000000000006"/>
    <n v="58.3"/>
    <n v="13.85"/>
    <n v="46.5"/>
    <n v="1.26"/>
    <x v="145"/>
    <x v="177"/>
    <n v="2.98"/>
    <n v="318.16666666666657"/>
    <n v="80.900000000000006"/>
    <n v="72.875"/>
    <n v="34.624999999999993"/>
    <n v="116.25"/>
    <n v="63"/>
    <n v="318"/>
    <x v="2"/>
    <s v="PM2.5"/>
  </r>
  <r>
    <x v="42"/>
    <x v="0"/>
    <n v="140.6"/>
    <n v="221.5"/>
    <n v="66.7"/>
    <n v="13.71"/>
    <n v="39.1"/>
    <n v="1.8"/>
    <x v="137"/>
    <x v="178"/>
    <n v="3.17"/>
    <n v="234.33333333333329"/>
    <n v="221.5"/>
    <n v="83.375"/>
    <n v="34.274999999999999"/>
    <n v="97.75"/>
    <n v="90"/>
    <n v="234"/>
    <x v="0"/>
    <s v="PM2.5"/>
  </r>
  <r>
    <x v="42"/>
    <x v="1"/>
    <n v="102.3"/>
    <n v="323.60000000000002"/>
    <n v="76.599999999999994"/>
    <n v="27.73"/>
    <n v="55.4"/>
    <n v="2.27"/>
    <x v="146"/>
    <x v="179"/>
    <n v="1.1499999999999999"/>
    <n v="170.5"/>
    <n v="323.60000000000002"/>
    <n v="95.749999999999986"/>
    <n v="69.325000000000003"/>
    <n v="138.5"/>
    <n v="113.5"/>
    <n v="324"/>
    <x v="2"/>
    <s v="PM10"/>
  </r>
  <r>
    <x v="42"/>
    <x v="2"/>
    <n v="36.799999999999997"/>
    <n v="195.4"/>
    <n v="121.1"/>
    <n v="29.12"/>
    <n v="47.8"/>
    <n v="2.2799999999999998"/>
    <x v="147"/>
    <x v="180"/>
    <n v="1.55"/>
    <n v="61.333333333333329"/>
    <n v="195.4"/>
    <n v="151.375"/>
    <n v="72.8"/>
    <n v="119.5"/>
    <n v="114"/>
    <n v="195"/>
    <x v="1"/>
    <s v="PM10"/>
  </r>
  <r>
    <x v="42"/>
    <x v="3"/>
    <n v="66.2"/>
    <n v="175.9"/>
    <n v="56.9"/>
    <n v="0.5"/>
    <n v="52.8"/>
    <n v="0.89"/>
    <x v="148"/>
    <x v="181"/>
    <n v="1.4"/>
    <n v="110.3333333333333"/>
    <n v="175.9"/>
    <n v="71.125"/>
    <n v="1.25"/>
    <n v="132"/>
    <n v="44.5"/>
    <n v="176"/>
    <x v="1"/>
    <s v="PM10"/>
  </r>
  <r>
    <x v="42"/>
    <x v="4"/>
    <n v="2"/>
    <n v="181"/>
    <n v="118"/>
    <n v="31.31"/>
    <n v="9.1999999999999993"/>
    <n v="2.64"/>
    <x v="149"/>
    <x v="182"/>
    <n v="6.17"/>
    <n v="3.333333333333333"/>
    <n v="181"/>
    <n v="147.5"/>
    <n v="78.274999999999991"/>
    <n v="23"/>
    <n v="132"/>
    <n v="181"/>
    <x v="1"/>
    <s v="PM10"/>
  </r>
  <r>
    <x v="43"/>
    <x v="0"/>
    <n v="27.4"/>
    <n v="248.8"/>
    <n v="100"/>
    <n v="24.71"/>
    <n v="43.9"/>
    <n v="2.5499999999999998"/>
    <x v="9"/>
    <x v="183"/>
    <n v="2.09"/>
    <n v="45.666666666666657"/>
    <n v="248.8"/>
    <n v="125"/>
    <n v="61.775000000000013"/>
    <n v="109.75"/>
    <n v="127.5"/>
    <n v="249"/>
    <x v="0"/>
    <s v="PM10"/>
  </r>
  <r>
    <x v="43"/>
    <x v="1"/>
    <n v="157.30000000000001"/>
    <n v="195.6"/>
    <n v="105.1"/>
    <n v="15.71"/>
    <n v="76.7"/>
    <n v="2.34"/>
    <x v="3"/>
    <x v="184"/>
    <n v="1.41"/>
    <n v="262.16666666666669"/>
    <n v="195.6"/>
    <n v="131.375"/>
    <n v="39.275000000000013"/>
    <n v="191.75"/>
    <n v="117"/>
    <n v="262"/>
    <x v="0"/>
    <s v="PM2.5"/>
  </r>
  <r>
    <x v="43"/>
    <x v="2"/>
    <n v="61.4"/>
    <n v="128.1"/>
    <n v="110.2"/>
    <n v="0.5"/>
    <n v="101.3"/>
    <n v="2.79"/>
    <x v="102"/>
    <x v="47"/>
    <n v="2.84"/>
    <n v="102.3333333333333"/>
    <n v="128.1"/>
    <n v="137.75"/>
    <n v="1.25"/>
    <n v="253.25"/>
    <n v="139.5"/>
    <n v="253"/>
    <x v="0"/>
    <s v="O3"/>
  </r>
  <r>
    <x v="43"/>
    <x v="3"/>
    <n v="121"/>
    <n v="253.9"/>
    <n v="89.8"/>
    <n v="13.52"/>
    <n v="31.6"/>
    <n v="1.77"/>
    <x v="68"/>
    <x v="185"/>
    <n v="3.21"/>
    <n v="201.66666666666671"/>
    <n v="253.9"/>
    <n v="112.25"/>
    <n v="33.799999999999997"/>
    <n v="79"/>
    <n v="88.5"/>
    <n v="254"/>
    <x v="0"/>
    <s v="PM10"/>
  </r>
  <r>
    <x v="43"/>
    <x v="4"/>
    <n v="2"/>
    <n v="280.5"/>
    <n v="86.1"/>
    <n v="13.92"/>
    <n v="30"/>
    <n v="3.3"/>
    <x v="150"/>
    <x v="186"/>
    <n v="3.49"/>
    <n v="3.333333333333333"/>
    <n v="280.5"/>
    <n v="107.625"/>
    <n v="34.799999999999997"/>
    <n v="75"/>
    <n v="165"/>
    <n v="280"/>
    <x v="0"/>
    <s v="PM10"/>
  </r>
  <r>
    <x v="44"/>
    <x v="0"/>
    <n v="56.8"/>
    <n v="68.5"/>
    <n v="59.7"/>
    <n v="22.65"/>
    <n v="66.099999999999994"/>
    <n v="2.77"/>
    <x v="151"/>
    <x v="187"/>
    <n v="1.73"/>
    <n v="94.666666666666657"/>
    <n v="68.5"/>
    <n v="74.625"/>
    <n v="56.624999999999993"/>
    <n v="165.25"/>
    <n v="138.5"/>
    <n v="165"/>
    <x v="1"/>
    <s v="O3"/>
  </r>
  <r>
    <x v="44"/>
    <x v="1"/>
    <n v="145.9"/>
    <n v="336"/>
    <n v="120.2"/>
    <n v="27.89"/>
    <n v="64.900000000000006"/>
    <n v="2.82"/>
    <x v="152"/>
    <x v="135"/>
    <n v="1.44"/>
    <n v="243.16666666666671"/>
    <n v="336"/>
    <n v="150.25"/>
    <n v="69.724999999999994"/>
    <n v="162.25"/>
    <n v="141"/>
    <n v="336"/>
    <x v="2"/>
    <s v="PM10"/>
  </r>
  <r>
    <x v="44"/>
    <x v="2"/>
    <n v="83.8"/>
    <n v="114.5"/>
    <n v="47.9"/>
    <n v="11.06"/>
    <n v="17.3"/>
    <n v="1.54"/>
    <x v="153"/>
    <x v="188"/>
    <n v="2.5"/>
    <n v="139.66666666666671"/>
    <n v="114.5"/>
    <n v="59.875"/>
    <n v="27.65"/>
    <n v="43.250000000000007"/>
    <n v="77"/>
    <n v="140"/>
    <x v="1"/>
    <s v="PM2.5"/>
  </r>
  <r>
    <x v="44"/>
    <x v="3"/>
    <n v="56.8"/>
    <n v="255.3"/>
    <n v="102"/>
    <n v="0.5"/>
    <n v="18.8"/>
    <n v="1.18"/>
    <x v="154"/>
    <x v="61"/>
    <n v="2.27"/>
    <n v="94.666666666666657"/>
    <n v="255.3"/>
    <n v="127.5"/>
    <n v="1.25"/>
    <n v="47"/>
    <n v="59"/>
    <n v="255"/>
    <x v="0"/>
    <s v="PM10"/>
  </r>
  <r>
    <x v="44"/>
    <x v="4"/>
    <n v="91.6"/>
    <n v="5"/>
    <n v="101.6"/>
    <n v="3.17"/>
    <n v="41.1"/>
    <n v="2.4"/>
    <x v="155"/>
    <x v="189"/>
    <n v="0.2"/>
    <n v="152.66666666666671"/>
    <n v="5"/>
    <n v="127"/>
    <n v="7.9249999999999998"/>
    <n v="102.75"/>
    <n v="120"/>
    <n v="153"/>
    <x v="1"/>
    <s v="PM2.5"/>
  </r>
  <r>
    <x v="45"/>
    <x v="0"/>
    <n v="120.5"/>
    <n v="419.6"/>
    <n v="128.4"/>
    <n v="16.649999999999999"/>
    <n v="28.7"/>
    <n v="3.1"/>
    <x v="156"/>
    <x v="63"/>
    <n v="3.11"/>
    <n v="200.83333333333329"/>
    <n v="419.6"/>
    <n v="160.5"/>
    <n v="41.624999999999993"/>
    <n v="71.75"/>
    <n v="155"/>
    <n v="420"/>
    <x v="2"/>
    <s v="PM10"/>
  </r>
  <r>
    <x v="45"/>
    <x v="1"/>
    <n v="183.6"/>
    <n v="571.20000000000005"/>
    <n v="105.7"/>
    <n v="10.91"/>
    <n v="44.3"/>
    <n v="0.28000000000000003"/>
    <x v="67"/>
    <x v="190"/>
    <n v="1.87"/>
    <n v="306"/>
    <n v="500"/>
    <n v="132.125"/>
    <n v="27.274999999999999"/>
    <n v="110.75"/>
    <n v="14"/>
    <n v="500"/>
    <x v="2"/>
    <s v="PM10"/>
  </r>
  <r>
    <x v="45"/>
    <x v="2"/>
    <n v="98.1"/>
    <n v="107.4"/>
    <n v="102.5"/>
    <n v="12.16"/>
    <n v="34"/>
    <n v="1.52"/>
    <x v="85"/>
    <x v="61"/>
    <n v="1.46"/>
    <n v="163.5"/>
    <n v="107.4"/>
    <n v="128.125"/>
    <n v="30.4"/>
    <n v="85"/>
    <n v="76"/>
    <n v="163"/>
    <x v="1"/>
    <s v="PM2.5"/>
  </r>
  <r>
    <x v="45"/>
    <x v="3"/>
    <n v="64.400000000000006"/>
    <n v="162.80000000000001"/>
    <n v="28.9"/>
    <n v="6.25"/>
    <n v="25.3"/>
    <n v="2.76"/>
    <x v="157"/>
    <x v="191"/>
    <n v="3.52"/>
    <n v="107.3333333333333"/>
    <n v="162.80000000000001"/>
    <n v="36.125"/>
    <n v="15.625"/>
    <n v="63.25"/>
    <n v="138"/>
    <n v="163"/>
    <x v="1"/>
    <s v="PM10"/>
  </r>
  <r>
    <x v="45"/>
    <x v="4"/>
    <n v="98.3"/>
    <n v="252.4"/>
    <n v="75.599999999999994"/>
    <n v="16.420000000000002"/>
    <n v="25.2"/>
    <n v="0.05"/>
    <x v="78"/>
    <x v="192"/>
    <n v="4.1100000000000003"/>
    <n v="163.83333333333329"/>
    <n v="252.4"/>
    <n v="94.499999999999986"/>
    <n v="41.05"/>
    <n v="63"/>
    <n v="2.5"/>
    <n v="252"/>
    <x v="0"/>
    <s v="PM10"/>
  </r>
  <r>
    <x v="46"/>
    <x v="0"/>
    <n v="163.69999999999999"/>
    <n v="357.3"/>
    <n v="86.1"/>
    <n v="16.54"/>
    <n v="25.4"/>
    <n v="1.86"/>
    <x v="158"/>
    <x v="95"/>
    <n v="2.33"/>
    <n v="272.83333333333331"/>
    <n v="357.3"/>
    <n v="107.625"/>
    <n v="41.349999999999987"/>
    <n v="63.5"/>
    <n v="93"/>
    <n v="357"/>
    <x v="2"/>
    <s v="PM10"/>
  </r>
  <r>
    <x v="46"/>
    <x v="1"/>
    <n v="93"/>
    <n v="240.1"/>
    <n v="114"/>
    <n v="1.56"/>
    <n v="1"/>
    <n v="1.74"/>
    <x v="159"/>
    <x v="193"/>
    <n v="2.3199999999999998"/>
    <n v="155"/>
    <n v="240.1"/>
    <n v="142.5"/>
    <n v="3.9"/>
    <n v="2.5"/>
    <n v="87"/>
    <n v="240"/>
    <x v="0"/>
    <s v="PM10"/>
  </r>
  <r>
    <x v="46"/>
    <x v="2"/>
    <n v="70.5"/>
    <n v="314.89999999999998"/>
    <n v="78.3"/>
    <n v="14.44"/>
    <n v="47.5"/>
    <n v="0.79"/>
    <x v="160"/>
    <x v="194"/>
    <n v="3.3"/>
    <n v="117.5"/>
    <n v="314.89999999999998"/>
    <n v="97.874999999999986"/>
    <n v="36.1"/>
    <n v="118.75"/>
    <n v="39.5"/>
    <n v="315"/>
    <x v="2"/>
    <s v="PM10"/>
  </r>
  <r>
    <x v="46"/>
    <x v="3"/>
    <n v="44.6"/>
    <n v="42.8"/>
    <n v="98.2"/>
    <n v="15.81"/>
    <n v="15.7"/>
    <n v="1.0900000000000001"/>
    <x v="161"/>
    <x v="195"/>
    <n v="4.47"/>
    <n v="74.333333333333329"/>
    <n v="42.8"/>
    <n v="122.75"/>
    <n v="39.525000000000013"/>
    <n v="39.25"/>
    <n v="54.500000000000007"/>
    <n v="123"/>
    <x v="1"/>
    <s v="NO2"/>
  </r>
  <r>
    <x v="46"/>
    <x v="4"/>
    <n v="58"/>
    <n v="278.60000000000002"/>
    <n v="67.599999999999994"/>
    <n v="19.39"/>
    <n v="26.1"/>
    <n v="1.94"/>
    <x v="52"/>
    <x v="149"/>
    <n v="3.89"/>
    <n v="96.666666666666671"/>
    <n v="278.60000000000002"/>
    <n v="84.499999999999986"/>
    <n v="48.475000000000001"/>
    <n v="65.25"/>
    <n v="97"/>
    <n v="279"/>
    <x v="0"/>
    <s v="PM10"/>
  </r>
  <r>
    <x v="47"/>
    <x v="0"/>
    <n v="82.1"/>
    <n v="195.6"/>
    <n v="46.2"/>
    <n v="0.5"/>
    <n v="36.5"/>
    <n v="4.87"/>
    <x v="58"/>
    <x v="196"/>
    <n v="2.1800000000000002"/>
    <n v="136.83333333333329"/>
    <n v="195.6"/>
    <n v="57.75"/>
    <n v="1.25"/>
    <n v="91.25"/>
    <n v="243.5"/>
    <n v="244"/>
    <x v="0"/>
    <s v="CO"/>
  </r>
  <r>
    <x v="47"/>
    <x v="1"/>
    <n v="121.3"/>
    <n v="305.7"/>
    <n v="42.8"/>
    <n v="27.14"/>
    <n v="65.099999999999994"/>
    <n v="3.26"/>
    <x v="146"/>
    <x v="197"/>
    <n v="3.31"/>
    <n v="202.16666666666671"/>
    <n v="305.7"/>
    <n v="53.5"/>
    <n v="67.850000000000009"/>
    <n v="162.75"/>
    <n v="163"/>
    <n v="306"/>
    <x v="2"/>
    <s v="PM10"/>
  </r>
  <r>
    <x v="47"/>
    <x v="2"/>
    <n v="118.2"/>
    <n v="150.1"/>
    <n v="51"/>
    <n v="12.93"/>
    <n v="67.3"/>
    <n v="0.69"/>
    <x v="38"/>
    <x v="90"/>
    <n v="2.56"/>
    <n v="197"/>
    <n v="150.1"/>
    <n v="63.75"/>
    <n v="32.325000000000003"/>
    <n v="168.25"/>
    <n v="34.499999999999993"/>
    <n v="197"/>
    <x v="1"/>
    <s v="PM2.5"/>
  </r>
  <r>
    <x v="47"/>
    <x v="3"/>
    <n v="104.3"/>
    <n v="215.4"/>
    <n v="64.900000000000006"/>
    <n v="24.72"/>
    <n v="1"/>
    <n v="1.1200000000000001"/>
    <x v="30"/>
    <x v="198"/>
    <n v="2.29"/>
    <n v="173.83333333333329"/>
    <n v="215.4"/>
    <n v="81.125"/>
    <n v="61.8"/>
    <n v="2.5"/>
    <n v="56.000000000000007"/>
    <n v="215"/>
    <x v="0"/>
    <s v="PM10"/>
  </r>
  <r>
    <x v="47"/>
    <x v="4"/>
    <n v="193.3"/>
    <n v="213.4"/>
    <n v="87.3"/>
    <n v="2.99"/>
    <n v="24.3"/>
    <n v="1.72"/>
    <x v="11"/>
    <x v="156"/>
    <n v="3.67"/>
    <n v="322.16666666666669"/>
    <n v="213.4"/>
    <n v="109.125"/>
    <n v="7.4750000000000014"/>
    <n v="60.75"/>
    <n v="86"/>
    <n v="322"/>
    <x v="2"/>
    <s v="PM2.5"/>
  </r>
  <r>
    <x v="48"/>
    <x v="0"/>
    <n v="49"/>
    <n v="248"/>
    <n v="101.1"/>
    <n v="25.21"/>
    <n v="82.3"/>
    <n v="1.0900000000000001"/>
    <x v="46"/>
    <x v="199"/>
    <n v="2.2200000000000002"/>
    <n v="81.666666666666671"/>
    <n v="248"/>
    <n v="126.375"/>
    <n v="63.024999999999999"/>
    <n v="205.75"/>
    <n v="54.500000000000007"/>
    <n v="248"/>
    <x v="0"/>
    <s v="PM10"/>
  </r>
  <r>
    <x v="48"/>
    <x v="1"/>
    <n v="148"/>
    <n v="358.5"/>
    <n v="87"/>
    <n v="12.8"/>
    <n v="49.3"/>
    <n v="1.4"/>
    <x v="162"/>
    <x v="15"/>
    <n v="2.72"/>
    <n v="246.66666666666671"/>
    <n v="358.5"/>
    <n v="108.75"/>
    <n v="32"/>
    <n v="123.25"/>
    <n v="69.999999999999986"/>
    <n v="358"/>
    <x v="2"/>
    <s v="PM10"/>
  </r>
  <r>
    <x v="48"/>
    <x v="2"/>
    <n v="183.5"/>
    <n v="183"/>
    <n v="62.6"/>
    <n v="9.44"/>
    <n v="30.3"/>
    <n v="3.08"/>
    <x v="163"/>
    <x v="132"/>
    <n v="0.79"/>
    <n v="305.83333333333343"/>
    <n v="183"/>
    <n v="78.25"/>
    <n v="23.6"/>
    <n v="75.75"/>
    <n v="154"/>
    <n v="306"/>
    <x v="2"/>
    <s v="PM2.5"/>
  </r>
  <r>
    <x v="48"/>
    <x v="3"/>
    <n v="83.2"/>
    <n v="150.80000000000001"/>
    <n v="90.8"/>
    <n v="0.5"/>
    <n v="46.4"/>
    <n v="3.86"/>
    <x v="7"/>
    <x v="163"/>
    <n v="1.71"/>
    <n v="138.66666666666671"/>
    <n v="150.80000000000001"/>
    <n v="113.5"/>
    <n v="1.25"/>
    <n v="116"/>
    <n v="193"/>
    <n v="193"/>
    <x v="1"/>
    <s v="CO"/>
  </r>
  <r>
    <x v="48"/>
    <x v="4"/>
    <n v="128.1"/>
    <n v="213.2"/>
    <n v="56.6"/>
    <n v="18.37"/>
    <n v="84.3"/>
    <n v="1.91"/>
    <x v="164"/>
    <x v="200"/>
    <n v="1.85"/>
    <n v="213.5"/>
    <n v="213.2"/>
    <n v="70.750000000000014"/>
    <n v="45.924999999999997"/>
    <n v="210.75"/>
    <n v="95.5"/>
    <n v="214"/>
    <x v="0"/>
    <s v="PM2.5"/>
  </r>
  <r>
    <x v="49"/>
    <x v="0"/>
    <n v="136.5"/>
    <n v="384.6"/>
    <n v="95.9"/>
    <n v="11.84"/>
    <n v="41.4"/>
    <n v="0.83"/>
    <x v="165"/>
    <x v="201"/>
    <n v="1.96"/>
    <n v="227.5"/>
    <n v="384.6"/>
    <n v="119.875"/>
    <n v="29.6"/>
    <n v="103.5"/>
    <n v="41.499999999999993"/>
    <n v="385"/>
    <x v="2"/>
    <s v="PM10"/>
  </r>
  <r>
    <x v="49"/>
    <x v="1"/>
    <n v="91.8"/>
    <n v="271.89999999999998"/>
    <n v="72.5"/>
    <n v="15.34"/>
    <n v="104.1"/>
    <n v="2.1"/>
    <x v="29"/>
    <x v="202"/>
    <n v="3.39"/>
    <n v="153"/>
    <n v="271.89999999999998"/>
    <n v="90.625"/>
    <n v="38.35"/>
    <n v="260.25"/>
    <n v="105"/>
    <n v="272"/>
    <x v="0"/>
    <s v="PM10"/>
  </r>
  <r>
    <x v="49"/>
    <x v="2"/>
    <n v="82.9"/>
    <n v="123.2"/>
    <n v="108.6"/>
    <n v="22.95"/>
    <n v="21.4"/>
    <n v="0.12"/>
    <x v="166"/>
    <x v="203"/>
    <n v="3.45"/>
    <n v="138.16666666666671"/>
    <n v="123.2"/>
    <n v="135.75"/>
    <n v="57.374999999999993"/>
    <n v="53.5"/>
    <n v="6"/>
    <n v="138"/>
    <x v="1"/>
    <s v="PM2.5"/>
  </r>
  <r>
    <x v="49"/>
    <x v="3"/>
    <n v="2"/>
    <n v="277.7"/>
    <n v="33.200000000000003"/>
    <n v="18.649999999999999"/>
    <n v="36.299999999999997"/>
    <n v="1"/>
    <x v="105"/>
    <x v="204"/>
    <n v="2.63"/>
    <n v="3.333333333333333"/>
    <n v="277.7"/>
    <n v="41.5"/>
    <n v="46.625"/>
    <n v="90.75"/>
    <n v="50"/>
    <n v="278"/>
    <x v="0"/>
    <s v="PM10"/>
  </r>
  <r>
    <x v="49"/>
    <x v="4"/>
    <n v="136.5"/>
    <n v="419.9"/>
    <n v="24.1"/>
    <n v="28.31"/>
    <n v="42.2"/>
    <n v="1.1599999999999999"/>
    <x v="167"/>
    <x v="205"/>
    <n v="4.1100000000000003"/>
    <n v="227.5"/>
    <n v="419.9"/>
    <n v="30.125"/>
    <n v="70.774999999999991"/>
    <n v="105.5"/>
    <n v="57.999999999999993"/>
    <n v="420"/>
    <x v="2"/>
    <s v="PM10"/>
  </r>
  <r>
    <x v="50"/>
    <x v="0"/>
    <n v="103.4"/>
    <n v="387.6"/>
    <n v="29.4"/>
    <n v="14.61"/>
    <n v="9"/>
    <n v="2.61"/>
    <x v="130"/>
    <x v="206"/>
    <n v="0.2"/>
    <n v="172.33333333333329"/>
    <n v="387.6"/>
    <n v="36.75"/>
    <n v="36.524999999999999"/>
    <n v="22.5"/>
    <n v="130.5"/>
    <n v="388"/>
    <x v="2"/>
    <s v="PM10"/>
  </r>
  <r>
    <x v="50"/>
    <x v="1"/>
    <n v="131.9"/>
    <n v="292.39999999999998"/>
    <n v="106.2"/>
    <n v="28.36"/>
    <n v="14.9"/>
    <n v="3.22"/>
    <x v="168"/>
    <x v="207"/>
    <n v="2.88"/>
    <n v="219.83333333333329"/>
    <n v="292.39999999999998"/>
    <n v="132.75"/>
    <n v="70.900000000000006"/>
    <n v="37.25"/>
    <n v="161"/>
    <n v="292"/>
    <x v="0"/>
    <s v="PM10"/>
  </r>
  <r>
    <x v="50"/>
    <x v="2"/>
    <n v="68.2"/>
    <n v="175"/>
    <n v="79"/>
    <n v="8.4600000000000009"/>
    <n v="19.8"/>
    <n v="1.86"/>
    <x v="91"/>
    <x v="208"/>
    <n v="3.32"/>
    <n v="113.6666666666667"/>
    <n v="175"/>
    <n v="98.75"/>
    <n v="21.15"/>
    <n v="49.5"/>
    <n v="93"/>
    <n v="175"/>
    <x v="1"/>
    <s v="PM10"/>
  </r>
  <r>
    <x v="50"/>
    <x v="3"/>
    <n v="40.9"/>
    <n v="256"/>
    <n v="86.8"/>
    <n v="0.5"/>
    <n v="20.8"/>
    <n v="3.07"/>
    <x v="61"/>
    <x v="209"/>
    <n v="3.05"/>
    <n v="68.166666666666671"/>
    <n v="256"/>
    <n v="108.5"/>
    <n v="1.25"/>
    <n v="52.000000000000007"/>
    <n v="153.5"/>
    <n v="256"/>
    <x v="0"/>
    <s v="PM10"/>
  </r>
  <r>
    <x v="50"/>
    <x v="4"/>
    <n v="147"/>
    <n v="184.6"/>
    <n v="58.2"/>
    <n v="26.6"/>
    <n v="82.6"/>
    <n v="3.15"/>
    <x v="169"/>
    <x v="176"/>
    <n v="2"/>
    <n v="245"/>
    <n v="184.6"/>
    <n v="72.750000000000014"/>
    <n v="66.5"/>
    <n v="206.5"/>
    <n v="157.5"/>
    <n v="245"/>
    <x v="0"/>
    <s v="PM2.5"/>
  </r>
  <r>
    <x v="51"/>
    <x v="0"/>
    <n v="139.19999999999999"/>
    <n v="267"/>
    <n v="134.4"/>
    <n v="20.7"/>
    <n v="2.5"/>
    <n v="3.37"/>
    <x v="35"/>
    <x v="210"/>
    <n v="2.8"/>
    <n v="232"/>
    <n v="267"/>
    <n v="168"/>
    <n v="51.75"/>
    <n v="6.25"/>
    <n v="168.5"/>
    <n v="267"/>
    <x v="0"/>
    <s v="PM10"/>
  </r>
  <r>
    <x v="51"/>
    <x v="1"/>
    <n v="239.7"/>
    <n v="613.20000000000005"/>
    <n v="114.3"/>
    <n v="14.17"/>
    <n v="60"/>
    <n v="3.47"/>
    <x v="11"/>
    <x v="211"/>
    <n v="2.78"/>
    <n v="399.49999999999989"/>
    <n v="500"/>
    <n v="142.875"/>
    <n v="35.424999999999997"/>
    <n v="150"/>
    <n v="173.5"/>
    <n v="500"/>
    <x v="2"/>
    <s v="PM10"/>
  </r>
  <r>
    <x v="51"/>
    <x v="2"/>
    <n v="113.9"/>
    <n v="243.1"/>
    <n v="81.2"/>
    <n v="18.54"/>
    <n v="21"/>
    <n v="1.31"/>
    <x v="5"/>
    <x v="99"/>
    <n v="3.43"/>
    <n v="189.83333333333329"/>
    <n v="243.1"/>
    <n v="101.5"/>
    <n v="46.349999999999987"/>
    <n v="52.5"/>
    <n v="65.5"/>
    <n v="243"/>
    <x v="0"/>
    <s v="PM10"/>
  </r>
  <r>
    <x v="51"/>
    <x v="3"/>
    <n v="118"/>
    <n v="352.8"/>
    <n v="71.8"/>
    <n v="18.149999999999999"/>
    <n v="11.4"/>
    <n v="1.55"/>
    <x v="170"/>
    <x v="212"/>
    <n v="2.15"/>
    <n v="196.66666666666671"/>
    <n v="352.8"/>
    <n v="89.75"/>
    <n v="45.375"/>
    <n v="28.5"/>
    <n v="77.5"/>
    <n v="353"/>
    <x v="2"/>
    <s v="PM10"/>
  </r>
  <r>
    <x v="51"/>
    <x v="4"/>
    <n v="101.8"/>
    <n v="50.9"/>
    <n v="66.599999999999994"/>
    <n v="21.92"/>
    <n v="53.8"/>
    <n v="2.64"/>
    <x v="52"/>
    <x v="213"/>
    <n v="2.21"/>
    <n v="169.66666666666671"/>
    <n v="50.9"/>
    <n v="83.249999999999986"/>
    <n v="54.8"/>
    <n v="134.5"/>
    <n v="132"/>
    <n v="170"/>
    <x v="1"/>
    <s v="PM2.5"/>
  </r>
  <r>
    <x v="52"/>
    <x v="0"/>
    <n v="149"/>
    <n v="267.3"/>
    <n v="100.9"/>
    <n v="9.8800000000000008"/>
    <n v="1"/>
    <n v="3.42"/>
    <x v="36"/>
    <x v="52"/>
    <n v="3.33"/>
    <n v="248.33333333333329"/>
    <n v="267.3"/>
    <n v="126.125"/>
    <n v="24.7"/>
    <n v="2.5"/>
    <n v="171"/>
    <n v="267"/>
    <x v="0"/>
    <s v="PM10"/>
  </r>
  <r>
    <x v="52"/>
    <x v="1"/>
    <n v="96.5"/>
    <n v="367.2"/>
    <n v="114.7"/>
    <n v="22.84"/>
    <n v="6.6"/>
    <n v="3.85"/>
    <x v="157"/>
    <x v="214"/>
    <n v="2.67"/>
    <n v="160.83333333333329"/>
    <n v="367.2"/>
    <n v="143.375"/>
    <n v="57.1"/>
    <n v="16.5"/>
    <n v="192.5"/>
    <n v="367"/>
    <x v="2"/>
    <s v="PM10"/>
  </r>
  <r>
    <x v="52"/>
    <x v="2"/>
    <n v="10.199999999999999"/>
    <n v="219.7"/>
    <n v="37.1"/>
    <n v="1.88"/>
    <n v="1.7"/>
    <n v="2.84"/>
    <x v="8"/>
    <x v="132"/>
    <n v="1.86"/>
    <n v="17"/>
    <n v="219.7"/>
    <n v="46.375"/>
    <n v="4.6999999999999993"/>
    <n v="4.25"/>
    <n v="142"/>
    <n v="220"/>
    <x v="0"/>
    <s v="PM10"/>
  </r>
  <r>
    <x v="52"/>
    <x v="3"/>
    <n v="14"/>
    <n v="84.8"/>
    <n v="111.5"/>
    <n v="11.55"/>
    <n v="23.7"/>
    <n v="2.0699999999999998"/>
    <x v="171"/>
    <x v="215"/>
    <n v="4.24"/>
    <n v="23.333333333333339"/>
    <n v="84.8"/>
    <n v="139.375"/>
    <n v="28.875"/>
    <n v="59.25"/>
    <n v="103.5"/>
    <n v="139"/>
    <x v="1"/>
    <s v="NO2"/>
  </r>
  <r>
    <x v="52"/>
    <x v="4"/>
    <n v="86.6"/>
    <n v="71.2"/>
    <n v="64.599999999999994"/>
    <n v="16.37"/>
    <n v="15.7"/>
    <n v="1.1000000000000001"/>
    <x v="69"/>
    <x v="54"/>
    <n v="3.04"/>
    <n v="144.33333333333329"/>
    <n v="71.2"/>
    <n v="80.749999999999986"/>
    <n v="40.924999999999997"/>
    <n v="39.25"/>
    <n v="55.000000000000007"/>
    <n v="144"/>
    <x v="1"/>
    <s v="PM2.5"/>
  </r>
  <r>
    <x v="53"/>
    <x v="0"/>
    <n v="68.5"/>
    <n v="195.4"/>
    <n v="48.8"/>
    <n v="22.91"/>
    <n v="68.2"/>
    <n v="0.17"/>
    <x v="47"/>
    <x v="216"/>
    <n v="1.72"/>
    <n v="114.1666666666667"/>
    <n v="195.4"/>
    <n v="61"/>
    <n v="57.274999999999999"/>
    <n v="170.5"/>
    <n v="8.5"/>
    <n v="195"/>
    <x v="1"/>
    <s v="PM10"/>
  </r>
  <r>
    <x v="53"/>
    <x v="1"/>
    <n v="115"/>
    <n v="66"/>
    <n v="53.1"/>
    <n v="5.96"/>
    <n v="50.8"/>
    <n v="2.48"/>
    <x v="33"/>
    <x v="161"/>
    <n v="1.84"/>
    <n v="191.66666666666671"/>
    <n v="66"/>
    <n v="66.375"/>
    <n v="14.9"/>
    <n v="127"/>
    <n v="124"/>
    <n v="192"/>
    <x v="1"/>
    <s v="PM2.5"/>
  </r>
  <r>
    <x v="53"/>
    <x v="2"/>
    <n v="78.8"/>
    <n v="335"/>
    <n v="109.2"/>
    <n v="2.2799999999999998"/>
    <n v="51.9"/>
    <n v="2.56"/>
    <x v="92"/>
    <x v="217"/>
    <n v="4.3499999999999996"/>
    <n v="131.33333333333329"/>
    <n v="335"/>
    <n v="136.5"/>
    <n v="5.6999999999999993"/>
    <n v="129.75"/>
    <n v="128"/>
    <n v="335"/>
    <x v="2"/>
    <s v="PM10"/>
  </r>
  <r>
    <x v="53"/>
    <x v="3"/>
    <n v="42.1"/>
    <n v="103.9"/>
    <n v="104.6"/>
    <n v="14.97"/>
    <n v="48.4"/>
    <n v="2.25"/>
    <x v="172"/>
    <x v="218"/>
    <n v="3.76"/>
    <n v="70.166666666666671"/>
    <n v="103.9"/>
    <n v="130.75"/>
    <n v="37.424999999999997"/>
    <n v="121"/>
    <n v="112.5"/>
    <n v="131"/>
    <x v="1"/>
    <s v="NO2"/>
  </r>
  <r>
    <x v="53"/>
    <x v="4"/>
    <n v="167.4"/>
    <n v="187"/>
    <n v="77.7"/>
    <n v="0.61"/>
    <n v="52.3"/>
    <n v="2.72"/>
    <x v="16"/>
    <x v="219"/>
    <n v="2.6"/>
    <n v="279"/>
    <n v="187"/>
    <n v="97.125"/>
    <n v="1.5249999999999999"/>
    <n v="130.75"/>
    <n v="136"/>
    <n v="279"/>
    <x v="0"/>
    <s v="PM2.5"/>
  </r>
  <r>
    <x v="54"/>
    <x v="0"/>
    <n v="141.6"/>
    <n v="108.2"/>
    <n v="81.900000000000006"/>
    <n v="13.12"/>
    <n v="47.2"/>
    <n v="1.8"/>
    <x v="78"/>
    <x v="61"/>
    <n v="1.98"/>
    <n v="236"/>
    <n v="108.2"/>
    <n v="102.375"/>
    <n v="32.799999999999997"/>
    <n v="118"/>
    <n v="90"/>
    <n v="236"/>
    <x v="0"/>
    <s v="PM2.5"/>
  </r>
  <r>
    <x v="54"/>
    <x v="1"/>
    <n v="23.6"/>
    <n v="450"/>
    <n v="145.30000000000001"/>
    <n v="3.08"/>
    <n v="64.400000000000006"/>
    <n v="1.8"/>
    <x v="157"/>
    <x v="220"/>
    <n v="2.2200000000000002"/>
    <n v="39.333333333333343"/>
    <n v="450"/>
    <n v="181.625"/>
    <n v="7.7"/>
    <n v="161"/>
    <n v="90"/>
    <n v="450"/>
    <x v="2"/>
    <s v="PM10"/>
  </r>
  <r>
    <x v="54"/>
    <x v="2"/>
    <n v="55.5"/>
    <n v="119.4"/>
    <n v="40.5"/>
    <n v="5.84"/>
    <n v="32.799999999999997"/>
    <n v="1.17"/>
    <x v="173"/>
    <x v="221"/>
    <n v="1.8"/>
    <n v="92.5"/>
    <n v="119.4"/>
    <n v="50.625"/>
    <n v="14.6"/>
    <n v="81.999999999999986"/>
    <n v="58.5"/>
    <n v="119"/>
    <x v="1"/>
    <s v="PM10"/>
  </r>
  <r>
    <x v="54"/>
    <x v="3"/>
    <n v="107.5"/>
    <n v="240"/>
    <n v="87.1"/>
    <n v="13.41"/>
    <n v="52.7"/>
    <n v="2.38"/>
    <x v="174"/>
    <x v="222"/>
    <n v="3.56"/>
    <n v="179.16666666666671"/>
    <n v="240"/>
    <n v="108.875"/>
    <n v="33.524999999999999"/>
    <n v="131.75"/>
    <n v="119"/>
    <n v="240"/>
    <x v="0"/>
    <s v="PM10"/>
  </r>
  <r>
    <x v="54"/>
    <x v="4"/>
    <n v="65.3"/>
    <n v="215.2"/>
    <n v="103.3"/>
    <n v="12.24"/>
    <n v="66.2"/>
    <n v="4.6100000000000003"/>
    <x v="175"/>
    <x v="223"/>
    <n v="3.36"/>
    <n v="108.8333333333333"/>
    <n v="215.2"/>
    <n v="129.125"/>
    <n v="30.6"/>
    <n v="165.5"/>
    <n v="230.5"/>
    <n v="230"/>
    <x v="0"/>
    <s v="CO"/>
  </r>
  <r>
    <x v="55"/>
    <x v="0"/>
    <n v="150.19999999999999"/>
    <n v="195.3"/>
    <n v="136.30000000000001"/>
    <n v="2.4"/>
    <n v="59.3"/>
    <n v="1.54"/>
    <x v="176"/>
    <x v="224"/>
    <n v="1.58"/>
    <n v="250.33333333333329"/>
    <n v="195.3"/>
    <n v="170.375"/>
    <n v="6"/>
    <n v="148.25"/>
    <n v="77"/>
    <n v="250"/>
    <x v="0"/>
    <s v="PM2.5"/>
  </r>
  <r>
    <x v="55"/>
    <x v="1"/>
    <n v="87"/>
    <n v="343.2"/>
    <n v="74.5"/>
    <n v="15.55"/>
    <n v="45.7"/>
    <n v="0.1"/>
    <x v="177"/>
    <x v="225"/>
    <n v="1.91"/>
    <n v="145"/>
    <n v="343.2"/>
    <n v="93.125"/>
    <n v="38.875"/>
    <n v="114.25"/>
    <n v="5"/>
    <n v="343"/>
    <x v="2"/>
    <s v="PM10"/>
  </r>
  <r>
    <x v="55"/>
    <x v="2"/>
    <n v="157"/>
    <n v="67.8"/>
    <n v="93.1"/>
    <n v="10.039999999999999"/>
    <n v="28.2"/>
    <n v="2.54"/>
    <x v="69"/>
    <x v="226"/>
    <n v="3.66"/>
    <n v="261.66666666666669"/>
    <n v="67.8"/>
    <n v="116.375"/>
    <n v="25.1"/>
    <n v="70.5"/>
    <n v="127"/>
    <n v="262"/>
    <x v="0"/>
    <s v="PM2.5"/>
  </r>
  <r>
    <x v="55"/>
    <x v="3"/>
    <n v="80.099999999999994"/>
    <n v="133.19999999999999"/>
    <n v="37.299999999999997"/>
    <n v="6.2"/>
    <n v="102.4"/>
    <n v="3.11"/>
    <x v="7"/>
    <x v="227"/>
    <n v="3.08"/>
    <n v="133.5"/>
    <n v="133.19999999999999"/>
    <n v="46.625"/>
    <n v="15.5"/>
    <n v="256"/>
    <n v="155.5"/>
    <n v="256"/>
    <x v="0"/>
    <s v="O3"/>
  </r>
  <r>
    <x v="55"/>
    <x v="4"/>
    <n v="134.5"/>
    <n v="269.2"/>
    <n v="70.2"/>
    <n v="12.98"/>
    <n v="47.7"/>
    <n v="2.2000000000000002"/>
    <x v="163"/>
    <x v="228"/>
    <n v="1.98"/>
    <n v="224.16666666666671"/>
    <n v="269.2"/>
    <n v="87.750000000000014"/>
    <n v="32.450000000000003"/>
    <n v="119.25"/>
    <n v="110"/>
    <n v="269"/>
    <x v="0"/>
    <s v="PM10"/>
  </r>
  <r>
    <x v="56"/>
    <x v="0"/>
    <n v="120.1"/>
    <n v="550.4"/>
    <n v="96.3"/>
    <n v="11.84"/>
    <n v="65.3"/>
    <n v="2.74"/>
    <x v="178"/>
    <x v="97"/>
    <n v="4.97"/>
    <n v="200.16666666666671"/>
    <n v="500"/>
    <n v="120.375"/>
    <n v="29.6"/>
    <n v="163.25"/>
    <n v="137"/>
    <n v="500"/>
    <x v="2"/>
    <s v="PM10"/>
  </r>
  <r>
    <x v="56"/>
    <x v="1"/>
    <n v="52.1"/>
    <n v="296.8"/>
    <n v="52.9"/>
    <n v="21.56"/>
    <n v="19.2"/>
    <n v="1.9"/>
    <x v="107"/>
    <x v="229"/>
    <n v="3.6"/>
    <n v="86.833333333333329"/>
    <n v="296.8"/>
    <n v="66.125"/>
    <n v="53.9"/>
    <n v="48"/>
    <n v="95"/>
    <n v="297"/>
    <x v="0"/>
    <s v="PM10"/>
  </r>
  <r>
    <x v="56"/>
    <x v="2"/>
    <n v="34.4"/>
    <n v="187.4"/>
    <n v="46.8"/>
    <n v="2.6"/>
    <n v="29.6"/>
    <n v="1.54"/>
    <x v="179"/>
    <x v="230"/>
    <n v="0.85"/>
    <n v="57.333333333333343"/>
    <n v="187.4"/>
    <n v="58.5"/>
    <n v="6.5000000000000009"/>
    <n v="74.000000000000014"/>
    <n v="77"/>
    <n v="187"/>
    <x v="1"/>
    <s v="PM10"/>
  </r>
  <r>
    <x v="56"/>
    <x v="3"/>
    <n v="68.900000000000006"/>
    <n v="290.10000000000002"/>
    <n v="138.80000000000001"/>
    <n v="0.5"/>
    <n v="1"/>
    <n v="3.72"/>
    <x v="172"/>
    <x v="231"/>
    <n v="3.14"/>
    <n v="114.8333333333333"/>
    <n v="290.10000000000002"/>
    <n v="173.5"/>
    <n v="1.25"/>
    <n v="2.5"/>
    <n v="186"/>
    <n v="290"/>
    <x v="0"/>
    <s v="PM10"/>
  </r>
  <r>
    <x v="56"/>
    <x v="4"/>
    <n v="2"/>
    <n v="211.6"/>
    <n v="90.7"/>
    <n v="22.21"/>
    <n v="14.5"/>
    <n v="2.2000000000000002"/>
    <x v="47"/>
    <x v="78"/>
    <n v="1.93"/>
    <n v="3.333333333333333"/>
    <n v="211.6"/>
    <n v="113.375"/>
    <n v="55.525000000000013"/>
    <n v="36.25"/>
    <n v="110"/>
    <n v="212"/>
    <x v="0"/>
    <s v="PM10"/>
  </r>
  <r>
    <x v="57"/>
    <x v="0"/>
    <n v="87.9"/>
    <n v="110.9"/>
    <n v="106.8"/>
    <n v="22.62"/>
    <n v="35.299999999999997"/>
    <n v="2.25"/>
    <x v="180"/>
    <x v="4"/>
    <n v="2.44"/>
    <n v="146.5"/>
    <n v="110.9"/>
    <n v="133.5"/>
    <n v="56.55"/>
    <n v="88.25"/>
    <n v="112.5"/>
    <n v="147"/>
    <x v="1"/>
    <s v="PM2.5"/>
  </r>
  <r>
    <x v="57"/>
    <x v="1"/>
    <n v="277.2"/>
    <n v="106.6"/>
    <n v="148.6"/>
    <n v="25.97"/>
    <n v="52.9"/>
    <n v="4.51"/>
    <x v="181"/>
    <x v="232"/>
    <n v="2.44"/>
    <n v="461.99999999999989"/>
    <n v="106.6"/>
    <n v="185.75"/>
    <n v="64.924999999999997"/>
    <n v="132.25"/>
    <n v="225.5"/>
    <n v="462"/>
    <x v="2"/>
    <s v="PM2.5"/>
  </r>
  <r>
    <x v="57"/>
    <x v="2"/>
    <n v="147"/>
    <n v="282.39999999999998"/>
    <n v="49.4"/>
    <n v="2.13"/>
    <n v="29.9"/>
    <n v="1.0900000000000001"/>
    <x v="16"/>
    <x v="233"/>
    <n v="1.95"/>
    <n v="245"/>
    <n v="282.39999999999998"/>
    <n v="61.75"/>
    <n v="5.3250000000000002"/>
    <n v="74.75"/>
    <n v="54.500000000000007"/>
    <n v="282"/>
    <x v="0"/>
    <s v="PM10"/>
  </r>
  <r>
    <x v="57"/>
    <x v="3"/>
    <n v="93.9"/>
    <n v="197.6"/>
    <n v="99.1"/>
    <n v="0.5"/>
    <n v="22.3"/>
    <n v="2.12"/>
    <x v="50"/>
    <x v="234"/>
    <n v="0.25"/>
    <n v="156.5"/>
    <n v="197.6"/>
    <n v="123.875"/>
    <n v="1.25"/>
    <n v="55.75"/>
    <n v="106"/>
    <n v="198"/>
    <x v="1"/>
    <s v="PM10"/>
  </r>
  <r>
    <x v="57"/>
    <x v="4"/>
    <n v="138.30000000000001"/>
    <n v="144.1"/>
    <n v="37.299999999999997"/>
    <n v="8.59"/>
    <n v="35"/>
    <n v="1.47"/>
    <x v="182"/>
    <x v="107"/>
    <n v="4.53"/>
    <n v="230.5"/>
    <n v="144.1"/>
    <n v="46.625"/>
    <n v="21.475000000000001"/>
    <n v="87.5"/>
    <n v="73.5"/>
    <n v="230"/>
    <x v="0"/>
    <s v="PM2.5"/>
  </r>
  <r>
    <x v="58"/>
    <x v="0"/>
    <n v="146.4"/>
    <n v="95.2"/>
    <n v="75.400000000000006"/>
    <n v="14.66"/>
    <n v="56.9"/>
    <n v="2.95"/>
    <x v="33"/>
    <x v="129"/>
    <n v="3.05"/>
    <n v="244"/>
    <n v="95.2"/>
    <n v="94.25"/>
    <n v="36.65"/>
    <n v="142.25"/>
    <n v="147.5"/>
    <n v="244"/>
    <x v="0"/>
    <s v="PM2.5"/>
  </r>
  <r>
    <x v="58"/>
    <x v="1"/>
    <n v="207.3"/>
    <n v="324.5"/>
    <n v="121.6"/>
    <n v="16.84"/>
    <n v="84.7"/>
    <n v="2.89"/>
    <x v="183"/>
    <x v="235"/>
    <n v="3.34"/>
    <n v="345.50000000000011"/>
    <n v="324.5"/>
    <n v="152"/>
    <n v="42.1"/>
    <n v="211.75"/>
    <n v="144.5"/>
    <n v="346"/>
    <x v="2"/>
    <s v="PM2.5"/>
  </r>
  <r>
    <x v="58"/>
    <x v="2"/>
    <n v="71"/>
    <n v="138.69999999999999"/>
    <n v="77.400000000000006"/>
    <n v="15.68"/>
    <n v="38.4"/>
    <n v="2.11"/>
    <x v="184"/>
    <x v="236"/>
    <n v="2.73"/>
    <n v="118.3333333333333"/>
    <n v="138.69999999999999"/>
    <n v="96.75"/>
    <n v="39.200000000000003"/>
    <n v="96"/>
    <n v="105.5"/>
    <n v="139"/>
    <x v="1"/>
    <s v="PM10"/>
  </r>
  <r>
    <x v="58"/>
    <x v="3"/>
    <n v="141.19999999999999"/>
    <n v="92.9"/>
    <n v="84.7"/>
    <n v="27.27"/>
    <n v="31.1"/>
    <n v="1.1100000000000001"/>
    <x v="110"/>
    <x v="237"/>
    <n v="1.56"/>
    <n v="235.33333333333329"/>
    <n v="92.9"/>
    <n v="105.875"/>
    <n v="68.174999999999997"/>
    <n v="77.75"/>
    <n v="55.500000000000007"/>
    <n v="235"/>
    <x v="0"/>
    <s v="PM2.5"/>
  </r>
  <r>
    <x v="58"/>
    <x v="4"/>
    <n v="86"/>
    <n v="62.8"/>
    <n v="79.7"/>
    <n v="22.02"/>
    <n v="17.100000000000001"/>
    <n v="3.72"/>
    <x v="118"/>
    <x v="238"/>
    <n v="2.21"/>
    <n v="143.33333333333329"/>
    <n v="62.8"/>
    <n v="99.625"/>
    <n v="55.05"/>
    <n v="42.75"/>
    <n v="186"/>
    <n v="186"/>
    <x v="1"/>
    <s v="CO"/>
  </r>
  <r>
    <x v="59"/>
    <x v="0"/>
    <n v="157.6"/>
    <n v="100.3"/>
    <n v="115.6"/>
    <n v="16.3"/>
    <n v="55.7"/>
    <n v="0.91"/>
    <x v="12"/>
    <x v="239"/>
    <n v="1.36"/>
    <n v="262.66666666666669"/>
    <n v="100.3"/>
    <n v="144.5"/>
    <n v="40.75"/>
    <n v="139.25"/>
    <n v="45.5"/>
    <n v="263"/>
    <x v="0"/>
    <s v="PM2.5"/>
  </r>
  <r>
    <x v="59"/>
    <x v="1"/>
    <n v="147.80000000000001"/>
    <n v="75.900000000000006"/>
    <n v="123.9"/>
    <n v="3.67"/>
    <n v="60.5"/>
    <n v="3.15"/>
    <x v="67"/>
    <x v="240"/>
    <n v="2.81"/>
    <n v="246.33333333333329"/>
    <n v="75.900000000000006"/>
    <n v="154.875"/>
    <n v="9.1749999999999989"/>
    <n v="151.25"/>
    <n v="157.5"/>
    <n v="246"/>
    <x v="0"/>
    <s v="PM2.5"/>
  </r>
  <r>
    <x v="59"/>
    <x v="2"/>
    <n v="66.599999999999994"/>
    <n v="90.4"/>
    <n v="8.6999999999999993"/>
    <n v="14.82"/>
    <n v="1"/>
    <n v="1.91"/>
    <x v="137"/>
    <x v="241"/>
    <n v="2.14"/>
    <n v="111"/>
    <n v="90.4"/>
    <n v="10.875"/>
    <n v="37.049999999999997"/>
    <n v="2.5"/>
    <n v="95.5"/>
    <n v="111"/>
    <x v="1"/>
    <s v="PM2.5"/>
  </r>
  <r>
    <x v="59"/>
    <x v="3"/>
    <n v="80.2"/>
    <n v="262.3"/>
    <n v="82.7"/>
    <n v="15.33"/>
    <n v="46.6"/>
    <n v="0.45"/>
    <x v="113"/>
    <x v="242"/>
    <n v="1.28"/>
    <n v="133.66666666666671"/>
    <n v="262.3"/>
    <n v="103.375"/>
    <n v="38.325000000000003"/>
    <n v="116.5"/>
    <n v="22.5"/>
    <n v="262"/>
    <x v="0"/>
    <s v="PM10"/>
  </r>
  <r>
    <x v="59"/>
    <x v="4"/>
    <n v="92.7"/>
    <n v="207"/>
    <n v="74.5"/>
    <n v="17.02"/>
    <n v="75"/>
    <n v="3.25"/>
    <x v="114"/>
    <x v="243"/>
    <n v="4.59"/>
    <n v="154.5"/>
    <n v="207"/>
    <n v="93.125"/>
    <n v="42.55"/>
    <n v="187.5"/>
    <n v="162.5"/>
    <n v="207"/>
    <x v="0"/>
    <s v="PM10"/>
  </r>
  <r>
    <x v="60"/>
    <x v="0"/>
    <n v="82.3"/>
    <n v="213.3"/>
    <n v="98"/>
    <n v="15.09"/>
    <n v="53.2"/>
    <n v="2.1"/>
    <x v="185"/>
    <x v="148"/>
    <n v="2.08"/>
    <n v="137.16666666666671"/>
    <n v="213.3"/>
    <n v="122.5"/>
    <n v="37.725000000000001"/>
    <n v="133"/>
    <n v="105"/>
    <n v="213"/>
    <x v="0"/>
    <s v="PM10"/>
  </r>
  <r>
    <x v="60"/>
    <x v="1"/>
    <n v="133.6"/>
    <n v="88.6"/>
    <n v="94.6"/>
    <n v="13.12"/>
    <n v="6.3"/>
    <n v="1.78"/>
    <x v="186"/>
    <x v="68"/>
    <n v="3.56"/>
    <n v="222.66666666666671"/>
    <n v="88.6"/>
    <n v="118.25"/>
    <n v="32.799999999999997"/>
    <n v="15.75"/>
    <n v="89"/>
    <n v="223"/>
    <x v="0"/>
    <s v="PM2.5"/>
  </r>
  <r>
    <x v="60"/>
    <x v="2"/>
    <n v="40.1"/>
    <n v="121"/>
    <n v="79.900000000000006"/>
    <n v="5.2"/>
    <n v="12.9"/>
    <n v="1.98"/>
    <x v="187"/>
    <x v="146"/>
    <n v="3.71"/>
    <n v="66.833333333333343"/>
    <n v="121"/>
    <n v="99.875"/>
    <n v="13"/>
    <n v="32.25"/>
    <n v="99"/>
    <n v="121"/>
    <x v="1"/>
    <s v="PM10"/>
  </r>
  <r>
    <x v="60"/>
    <x v="3"/>
    <n v="100.2"/>
    <n v="75.5"/>
    <n v="35.299999999999997"/>
    <n v="14.15"/>
    <n v="82.1"/>
    <n v="1.54"/>
    <x v="76"/>
    <x v="244"/>
    <n v="1.86"/>
    <n v="167"/>
    <n v="75.5"/>
    <n v="44.125"/>
    <n v="35.375000000000007"/>
    <n v="205.25"/>
    <n v="77"/>
    <n v="205"/>
    <x v="0"/>
    <s v="O3"/>
  </r>
  <r>
    <x v="60"/>
    <x v="4"/>
    <n v="54.9"/>
    <n v="154.6"/>
    <n v="83.7"/>
    <n v="13.5"/>
    <n v="55.4"/>
    <n v="1.63"/>
    <x v="52"/>
    <x v="245"/>
    <n v="0.2"/>
    <n v="91.5"/>
    <n v="154.6"/>
    <n v="104.625"/>
    <n v="33.75"/>
    <n v="138.5"/>
    <n v="81.499999999999986"/>
    <n v="155"/>
    <x v="1"/>
    <s v="PM10"/>
  </r>
  <r>
    <x v="61"/>
    <x v="0"/>
    <n v="58.8"/>
    <n v="154.69999999999999"/>
    <n v="25.3"/>
    <n v="11.42"/>
    <n v="40.1"/>
    <n v="2.59"/>
    <x v="188"/>
    <x v="246"/>
    <n v="2.3199999999999998"/>
    <n v="97.999999999999986"/>
    <n v="154.69999999999999"/>
    <n v="31.625"/>
    <n v="28.55"/>
    <n v="100.25"/>
    <n v="129.5"/>
    <n v="155"/>
    <x v="1"/>
    <s v="PM10"/>
  </r>
  <r>
    <x v="61"/>
    <x v="1"/>
    <n v="72.2"/>
    <n v="116.1"/>
    <n v="61.1"/>
    <n v="5.26"/>
    <n v="14.7"/>
    <n v="1.97"/>
    <x v="189"/>
    <x v="247"/>
    <n v="3.57"/>
    <n v="120.3333333333333"/>
    <n v="116.1"/>
    <n v="76.375"/>
    <n v="13.15"/>
    <n v="36.75"/>
    <n v="98.5"/>
    <n v="120"/>
    <x v="1"/>
    <s v="PM2.5"/>
  </r>
  <r>
    <x v="61"/>
    <x v="2"/>
    <n v="39"/>
    <n v="128.4"/>
    <n v="58.3"/>
    <n v="7.44"/>
    <n v="48.8"/>
    <n v="0.85"/>
    <x v="68"/>
    <x v="248"/>
    <n v="1.6"/>
    <n v="65"/>
    <n v="128.4"/>
    <n v="72.875"/>
    <n v="18.600000000000001"/>
    <n v="122"/>
    <n v="42.499999999999993"/>
    <n v="128"/>
    <x v="1"/>
    <s v="PM10"/>
  </r>
  <r>
    <x v="61"/>
    <x v="3"/>
    <n v="54.7"/>
    <n v="27.1"/>
    <n v="35.200000000000003"/>
    <n v="6.58"/>
    <n v="33.6"/>
    <n v="1.06"/>
    <x v="16"/>
    <x v="194"/>
    <n v="3.55"/>
    <n v="91.166666666666671"/>
    <n v="27.1"/>
    <n v="44.000000000000007"/>
    <n v="16.45"/>
    <n v="84"/>
    <n v="53.000000000000007"/>
    <n v="91"/>
    <x v="3"/>
    <s v="PM2.5"/>
  </r>
  <r>
    <x v="61"/>
    <x v="4"/>
    <n v="44.6"/>
    <n v="52.6"/>
    <n v="26.6"/>
    <n v="6.12"/>
    <n v="34.299999999999997"/>
    <n v="0.81"/>
    <x v="190"/>
    <x v="1"/>
    <n v="3.22"/>
    <n v="74.333333333333329"/>
    <n v="52.6"/>
    <n v="33.25"/>
    <n v="15.3"/>
    <n v="85.75"/>
    <n v="40.5"/>
    <n v="86"/>
    <x v="3"/>
    <s v="O3"/>
  </r>
  <r>
    <x v="62"/>
    <x v="0"/>
    <n v="89.5"/>
    <n v="99.5"/>
    <n v="42.3"/>
    <n v="3.87"/>
    <n v="45.1"/>
    <n v="0.79"/>
    <x v="191"/>
    <x v="249"/>
    <n v="2.0699999999999998"/>
    <n v="149.16666666666671"/>
    <n v="99.5"/>
    <n v="52.875"/>
    <n v="9.6749999999999989"/>
    <n v="112.75"/>
    <n v="39.5"/>
    <n v="149"/>
    <x v="1"/>
    <s v="PM2.5"/>
  </r>
  <r>
    <x v="62"/>
    <x v="1"/>
    <n v="86.3"/>
    <n v="163.80000000000001"/>
    <n v="123.6"/>
    <n v="12.19"/>
    <n v="18.600000000000001"/>
    <n v="1.43"/>
    <x v="3"/>
    <x v="250"/>
    <n v="1.5"/>
    <n v="143.83333333333329"/>
    <n v="163.80000000000001"/>
    <n v="154.5"/>
    <n v="30.475000000000001"/>
    <n v="46.500000000000007"/>
    <n v="71.5"/>
    <n v="164"/>
    <x v="1"/>
    <s v="PM10"/>
  </r>
  <r>
    <x v="62"/>
    <x v="2"/>
    <n v="83.1"/>
    <n v="82.7"/>
    <n v="40.5"/>
    <n v="4.58"/>
    <n v="79.3"/>
    <n v="0.96"/>
    <x v="192"/>
    <x v="10"/>
    <n v="3.08"/>
    <n v="138.5"/>
    <n v="82.7"/>
    <n v="50.625"/>
    <n v="11.45"/>
    <n v="198.25"/>
    <n v="48"/>
    <n v="198"/>
    <x v="1"/>
    <s v="O3"/>
  </r>
  <r>
    <x v="62"/>
    <x v="3"/>
    <n v="71.099999999999994"/>
    <n v="143.6"/>
    <n v="6.4"/>
    <n v="6.61"/>
    <n v="61.1"/>
    <n v="1.17"/>
    <x v="193"/>
    <x v="159"/>
    <n v="4.54"/>
    <n v="118.5"/>
    <n v="143.6"/>
    <n v="8"/>
    <n v="16.524999999999999"/>
    <n v="152.75"/>
    <n v="58.5"/>
    <n v="153"/>
    <x v="1"/>
    <s v="O3"/>
  </r>
  <r>
    <x v="62"/>
    <x v="4"/>
    <n v="107.1"/>
    <n v="127.9"/>
    <n v="70.400000000000006"/>
    <n v="6.78"/>
    <n v="1"/>
    <n v="0.71"/>
    <x v="194"/>
    <x v="251"/>
    <n v="2.71"/>
    <n v="178.5"/>
    <n v="127.9"/>
    <n v="88.000000000000014"/>
    <n v="16.95"/>
    <n v="2.5"/>
    <n v="35.5"/>
    <n v="178"/>
    <x v="1"/>
    <s v="PM2.5"/>
  </r>
  <r>
    <x v="63"/>
    <x v="0"/>
    <n v="58.7"/>
    <n v="269.39999999999998"/>
    <n v="89.1"/>
    <n v="21.96"/>
    <n v="41.4"/>
    <n v="1.58"/>
    <x v="195"/>
    <x v="252"/>
    <n v="1.1000000000000001"/>
    <n v="97.833333333333343"/>
    <n v="269.39999999999998"/>
    <n v="111.375"/>
    <n v="54.900000000000013"/>
    <n v="103.5"/>
    <n v="79"/>
    <n v="269"/>
    <x v="0"/>
    <s v="PM10"/>
  </r>
  <r>
    <x v="63"/>
    <x v="1"/>
    <n v="83.1"/>
    <n v="67.7"/>
    <n v="41.5"/>
    <n v="4.7699999999999996"/>
    <n v="31"/>
    <n v="1.1000000000000001"/>
    <x v="71"/>
    <x v="253"/>
    <n v="1.17"/>
    <n v="138.5"/>
    <n v="67.7"/>
    <n v="51.875"/>
    <n v="11.925000000000001"/>
    <n v="77.5"/>
    <n v="55.000000000000007"/>
    <n v="138"/>
    <x v="1"/>
    <s v="PM2.5"/>
  </r>
  <r>
    <x v="63"/>
    <x v="2"/>
    <n v="63.3"/>
    <n v="183.4"/>
    <n v="33"/>
    <n v="4.1900000000000004"/>
    <n v="32.5"/>
    <n v="1.81"/>
    <x v="196"/>
    <x v="237"/>
    <n v="3.08"/>
    <n v="105.5"/>
    <n v="183.4"/>
    <n v="41.25"/>
    <n v="10.475"/>
    <n v="81.25"/>
    <n v="90.5"/>
    <n v="183"/>
    <x v="1"/>
    <s v="PM10"/>
  </r>
  <r>
    <x v="63"/>
    <x v="3"/>
    <n v="26.9"/>
    <n v="160.9"/>
    <n v="53.2"/>
    <n v="6.46"/>
    <n v="19"/>
    <n v="0.67"/>
    <x v="197"/>
    <x v="254"/>
    <n v="1.74"/>
    <n v="44.833333333333329"/>
    <n v="160.9"/>
    <n v="66.5"/>
    <n v="16.149999999999999"/>
    <n v="47.5"/>
    <n v="33.5"/>
    <n v="161"/>
    <x v="1"/>
    <s v="PM10"/>
  </r>
  <r>
    <x v="63"/>
    <x v="4"/>
    <n v="81.099999999999994"/>
    <n v="5"/>
    <n v="36.6"/>
    <n v="8.6300000000000008"/>
    <n v="19"/>
    <n v="0.7"/>
    <x v="198"/>
    <x v="255"/>
    <n v="2.78"/>
    <n v="135.16666666666671"/>
    <n v="5"/>
    <n v="45.75"/>
    <n v="21.574999999999999"/>
    <n v="47.5"/>
    <n v="34.999999999999993"/>
    <n v="135"/>
    <x v="1"/>
    <s v="PM2.5"/>
  </r>
  <r>
    <x v="64"/>
    <x v="0"/>
    <n v="2"/>
    <n v="5"/>
    <n v="37.799999999999997"/>
    <n v="11.83"/>
    <n v="1"/>
    <n v="1.04"/>
    <x v="120"/>
    <x v="256"/>
    <n v="2.04"/>
    <n v="3.333333333333333"/>
    <n v="5"/>
    <n v="47.249999999999993"/>
    <n v="29.574999999999999"/>
    <n v="2.5"/>
    <n v="52.000000000000007"/>
    <n v="52"/>
    <x v="3"/>
    <s v="CO"/>
  </r>
  <r>
    <x v="64"/>
    <x v="1"/>
    <n v="89.4"/>
    <n v="160.6"/>
    <n v="3"/>
    <n v="14.8"/>
    <n v="56.7"/>
    <n v="1.88"/>
    <x v="199"/>
    <x v="257"/>
    <n v="4.57"/>
    <n v="149"/>
    <n v="160.6"/>
    <n v="3.75"/>
    <n v="37.000000000000007"/>
    <n v="141.75"/>
    <n v="94"/>
    <n v="161"/>
    <x v="1"/>
    <s v="PM10"/>
  </r>
  <r>
    <x v="64"/>
    <x v="2"/>
    <n v="48.8"/>
    <n v="130.4"/>
    <n v="41.9"/>
    <n v="5.58"/>
    <n v="24.5"/>
    <n v="1.33"/>
    <x v="195"/>
    <x v="191"/>
    <n v="2"/>
    <n v="81.333333333333329"/>
    <n v="130.4"/>
    <n v="52.375"/>
    <n v="13.95"/>
    <n v="61.25"/>
    <n v="66.5"/>
    <n v="130"/>
    <x v="1"/>
    <s v="PM10"/>
  </r>
  <r>
    <x v="64"/>
    <x v="3"/>
    <n v="26.1"/>
    <n v="93"/>
    <n v="70.099999999999994"/>
    <n v="5.32"/>
    <n v="49"/>
    <n v="0.76"/>
    <x v="113"/>
    <x v="103"/>
    <n v="4.72"/>
    <n v="43.500000000000007"/>
    <n v="93"/>
    <n v="87.625"/>
    <n v="13.3"/>
    <n v="122.5"/>
    <n v="38"/>
    <n v="122"/>
    <x v="1"/>
    <s v="O3"/>
  </r>
  <r>
    <x v="64"/>
    <x v="4"/>
    <n v="60.2"/>
    <n v="176.1"/>
    <n v="51.7"/>
    <n v="15.93"/>
    <n v="24.2"/>
    <n v="1.81"/>
    <x v="68"/>
    <x v="258"/>
    <n v="3.11"/>
    <n v="100.3333333333333"/>
    <n v="176.1"/>
    <n v="64.625"/>
    <n v="39.825000000000003"/>
    <n v="60.5"/>
    <n v="90.5"/>
    <n v="176"/>
    <x v="1"/>
    <s v="PM10"/>
  </r>
  <r>
    <x v="65"/>
    <x v="0"/>
    <n v="77.7"/>
    <n v="130"/>
    <n v="56.7"/>
    <n v="18.27"/>
    <n v="74.3"/>
    <n v="1.98"/>
    <x v="15"/>
    <x v="259"/>
    <n v="3.65"/>
    <n v="129.5"/>
    <n v="130"/>
    <n v="70.875000000000014"/>
    <n v="45.674999999999997"/>
    <n v="185.75"/>
    <n v="99"/>
    <n v="186"/>
    <x v="1"/>
    <s v="O3"/>
  </r>
  <r>
    <x v="65"/>
    <x v="1"/>
    <n v="107.9"/>
    <n v="260.5"/>
    <n v="41.2"/>
    <n v="8.57"/>
    <n v="1"/>
    <n v="1.21"/>
    <x v="200"/>
    <x v="246"/>
    <n v="3.27"/>
    <n v="179.83333333333329"/>
    <n v="260.5"/>
    <n v="51.500000000000007"/>
    <n v="21.425000000000001"/>
    <n v="2.5"/>
    <n v="60.5"/>
    <n v="260"/>
    <x v="0"/>
    <s v="PM10"/>
  </r>
  <r>
    <x v="65"/>
    <x v="2"/>
    <n v="51.6"/>
    <n v="132.5"/>
    <n v="20.9"/>
    <n v="8"/>
    <n v="1"/>
    <n v="1.03"/>
    <x v="201"/>
    <x v="260"/>
    <n v="3.43"/>
    <n v="86"/>
    <n v="132.5"/>
    <n v="26.125"/>
    <n v="20"/>
    <n v="2.5"/>
    <n v="51.500000000000007"/>
    <n v="132"/>
    <x v="1"/>
    <s v="PM10"/>
  </r>
  <r>
    <x v="65"/>
    <x v="3"/>
    <n v="74"/>
    <n v="211.3"/>
    <n v="26"/>
    <n v="16.739999999999998"/>
    <n v="63.3"/>
    <n v="1.06"/>
    <x v="161"/>
    <x v="261"/>
    <n v="1.51"/>
    <n v="123.3333333333333"/>
    <n v="211.3"/>
    <n v="32.5"/>
    <n v="41.85"/>
    <n v="158.25"/>
    <n v="53.000000000000007"/>
    <n v="211"/>
    <x v="0"/>
    <s v="PM10"/>
  </r>
  <r>
    <x v="65"/>
    <x v="4"/>
    <n v="45.9"/>
    <n v="97.1"/>
    <n v="26.3"/>
    <n v="15.53"/>
    <n v="36.9"/>
    <n v="1.55"/>
    <x v="79"/>
    <x v="262"/>
    <n v="3.32"/>
    <n v="76.5"/>
    <n v="97.1"/>
    <n v="32.875"/>
    <n v="38.825000000000003"/>
    <n v="92.25"/>
    <n v="77.5"/>
    <n v="97"/>
    <x v="3"/>
    <s v="PM10"/>
  </r>
  <r>
    <x v="66"/>
    <x v="0"/>
    <n v="3"/>
    <n v="133.30000000000001"/>
    <n v="20.3"/>
    <n v="20.63"/>
    <n v="72.2"/>
    <n v="1.45"/>
    <x v="202"/>
    <x v="53"/>
    <n v="3.15"/>
    <n v="5"/>
    <n v="133.30000000000001"/>
    <n v="25.375"/>
    <n v="51.575000000000003"/>
    <n v="180.5"/>
    <n v="72.5"/>
    <n v="180"/>
    <x v="1"/>
    <s v="O3"/>
  </r>
  <r>
    <x v="66"/>
    <x v="1"/>
    <n v="82.5"/>
    <n v="169.8"/>
    <n v="88.1"/>
    <n v="14.58"/>
    <n v="59"/>
    <n v="0.26"/>
    <x v="17"/>
    <x v="5"/>
    <n v="2.61"/>
    <n v="137.5"/>
    <n v="169.8"/>
    <n v="110.125"/>
    <n v="36.450000000000003"/>
    <n v="147.5"/>
    <n v="13"/>
    <n v="170"/>
    <x v="1"/>
    <s v="PM10"/>
  </r>
  <r>
    <x v="66"/>
    <x v="2"/>
    <n v="24.8"/>
    <n v="251.5"/>
    <n v="71.599999999999994"/>
    <n v="10.46"/>
    <n v="39.700000000000003"/>
    <n v="1.02"/>
    <x v="17"/>
    <x v="263"/>
    <n v="2.81"/>
    <n v="41.333333333333343"/>
    <n v="251.5"/>
    <n v="89.5"/>
    <n v="26.15"/>
    <n v="99.25"/>
    <n v="51.000000000000007"/>
    <n v="252"/>
    <x v="0"/>
    <s v="PM10"/>
  </r>
  <r>
    <x v="66"/>
    <x v="3"/>
    <n v="22.7"/>
    <n v="140.1"/>
    <n v="41.9"/>
    <n v="0.5"/>
    <n v="18.5"/>
    <n v="0.95"/>
    <x v="203"/>
    <x v="245"/>
    <n v="0.9"/>
    <n v="37.833333333333329"/>
    <n v="140.1"/>
    <n v="52.375"/>
    <n v="1.25"/>
    <n v="46.25"/>
    <n v="47.5"/>
    <n v="140"/>
    <x v="1"/>
    <s v="PM10"/>
  </r>
  <r>
    <x v="66"/>
    <x v="4"/>
    <n v="82"/>
    <n v="29.9"/>
    <n v="73.3"/>
    <n v="6.21"/>
    <n v="41.4"/>
    <n v="2.2000000000000002"/>
    <x v="204"/>
    <x v="264"/>
    <n v="2.2999999999999998"/>
    <n v="136.66666666666671"/>
    <n v="29.9"/>
    <n v="91.625"/>
    <n v="15.525"/>
    <n v="103.5"/>
    <n v="110"/>
    <n v="137"/>
    <x v="1"/>
    <s v="PM2.5"/>
  </r>
  <r>
    <x v="67"/>
    <x v="0"/>
    <n v="104.8"/>
    <n v="33.200000000000003"/>
    <n v="2"/>
    <n v="6.61"/>
    <n v="61.9"/>
    <n v="2.21"/>
    <x v="15"/>
    <x v="265"/>
    <n v="3.88"/>
    <n v="174.66666666666671"/>
    <n v="33.200000000000003"/>
    <n v="2.5"/>
    <n v="16.524999999999999"/>
    <n v="154.75"/>
    <n v="110.5"/>
    <n v="175"/>
    <x v="1"/>
    <s v="PM2.5"/>
  </r>
  <r>
    <x v="67"/>
    <x v="1"/>
    <n v="4.9000000000000004"/>
    <n v="120.9"/>
    <n v="61"/>
    <n v="12.81"/>
    <n v="34.1"/>
    <n v="1.53"/>
    <x v="205"/>
    <x v="266"/>
    <n v="3.04"/>
    <n v="8.1666666666666679"/>
    <n v="120.9"/>
    <n v="76.25"/>
    <n v="32.024999999999999"/>
    <n v="85.25"/>
    <n v="76.5"/>
    <n v="121"/>
    <x v="1"/>
    <s v="PM10"/>
  </r>
  <r>
    <x v="67"/>
    <x v="2"/>
    <n v="29"/>
    <n v="117.4"/>
    <n v="51.2"/>
    <n v="5.97"/>
    <n v="42"/>
    <n v="0.59"/>
    <x v="68"/>
    <x v="67"/>
    <n v="2.69"/>
    <n v="48.333333333333343"/>
    <n v="117.4"/>
    <n v="64"/>
    <n v="14.925000000000001"/>
    <n v="105"/>
    <n v="29.5"/>
    <n v="117"/>
    <x v="1"/>
    <s v="PM10"/>
  </r>
  <r>
    <x v="67"/>
    <x v="3"/>
    <n v="42.4"/>
    <n v="133.5"/>
    <n v="59.3"/>
    <n v="0.5"/>
    <n v="69"/>
    <n v="1"/>
    <x v="145"/>
    <x v="110"/>
    <n v="0.85"/>
    <n v="70.666666666666671"/>
    <n v="133.5"/>
    <n v="74.125"/>
    <n v="1.25"/>
    <n v="172.5"/>
    <n v="50"/>
    <n v="172"/>
    <x v="1"/>
    <s v="O3"/>
  </r>
  <r>
    <x v="67"/>
    <x v="4"/>
    <n v="42.6"/>
    <n v="113"/>
    <n v="32.299999999999997"/>
    <n v="18.34"/>
    <n v="20.399999999999999"/>
    <n v="0.95"/>
    <x v="196"/>
    <x v="267"/>
    <n v="2.5299999999999998"/>
    <n v="71.000000000000014"/>
    <n v="113"/>
    <n v="40.374999999999993"/>
    <n v="45.85"/>
    <n v="51"/>
    <n v="47.5"/>
    <n v="113"/>
    <x v="1"/>
    <s v="PM10"/>
  </r>
  <r>
    <x v="68"/>
    <x v="0"/>
    <n v="80"/>
    <n v="115"/>
    <n v="49.6"/>
    <n v="6.16"/>
    <n v="2.5"/>
    <n v="1.6"/>
    <x v="206"/>
    <x v="268"/>
    <n v="2.77"/>
    <n v="133.33333333333329"/>
    <n v="115"/>
    <n v="62"/>
    <n v="15.4"/>
    <n v="6.25"/>
    <n v="80"/>
    <n v="133"/>
    <x v="1"/>
    <s v="PM2.5"/>
  </r>
  <r>
    <x v="68"/>
    <x v="1"/>
    <n v="101"/>
    <n v="54.8"/>
    <n v="98.8"/>
    <n v="11.26"/>
    <n v="101"/>
    <n v="0.95"/>
    <x v="207"/>
    <x v="66"/>
    <n v="3.16"/>
    <n v="168.33333333333329"/>
    <n v="54.8"/>
    <n v="123.5"/>
    <n v="28.15"/>
    <n v="252.5"/>
    <n v="47.5"/>
    <n v="252"/>
    <x v="0"/>
    <s v="O3"/>
  </r>
  <r>
    <x v="68"/>
    <x v="2"/>
    <n v="63.7"/>
    <n v="99.8"/>
    <n v="65.599999999999994"/>
    <n v="8.27"/>
    <n v="1"/>
    <n v="0.5"/>
    <x v="208"/>
    <x v="269"/>
    <n v="2.4300000000000002"/>
    <n v="106.1666666666667"/>
    <n v="99.8"/>
    <n v="81.999999999999986"/>
    <n v="20.675000000000001"/>
    <n v="2.5"/>
    <n v="25"/>
    <n v="106"/>
    <x v="1"/>
    <s v="PM2.5"/>
  </r>
  <r>
    <x v="68"/>
    <x v="3"/>
    <n v="96.6"/>
    <n v="5"/>
    <n v="47.9"/>
    <n v="0.5"/>
    <n v="59"/>
    <n v="1.1399999999999999"/>
    <x v="178"/>
    <x v="270"/>
    <n v="4.04"/>
    <n v="161"/>
    <n v="5"/>
    <n v="59.875"/>
    <n v="1.25"/>
    <n v="147.5"/>
    <n v="56.999999999999993"/>
    <n v="161"/>
    <x v="1"/>
    <s v="PM2.5"/>
  </r>
  <r>
    <x v="68"/>
    <x v="4"/>
    <n v="100.4"/>
    <n v="170.5"/>
    <n v="46.7"/>
    <n v="11.99"/>
    <n v="24.6"/>
    <n v="1.88"/>
    <x v="209"/>
    <x v="187"/>
    <n v="2.12"/>
    <n v="167.33333333333329"/>
    <n v="170.5"/>
    <n v="58.375"/>
    <n v="29.975000000000001"/>
    <n v="61.500000000000007"/>
    <n v="94"/>
    <n v="170"/>
    <x v="1"/>
    <s v="PM10"/>
  </r>
  <r>
    <x v="69"/>
    <x v="0"/>
    <n v="81.5"/>
    <n v="48.8"/>
    <n v="64.900000000000006"/>
    <n v="11.79"/>
    <n v="1"/>
    <n v="0.57999999999999996"/>
    <x v="97"/>
    <x v="271"/>
    <n v="1.05"/>
    <n v="135.83333333333329"/>
    <n v="48.8"/>
    <n v="81.125"/>
    <n v="29.475000000000001"/>
    <n v="2.5"/>
    <n v="29"/>
    <n v="136"/>
    <x v="1"/>
    <s v="PM2.5"/>
  </r>
  <r>
    <x v="69"/>
    <x v="1"/>
    <n v="89.6"/>
    <n v="168.9"/>
    <n v="51.4"/>
    <n v="5.28"/>
    <n v="82.8"/>
    <n v="2.74"/>
    <x v="36"/>
    <x v="272"/>
    <n v="3.09"/>
    <n v="149.33333333333329"/>
    <n v="168.9"/>
    <n v="64.25"/>
    <n v="13.2"/>
    <n v="207"/>
    <n v="137"/>
    <n v="207"/>
    <x v="0"/>
    <s v="O3"/>
  </r>
  <r>
    <x v="69"/>
    <x v="2"/>
    <n v="46.8"/>
    <n v="106.1"/>
    <n v="56.8"/>
    <n v="0.5"/>
    <n v="69.3"/>
    <n v="1.18"/>
    <x v="10"/>
    <x v="273"/>
    <n v="2.4500000000000002"/>
    <n v="78"/>
    <n v="106.1"/>
    <n v="71"/>
    <n v="1.25"/>
    <n v="173.25"/>
    <n v="59"/>
    <n v="173"/>
    <x v="1"/>
    <s v="O3"/>
  </r>
  <r>
    <x v="69"/>
    <x v="3"/>
    <n v="8.1"/>
    <n v="209.7"/>
    <n v="45.8"/>
    <n v="10.220000000000001"/>
    <n v="63.8"/>
    <n v="0.59"/>
    <x v="77"/>
    <x v="37"/>
    <n v="3.52"/>
    <n v="13.5"/>
    <n v="209.7"/>
    <n v="57.249999999999993"/>
    <n v="25.55"/>
    <n v="159.5"/>
    <n v="29.5"/>
    <n v="210"/>
    <x v="0"/>
    <s v="PM10"/>
  </r>
  <r>
    <x v="69"/>
    <x v="4"/>
    <n v="2"/>
    <n v="125.5"/>
    <n v="36.200000000000003"/>
    <n v="11.18"/>
    <n v="56.9"/>
    <n v="0.85"/>
    <x v="40"/>
    <x v="274"/>
    <n v="1.92"/>
    <n v="3.333333333333333"/>
    <n v="125.5"/>
    <n v="45.250000000000007"/>
    <n v="27.95"/>
    <n v="142.25"/>
    <n v="42.499999999999993"/>
    <n v="142"/>
    <x v="1"/>
    <s v="O3"/>
  </r>
  <r>
    <x v="70"/>
    <x v="0"/>
    <n v="98"/>
    <n v="112.5"/>
    <n v="2"/>
    <n v="7.04"/>
    <n v="16.100000000000001"/>
    <n v="0.25"/>
    <x v="174"/>
    <x v="275"/>
    <n v="4.09"/>
    <n v="163.33333333333329"/>
    <n v="112.5"/>
    <n v="2.5"/>
    <n v="17.600000000000001"/>
    <n v="40.25"/>
    <n v="12.5"/>
    <n v="163"/>
    <x v="1"/>
    <s v="PM2.5"/>
  </r>
  <r>
    <x v="70"/>
    <x v="1"/>
    <n v="86.7"/>
    <n v="104.5"/>
    <n v="67.599999999999994"/>
    <n v="7.13"/>
    <n v="28.3"/>
    <n v="0.63"/>
    <x v="121"/>
    <x v="276"/>
    <n v="2.69"/>
    <n v="144.5"/>
    <n v="104.5"/>
    <n v="84.499999999999986"/>
    <n v="17.824999999999999"/>
    <n v="70.750000000000014"/>
    <n v="31.5"/>
    <n v="145"/>
    <x v="1"/>
    <s v="PM2.5"/>
  </r>
  <r>
    <x v="70"/>
    <x v="2"/>
    <n v="54.2"/>
    <n v="90.3"/>
    <n v="24.8"/>
    <n v="10.49"/>
    <n v="6.7"/>
    <n v="1.58"/>
    <x v="35"/>
    <x v="277"/>
    <n v="0.74"/>
    <n v="90.333333333333329"/>
    <n v="90.3"/>
    <n v="31"/>
    <n v="26.225000000000001"/>
    <n v="16.75"/>
    <n v="79"/>
    <n v="90"/>
    <x v="3"/>
    <s v="PM2.5"/>
  </r>
  <r>
    <x v="70"/>
    <x v="3"/>
    <n v="45"/>
    <n v="178.5"/>
    <n v="55.3"/>
    <n v="12.89"/>
    <n v="53.1"/>
    <n v="0.54"/>
    <x v="20"/>
    <x v="83"/>
    <n v="4.0999999999999996"/>
    <n v="75"/>
    <n v="178.5"/>
    <n v="69.124999999999986"/>
    <n v="32.225000000000001"/>
    <n v="132.75"/>
    <n v="27"/>
    <n v="178"/>
    <x v="1"/>
    <s v="PM10"/>
  </r>
  <r>
    <x v="70"/>
    <x v="4"/>
    <n v="26.5"/>
    <n v="191"/>
    <n v="69.099999999999994"/>
    <n v="18.86"/>
    <n v="32.700000000000003"/>
    <n v="1.79"/>
    <x v="210"/>
    <x v="278"/>
    <n v="1.1599999999999999"/>
    <n v="44.166666666666657"/>
    <n v="191"/>
    <n v="86.375"/>
    <n v="47.15"/>
    <n v="81.75"/>
    <n v="89.5"/>
    <n v="191"/>
    <x v="1"/>
    <s v="PM10"/>
  </r>
  <r>
    <x v="71"/>
    <x v="0"/>
    <n v="4.0999999999999996"/>
    <n v="187.2"/>
    <n v="8.4"/>
    <n v="7.06"/>
    <n v="58.6"/>
    <n v="1.51"/>
    <x v="145"/>
    <x v="279"/>
    <n v="4.03"/>
    <n v="6.833333333333333"/>
    <n v="187.2"/>
    <n v="10.5"/>
    <n v="17.649999999999999"/>
    <n v="146.5"/>
    <n v="75.5"/>
    <n v="187"/>
    <x v="1"/>
    <s v="PM10"/>
  </r>
  <r>
    <x v="71"/>
    <x v="1"/>
    <n v="39.299999999999997"/>
    <n v="99.2"/>
    <n v="36.9"/>
    <n v="15.19"/>
    <n v="78.099999999999994"/>
    <n v="1.84"/>
    <x v="168"/>
    <x v="280"/>
    <n v="4.5"/>
    <n v="65.499999999999986"/>
    <n v="99.2"/>
    <n v="46.125"/>
    <n v="37.975000000000001"/>
    <n v="195.25"/>
    <n v="92"/>
    <n v="195"/>
    <x v="1"/>
    <s v="O3"/>
  </r>
  <r>
    <x v="71"/>
    <x v="2"/>
    <n v="100.4"/>
    <n v="155.9"/>
    <n v="76.599999999999994"/>
    <n v="0.5"/>
    <n v="25.5"/>
    <n v="0.72"/>
    <x v="151"/>
    <x v="15"/>
    <n v="3.41"/>
    <n v="167.33333333333329"/>
    <n v="155.9"/>
    <n v="95.749999999999986"/>
    <n v="1.25"/>
    <n v="63.75"/>
    <n v="36"/>
    <n v="167"/>
    <x v="1"/>
    <s v="PM2.5"/>
  </r>
  <r>
    <x v="71"/>
    <x v="3"/>
    <n v="101.1"/>
    <n v="161.69999999999999"/>
    <n v="50.7"/>
    <n v="3.06"/>
    <n v="18.8"/>
    <n v="1.95"/>
    <x v="58"/>
    <x v="281"/>
    <n v="2"/>
    <n v="168.5"/>
    <n v="161.69999999999999"/>
    <n v="63.375"/>
    <n v="7.65"/>
    <n v="47"/>
    <n v="97.5"/>
    <n v="168"/>
    <x v="1"/>
    <s v="PM2.5"/>
  </r>
  <r>
    <x v="71"/>
    <x v="4"/>
    <n v="2"/>
    <n v="61.3"/>
    <n v="91.6"/>
    <n v="1.76"/>
    <n v="49.2"/>
    <n v="1.98"/>
    <x v="2"/>
    <x v="72"/>
    <n v="4.13"/>
    <n v="3.333333333333333"/>
    <n v="61.3"/>
    <n v="114.5"/>
    <n v="4.4000000000000004"/>
    <n v="123"/>
    <n v="99"/>
    <n v="123"/>
    <x v="1"/>
    <s v="O3"/>
  </r>
  <r>
    <x v="72"/>
    <x v="0"/>
    <n v="69.400000000000006"/>
    <n v="335.9"/>
    <n v="13.4"/>
    <n v="15.29"/>
    <n v="41"/>
    <n v="1.91"/>
    <x v="146"/>
    <x v="282"/>
    <n v="2.77"/>
    <n v="115.6666666666667"/>
    <n v="335.9"/>
    <n v="16.75"/>
    <n v="38.224999999999987"/>
    <n v="102.5"/>
    <n v="95.5"/>
    <n v="336"/>
    <x v="2"/>
    <s v="PM10"/>
  </r>
  <r>
    <x v="72"/>
    <x v="1"/>
    <n v="5.3"/>
    <n v="195.2"/>
    <n v="63.7"/>
    <n v="13.99"/>
    <n v="83.1"/>
    <n v="1.78"/>
    <x v="185"/>
    <x v="283"/>
    <n v="1.65"/>
    <n v="8.8333333333333339"/>
    <n v="195.2"/>
    <n v="79.625"/>
    <n v="34.975000000000001"/>
    <n v="207.75"/>
    <n v="89"/>
    <n v="208"/>
    <x v="0"/>
    <s v="O3"/>
  </r>
  <r>
    <x v="72"/>
    <x v="2"/>
    <n v="90.8"/>
    <n v="195.9"/>
    <n v="38.200000000000003"/>
    <n v="7.82"/>
    <n v="16.5"/>
    <n v="1.81"/>
    <x v="211"/>
    <x v="284"/>
    <n v="1.45"/>
    <n v="151.33333333333329"/>
    <n v="195.9"/>
    <n v="47.75"/>
    <n v="19.55"/>
    <n v="41.25"/>
    <n v="90.5"/>
    <n v="196"/>
    <x v="1"/>
    <s v="PM10"/>
  </r>
  <r>
    <x v="72"/>
    <x v="3"/>
    <n v="48.7"/>
    <n v="133.9"/>
    <n v="57.9"/>
    <n v="6.92"/>
    <n v="18.2"/>
    <n v="1.73"/>
    <x v="164"/>
    <x v="285"/>
    <n v="4.13"/>
    <n v="81.166666666666671"/>
    <n v="133.9"/>
    <n v="72.375"/>
    <n v="17.3"/>
    <n v="45.5"/>
    <n v="86.5"/>
    <n v="134"/>
    <x v="1"/>
    <s v="PM10"/>
  </r>
  <r>
    <x v="72"/>
    <x v="4"/>
    <n v="104.6"/>
    <n v="140.9"/>
    <n v="51.3"/>
    <n v="11.85"/>
    <n v="20.3"/>
    <n v="1.34"/>
    <x v="212"/>
    <x v="39"/>
    <n v="1.1299999999999999"/>
    <n v="174.33333333333329"/>
    <n v="140.9"/>
    <n v="64.125"/>
    <n v="29.625"/>
    <n v="50.75"/>
    <n v="67"/>
    <n v="174"/>
    <x v="1"/>
    <s v="PM2.5"/>
  </r>
  <r>
    <x v="73"/>
    <x v="0"/>
    <n v="120.9"/>
    <n v="115.2"/>
    <n v="46.9"/>
    <n v="5.59"/>
    <n v="37.700000000000003"/>
    <n v="2.36"/>
    <x v="205"/>
    <x v="286"/>
    <n v="2.91"/>
    <n v="201.5"/>
    <n v="115.2"/>
    <n v="58.625"/>
    <n v="13.975"/>
    <n v="94.25"/>
    <n v="118"/>
    <n v="202"/>
    <x v="0"/>
    <s v="PM2.5"/>
  </r>
  <r>
    <x v="73"/>
    <x v="1"/>
    <n v="29.7"/>
    <n v="69.400000000000006"/>
    <n v="98.2"/>
    <n v="4.09"/>
    <n v="14"/>
    <n v="2.35"/>
    <x v="69"/>
    <x v="216"/>
    <n v="2.76"/>
    <n v="49.499999999999993"/>
    <n v="69.400000000000006"/>
    <n v="122.75"/>
    <n v="10.225"/>
    <n v="35"/>
    <n v="117.5"/>
    <n v="123"/>
    <x v="1"/>
    <s v="NO2"/>
  </r>
  <r>
    <x v="73"/>
    <x v="2"/>
    <n v="27.8"/>
    <n v="176.7"/>
    <n v="62.9"/>
    <n v="10.130000000000001"/>
    <n v="46.6"/>
    <n v="2.14"/>
    <x v="213"/>
    <x v="287"/>
    <n v="3.04"/>
    <n v="46.333333333333343"/>
    <n v="176.7"/>
    <n v="78.625"/>
    <n v="25.324999999999999"/>
    <n v="116.5"/>
    <n v="107"/>
    <n v="177"/>
    <x v="1"/>
    <s v="PM10"/>
  </r>
  <r>
    <x v="73"/>
    <x v="3"/>
    <n v="122.6"/>
    <n v="59.1"/>
    <n v="37.799999999999997"/>
    <n v="10.08"/>
    <n v="38.700000000000003"/>
    <n v="0.61"/>
    <x v="161"/>
    <x v="288"/>
    <n v="2.74"/>
    <n v="204.33333333333329"/>
    <n v="59.1"/>
    <n v="47.249999999999993"/>
    <n v="25.2"/>
    <n v="96.75"/>
    <n v="30.5"/>
    <n v="204"/>
    <x v="0"/>
    <s v="PM2.5"/>
  </r>
  <r>
    <x v="73"/>
    <x v="4"/>
    <n v="36.200000000000003"/>
    <n v="29.8"/>
    <n v="55.2"/>
    <n v="14.87"/>
    <n v="57.1"/>
    <n v="1.32"/>
    <x v="122"/>
    <x v="289"/>
    <n v="4"/>
    <n v="60.333333333333343"/>
    <n v="29.8"/>
    <n v="69"/>
    <n v="37.174999999999997"/>
    <n v="142.75"/>
    <n v="66"/>
    <n v="143"/>
    <x v="1"/>
    <s v="O3"/>
  </r>
  <r>
    <x v="74"/>
    <x v="0"/>
    <n v="100.5"/>
    <n v="31.3"/>
    <n v="88.3"/>
    <n v="12.5"/>
    <n v="86.2"/>
    <n v="0.45"/>
    <x v="214"/>
    <x v="128"/>
    <n v="3.1"/>
    <n v="167.5"/>
    <n v="31.3"/>
    <n v="110.375"/>
    <n v="31.25"/>
    <n v="215.5"/>
    <n v="22.5"/>
    <n v="216"/>
    <x v="0"/>
    <s v="O3"/>
  </r>
  <r>
    <x v="74"/>
    <x v="1"/>
    <n v="142.4"/>
    <n v="203"/>
    <n v="50.2"/>
    <n v="3.59"/>
    <n v="88.4"/>
    <n v="0.78"/>
    <x v="215"/>
    <x v="290"/>
    <n v="4.41"/>
    <n v="237.33333333333329"/>
    <n v="203"/>
    <n v="62.75"/>
    <n v="8.9749999999999996"/>
    <n v="221"/>
    <n v="39"/>
    <n v="237"/>
    <x v="0"/>
    <s v="PM2.5"/>
  </r>
  <r>
    <x v="74"/>
    <x v="2"/>
    <n v="76.3"/>
    <n v="106.2"/>
    <n v="32.9"/>
    <n v="5.98"/>
    <n v="48.2"/>
    <n v="1.18"/>
    <x v="216"/>
    <x v="291"/>
    <n v="2.59"/>
    <n v="127.1666666666667"/>
    <n v="106.2"/>
    <n v="41.124999999999993"/>
    <n v="14.95"/>
    <n v="120.5"/>
    <n v="59"/>
    <n v="127"/>
    <x v="1"/>
    <s v="PM2.5"/>
  </r>
  <r>
    <x v="74"/>
    <x v="3"/>
    <n v="2"/>
    <n v="147.5"/>
    <n v="25.4"/>
    <n v="2.23"/>
    <n v="1"/>
    <n v="0.12"/>
    <x v="7"/>
    <x v="292"/>
    <n v="4.84"/>
    <n v="3.333333333333333"/>
    <n v="147.5"/>
    <n v="31.75"/>
    <n v="5.5750000000000002"/>
    <n v="2.5"/>
    <n v="6"/>
    <n v="148"/>
    <x v="1"/>
    <s v="PM10"/>
  </r>
  <r>
    <x v="74"/>
    <x v="4"/>
    <n v="48.6"/>
    <n v="143.69999999999999"/>
    <n v="58.3"/>
    <n v="9.52"/>
    <n v="41.9"/>
    <n v="0.53"/>
    <x v="217"/>
    <x v="293"/>
    <n v="0.98"/>
    <n v="81"/>
    <n v="143.69999999999999"/>
    <n v="72.875"/>
    <n v="23.8"/>
    <n v="104.75"/>
    <n v="26.5"/>
    <n v="144"/>
    <x v="1"/>
    <s v="PM10"/>
  </r>
  <r>
    <x v="75"/>
    <x v="0"/>
    <n v="33.700000000000003"/>
    <n v="118.7"/>
    <n v="29.6"/>
    <n v="12.11"/>
    <n v="25.1"/>
    <n v="2.87"/>
    <x v="168"/>
    <x v="294"/>
    <n v="3.73"/>
    <n v="56.166666666666671"/>
    <n v="118.7"/>
    <n v="37.000000000000007"/>
    <n v="30.274999999999999"/>
    <n v="62.75"/>
    <n v="143.5"/>
    <n v="144"/>
    <x v="1"/>
    <s v="CO"/>
  </r>
  <r>
    <x v="75"/>
    <x v="1"/>
    <n v="116.5"/>
    <n v="107.7"/>
    <n v="35.799999999999997"/>
    <n v="10.49"/>
    <n v="76.900000000000006"/>
    <n v="1.6"/>
    <x v="218"/>
    <x v="247"/>
    <n v="2.41"/>
    <n v="194.16666666666671"/>
    <n v="107.7"/>
    <n v="44.75"/>
    <n v="26.225000000000001"/>
    <n v="192.25"/>
    <n v="80"/>
    <n v="194"/>
    <x v="1"/>
    <s v="PM2.5"/>
  </r>
  <r>
    <x v="75"/>
    <x v="2"/>
    <n v="54.8"/>
    <n v="226.4"/>
    <n v="16.399999999999999"/>
    <n v="10"/>
    <n v="73.400000000000006"/>
    <n v="2.4300000000000002"/>
    <x v="105"/>
    <x v="295"/>
    <n v="3.18"/>
    <n v="91.333333333333329"/>
    <n v="226.4"/>
    <n v="20.5"/>
    <n v="25"/>
    <n v="183.5"/>
    <n v="121.5"/>
    <n v="226"/>
    <x v="0"/>
    <s v="PM10"/>
  </r>
  <r>
    <x v="75"/>
    <x v="3"/>
    <n v="65.900000000000006"/>
    <n v="114.1"/>
    <n v="53.7"/>
    <n v="0.5"/>
    <n v="57.1"/>
    <n v="1.28"/>
    <x v="59"/>
    <x v="221"/>
    <n v="1.69"/>
    <n v="109.8333333333333"/>
    <n v="114.1"/>
    <n v="67.125"/>
    <n v="1.25"/>
    <n v="142.75"/>
    <n v="64"/>
    <n v="143"/>
    <x v="1"/>
    <s v="O3"/>
  </r>
  <r>
    <x v="75"/>
    <x v="4"/>
    <n v="52.7"/>
    <n v="263.39999999999998"/>
    <n v="31.2"/>
    <n v="5.77"/>
    <n v="40"/>
    <n v="1.87"/>
    <x v="111"/>
    <x v="296"/>
    <n v="2.36"/>
    <n v="87.833333333333329"/>
    <n v="263.39999999999998"/>
    <n v="39"/>
    <n v="14.425000000000001"/>
    <n v="100"/>
    <n v="93.5"/>
    <n v="263"/>
    <x v="0"/>
    <s v="PM10"/>
  </r>
  <r>
    <x v="76"/>
    <x v="0"/>
    <n v="48"/>
    <n v="132.69999999999999"/>
    <n v="61.5"/>
    <n v="11.6"/>
    <n v="1"/>
    <n v="2.11"/>
    <x v="157"/>
    <x v="61"/>
    <n v="3.03"/>
    <n v="80"/>
    <n v="132.69999999999999"/>
    <n v="76.875"/>
    <n v="29"/>
    <n v="2.5"/>
    <n v="105.5"/>
    <n v="133"/>
    <x v="1"/>
    <s v="PM10"/>
  </r>
  <r>
    <x v="76"/>
    <x v="1"/>
    <n v="116.3"/>
    <n v="185"/>
    <n v="89.9"/>
    <n v="13.26"/>
    <n v="46.9"/>
    <n v="3.2"/>
    <x v="130"/>
    <x v="297"/>
    <n v="0.97"/>
    <n v="193.83333333333329"/>
    <n v="185"/>
    <n v="112.375"/>
    <n v="33.15"/>
    <n v="117.25"/>
    <n v="160"/>
    <n v="194"/>
    <x v="1"/>
    <s v="PM2.5"/>
  </r>
  <r>
    <x v="76"/>
    <x v="2"/>
    <n v="20.3"/>
    <n v="130.69999999999999"/>
    <n v="45.5"/>
    <n v="4.68"/>
    <n v="41.3"/>
    <n v="2.0499999999999998"/>
    <x v="170"/>
    <x v="298"/>
    <n v="2.37"/>
    <n v="33.833333333333343"/>
    <n v="130.69999999999999"/>
    <n v="56.875"/>
    <n v="11.7"/>
    <n v="103.25"/>
    <n v="102.5"/>
    <n v="131"/>
    <x v="1"/>
    <s v="PM10"/>
  </r>
  <r>
    <x v="76"/>
    <x v="3"/>
    <n v="35.9"/>
    <n v="96.7"/>
    <n v="36.700000000000003"/>
    <n v="5.61"/>
    <n v="8.6"/>
    <n v="1.1200000000000001"/>
    <x v="66"/>
    <x v="154"/>
    <n v="4.96"/>
    <n v="59.833333333333329"/>
    <n v="96.7"/>
    <n v="45.875000000000007"/>
    <n v="14.025"/>
    <n v="21.5"/>
    <n v="56.000000000000007"/>
    <n v="97"/>
    <x v="3"/>
    <s v="PM10"/>
  </r>
  <r>
    <x v="76"/>
    <x v="4"/>
    <n v="101.9"/>
    <n v="107.2"/>
    <n v="49.9"/>
    <n v="2.36"/>
    <n v="90.6"/>
    <n v="2.57"/>
    <x v="85"/>
    <x v="299"/>
    <n v="3.21"/>
    <n v="169.83333333333329"/>
    <n v="107.2"/>
    <n v="62.375"/>
    <n v="5.8999999999999986"/>
    <n v="226.5"/>
    <n v="128.5"/>
    <n v="226"/>
    <x v="0"/>
    <s v="O3"/>
  </r>
  <r>
    <x v="77"/>
    <x v="0"/>
    <n v="22.9"/>
    <n v="109.6"/>
    <n v="54.8"/>
    <n v="6.59"/>
    <n v="39.700000000000003"/>
    <n v="1.32"/>
    <x v="56"/>
    <x v="193"/>
    <n v="1.23"/>
    <n v="38.166666666666657"/>
    <n v="109.6"/>
    <n v="68.499999999999986"/>
    <n v="16.475000000000001"/>
    <n v="99.25"/>
    <n v="66"/>
    <n v="110"/>
    <x v="1"/>
    <s v="PM10"/>
  </r>
  <r>
    <x v="77"/>
    <x v="1"/>
    <n v="48.1"/>
    <n v="53.7"/>
    <n v="80.7"/>
    <n v="0.5"/>
    <n v="86"/>
    <n v="2.54"/>
    <x v="107"/>
    <x v="154"/>
    <n v="2.0699999999999998"/>
    <n v="80.166666666666657"/>
    <n v="53.7"/>
    <n v="100.875"/>
    <n v="1.25"/>
    <n v="215"/>
    <n v="127"/>
    <n v="215"/>
    <x v="0"/>
    <s v="O3"/>
  </r>
  <r>
    <x v="77"/>
    <x v="2"/>
    <n v="55.2"/>
    <n v="56.4"/>
    <n v="33"/>
    <n v="14.87"/>
    <n v="53.8"/>
    <n v="0.61"/>
    <x v="219"/>
    <x v="21"/>
    <n v="2.2400000000000002"/>
    <n v="92"/>
    <n v="56.4"/>
    <n v="41.25"/>
    <n v="37.174999999999997"/>
    <n v="134.5"/>
    <n v="30.5"/>
    <n v="134"/>
    <x v="1"/>
    <s v="O3"/>
  </r>
  <r>
    <x v="77"/>
    <x v="3"/>
    <n v="74.900000000000006"/>
    <n v="87.9"/>
    <n v="55.2"/>
    <n v="17.68"/>
    <n v="60.4"/>
    <n v="1.17"/>
    <x v="208"/>
    <x v="300"/>
    <n v="3.92"/>
    <n v="124.8333333333333"/>
    <n v="87.9"/>
    <n v="69"/>
    <n v="44.2"/>
    <n v="151"/>
    <n v="58.5"/>
    <n v="151"/>
    <x v="1"/>
    <s v="O3"/>
  </r>
  <r>
    <x v="77"/>
    <x v="4"/>
    <n v="45.3"/>
    <n v="135"/>
    <n v="50.6"/>
    <n v="6.04"/>
    <n v="6.3"/>
    <n v="1.53"/>
    <x v="16"/>
    <x v="47"/>
    <n v="2.36"/>
    <n v="75.5"/>
    <n v="135"/>
    <n v="63.25"/>
    <n v="15.1"/>
    <n v="15.75"/>
    <n v="76.5"/>
    <n v="135"/>
    <x v="1"/>
    <s v="PM10"/>
  </r>
  <r>
    <x v="78"/>
    <x v="0"/>
    <n v="111.1"/>
    <n v="77.5"/>
    <n v="91.1"/>
    <n v="0.5"/>
    <n v="58.5"/>
    <n v="1.71"/>
    <x v="94"/>
    <x v="162"/>
    <n v="4.04"/>
    <n v="185.16666666666671"/>
    <n v="77.5"/>
    <n v="113.875"/>
    <n v="1.25"/>
    <n v="146.25"/>
    <n v="85.499999999999986"/>
    <n v="185"/>
    <x v="1"/>
    <s v="PM2.5"/>
  </r>
  <r>
    <x v="78"/>
    <x v="1"/>
    <n v="2"/>
    <n v="187.7"/>
    <n v="2"/>
    <n v="3.96"/>
    <n v="100.9"/>
    <n v="1.06"/>
    <x v="89"/>
    <x v="18"/>
    <n v="4.9800000000000004"/>
    <n v="3.333333333333333"/>
    <n v="187.7"/>
    <n v="2.5"/>
    <n v="9.8999999999999986"/>
    <n v="252.25"/>
    <n v="53.000000000000007"/>
    <n v="252"/>
    <x v="0"/>
    <s v="O3"/>
  </r>
  <r>
    <x v="78"/>
    <x v="2"/>
    <n v="4.8"/>
    <n v="54.1"/>
    <n v="71.2"/>
    <n v="16.420000000000002"/>
    <n v="35.5"/>
    <n v="0.43"/>
    <x v="220"/>
    <x v="301"/>
    <n v="3.31"/>
    <n v="8"/>
    <n v="54.1"/>
    <n v="89.000000000000014"/>
    <n v="41.05"/>
    <n v="88.75"/>
    <n v="21.5"/>
    <n v="89"/>
    <x v="3"/>
    <s v="NO2"/>
  </r>
  <r>
    <x v="78"/>
    <x v="3"/>
    <n v="35.6"/>
    <n v="117.1"/>
    <n v="41.8"/>
    <n v="9.65"/>
    <n v="76.3"/>
    <n v="1.73"/>
    <x v="64"/>
    <x v="3"/>
    <n v="2.88"/>
    <n v="59.333333333333343"/>
    <n v="117.1"/>
    <n v="52.25"/>
    <n v="24.125"/>
    <n v="190.75"/>
    <n v="86.5"/>
    <n v="191"/>
    <x v="1"/>
    <s v="O3"/>
  </r>
  <r>
    <x v="78"/>
    <x v="4"/>
    <n v="88.7"/>
    <n v="228.8"/>
    <n v="25"/>
    <n v="8.6"/>
    <n v="29.4"/>
    <n v="0.28999999999999998"/>
    <x v="69"/>
    <x v="302"/>
    <n v="0.79"/>
    <n v="147.83333333333329"/>
    <n v="228.8"/>
    <n v="31.25"/>
    <n v="21.5"/>
    <n v="73.5"/>
    <n v="14.5"/>
    <n v="229"/>
    <x v="0"/>
    <s v="PM10"/>
  </r>
  <r>
    <x v="79"/>
    <x v="0"/>
    <n v="67.900000000000006"/>
    <n v="182.2"/>
    <n v="54.6"/>
    <n v="8.5500000000000007"/>
    <n v="8.6"/>
    <n v="1.54"/>
    <x v="134"/>
    <x v="303"/>
    <n v="3.93"/>
    <n v="113.1666666666667"/>
    <n v="182.2"/>
    <n v="68.25"/>
    <n v="21.375"/>
    <n v="21.5"/>
    <n v="77"/>
    <n v="182"/>
    <x v="1"/>
    <s v="PM10"/>
  </r>
  <r>
    <x v="79"/>
    <x v="1"/>
    <n v="110.9"/>
    <n v="153.9"/>
    <n v="62"/>
    <n v="16.71"/>
    <n v="57"/>
    <n v="2.1800000000000002"/>
    <x v="107"/>
    <x v="142"/>
    <n v="2.88"/>
    <n v="184.83333333333329"/>
    <n v="153.9"/>
    <n v="77.5"/>
    <n v="41.774999999999999"/>
    <n v="142.5"/>
    <n v="109"/>
    <n v="185"/>
    <x v="1"/>
    <s v="PM2.5"/>
  </r>
  <r>
    <x v="79"/>
    <x v="2"/>
    <n v="62.5"/>
    <n v="41.6"/>
    <n v="48.2"/>
    <n v="3.65"/>
    <n v="22.8"/>
    <n v="0.68"/>
    <x v="64"/>
    <x v="304"/>
    <n v="4.0999999999999996"/>
    <n v="104.1666666666667"/>
    <n v="41.6"/>
    <n v="60.250000000000007"/>
    <n v="9.125"/>
    <n v="57"/>
    <n v="34"/>
    <n v="104"/>
    <x v="1"/>
    <s v="PM2.5"/>
  </r>
  <r>
    <x v="79"/>
    <x v="3"/>
    <n v="117.6"/>
    <n v="46.6"/>
    <n v="46.4"/>
    <n v="1.53"/>
    <n v="22.6"/>
    <n v="0.65"/>
    <x v="221"/>
    <x v="80"/>
    <n v="3.78"/>
    <n v="196"/>
    <n v="46.6"/>
    <n v="57.999999999999993"/>
    <n v="3.8250000000000002"/>
    <n v="56.5"/>
    <n v="32.5"/>
    <n v="196"/>
    <x v="1"/>
    <s v="PM2.5"/>
  </r>
  <r>
    <x v="79"/>
    <x v="4"/>
    <n v="85.9"/>
    <n v="284"/>
    <n v="17"/>
    <n v="15.73"/>
    <n v="75.5"/>
    <n v="0.68"/>
    <x v="200"/>
    <x v="305"/>
    <n v="2.73"/>
    <n v="143.16666666666671"/>
    <n v="284"/>
    <n v="21.25"/>
    <n v="39.325000000000003"/>
    <n v="188.75"/>
    <n v="34"/>
    <n v="284"/>
    <x v="0"/>
    <s v="PM10"/>
  </r>
  <r>
    <x v="80"/>
    <x v="0"/>
    <n v="40.6"/>
    <n v="88.4"/>
    <n v="98.9"/>
    <n v="9.1999999999999993"/>
    <n v="68.5"/>
    <n v="0.83"/>
    <x v="175"/>
    <x v="131"/>
    <n v="0.88"/>
    <n v="67.666666666666671"/>
    <n v="88.4"/>
    <n v="123.625"/>
    <n v="23"/>
    <n v="171.25"/>
    <n v="41.499999999999993"/>
    <n v="171"/>
    <x v="1"/>
    <s v="O3"/>
  </r>
  <r>
    <x v="80"/>
    <x v="1"/>
    <n v="59.4"/>
    <n v="152.6"/>
    <n v="59"/>
    <n v="8.8800000000000008"/>
    <n v="62.4"/>
    <n v="2.02"/>
    <x v="151"/>
    <x v="306"/>
    <n v="2.16"/>
    <n v="98.999999999999986"/>
    <n v="152.6"/>
    <n v="73.75"/>
    <n v="22.2"/>
    <n v="156"/>
    <n v="101"/>
    <n v="156"/>
    <x v="1"/>
    <s v="O3"/>
  </r>
  <r>
    <x v="80"/>
    <x v="2"/>
    <n v="91.1"/>
    <n v="165"/>
    <n v="16.7"/>
    <n v="9.27"/>
    <n v="1"/>
    <n v="1.17"/>
    <x v="138"/>
    <x v="307"/>
    <n v="1.5"/>
    <n v="151.83333333333329"/>
    <n v="165"/>
    <n v="20.875"/>
    <n v="23.175000000000001"/>
    <n v="2.5"/>
    <n v="58.5"/>
    <n v="165"/>
    <x v="1"/>
    <s v="PM10"/>
  </r>
  <r>
    <x v="80"/>
    <x v="3"/>
    <n v="82.9"/>
    <n v="27.4"/>
    <n v="32.299999999999997"/>
    <n v="10.98"/>
    <n v="24.1"/>
    <n v="1.06"/>
    <x v="18"/>
    <x v="162"/>
    <n v="2.82"/>
    <n v="138.16666666666671"/>
    <n v="27.4"/>
    <n v="40.374999999999993"/>
    <n v="27.45"/>
    <n v="60.250000000000007"/>
    <n v="53.000000000000007"/>
    <n v="138"/>
    <x v="1"/>
    <s v="PM2.5"/>
  </r>
  <r>
    <x v="80"/>
    <x v="4"/>
    <n v="54.8"/>
    <n v="156.4"/>
    <n v="46.8"/>
    <n v="11.32"/>
    <n v="30.3"/>
    <n v="1.2"/>
    <x v="61"/>
    <x v="308"/>
    <n v="2.0299999999999998"/>
    <n v="91.333333333333329"/>
    <n v="156.4"/>
    <n v="58.5"/>
    <n v="28.3"/>
    <n v="75.75"/>
    <n v="60"/>
    <n v="156"/>
    <x v="1"/>
    <s v="PM10"/>
  </r>
  <r>
    <x v="81"/>
    <x v="0"/>
    <n v="30.6"/>
    <n v="155.80000000000001"/>
    <n v="56.6"/>
    <n v="13.7"/>
    <n v="33.6"/>
    <n v="1.66"/>
    <x v="222"/>
    <x v="309"/>
    <n v="1.51"/>
    <n v="51.000000000000007"/>
    <n v="155.80000000000001"/>
    <n v="70.750000000000014"/>
    <n v="34.249999999999993"/>
    <n v="84"/>
    <n v="82.999999999999986"/>
    <n v="156"/>
    <x v="1"/>
    <s v="PM10"/>
  </r>
  <r>
    <x v="81"/>
    <x v="1"/>
    <n v="80.599999999999994"/>
    <n v="177.3"/>
    <n v="56.4"/>
    <n v="0.5"/>
    <n v="55"/>
    <n v="3.16"/>
    <x v="29"/>
    <x v="310"/>
    <n v="2.95"/>
    <n v="134.33333333333329"/>
    <n v="177.3"/>
    <n v="70.5"/>
    <n v="1.25"/>
    <n v="137.5"/>
    <n v="158"/>
    <n v="177"/>
    <x v="1"/>
    <s v="PM10"/>
  </r>
  <r>
    <x v="81"/>
    <x v="2"/>
    <n v="65.900000000000006"/>
    <n v="182"/>
    <n v="18.899999999999999"/>
    <n v="11.07"/>
    <n v="52"/>
    <n v="1.06"/>
    <x v="69"/>
    <x v="14"/>
    <n v="3.55"/>
    <n v="109.8333333333333"/>
    <n v="182"/>
    <n v="23.625"/>
    <n v="27.675000000000001"/>
    <n v="130"/>
    <n v="53.000000000000007"/>
    <n v="182"/>
    <x v="1"/>
    <s v="PM10"/>
  </r>
  <r>
    <x v="81"/>
    <x v="3"/>
    <n v="25.7"/>
    <n v="169.2"/>
    <n v="43.7"/>
    <n v="8.36"/>
    <n v="41.8"/>
    <n v="1.1100000000000001"/>
    <x v="168"/>
    <x v="250"/>
    <n v="1.1599999999999999"/>
    <n v="42.833333333333343"/>
    <n v="169.2"/>
    <n v="54.625000000000007"/>
    <n v="20.9"/>
    <n v="104.5"/>
    <n v="55.500000000000007"/>
    <n v="169"/>
    <x v="1"/>
    <s v="PM10"/>
  </r>
  <r>
    <x v="81"/>
    <x v="4"/>
    <n v="53"/>
    <n v="143.80000000000001"/>
    <n v="76.5"/>
    <n v="12.12"/>
    <n v="20.6"/>
    <n v="2.96"/>
    <x v="100"/>
    <x v="286"/>
    <n v="2.82"/>
    <n v="88.333333333333329"/>
    <n v="143.80000000000001"/>
    <n v="95.625"/>
    <n v="30.3"/>
    <n v="51.500000000000007"/>
    <n v="148"/>
    <n v="148"/>
    <x v="1"/>
    <s v="CO"/>
  </r>
  <r>
    <x v="82"/>
    <x v="0"/>
    <n v="87.4"/>
    <n v="195.9"/>
    <n v="79.8"/>
    <n v="15.28"/>
    <n v="71.099999999999994"/>
    <n v="1.1599999999999999"/>
    <x v="79"/>
    <x v="105"/>
    <n v="3.62"/>
    <n v="145.66666666666671"/>
    <n v="195.9"/>
    <n v="99.749999999999986"/>
    <n v="38.200000000000003"/>
    <n v="177.75"/>
    <n v="57.999999999999993"/>
    <n v="196"/>
    <x v="1"/>
    <s v="PM10"/>
  </r>
  <r>
    <x v="82"/>
    <x v="1"/>
    <n v="66.599999999999994"/>
    <n v="229.9"/>
    <n v="92.6"/>
    <n v="4.2699999999999996"/>
    <n v="23.8"/>
    <n v="1.39"/>
    <x v="93"/>
    <x v="311"/>
    <n v="4.12"/>
    <n v="111"/>
    <n v="229.9"/>
    <n v="115.75"/>
    <n v="10.675000000000001"/>
    <n v="59.500000000000007"/>
    <n v="69.499999999999986"/>
    <n v="230"/>
    <x v="0"/>
    <s v="PM10"/>
  </r>
  <r>
    <x v="82"/>
    <x v="2"/>
    <n v="69.099999999999994"/>
    <n v="116.2"/>
    <n v="15.5"/>
    <n v="1.35"/>
    <n v="44.7"/>
    <n v="0.05"/>
    <x v="166"/>
    <x v="71"/>
    <n v="6.39"/>
    <n v="115.1666666666667"/>
    <n v="116.2"/>
    <n v="19.375"/>
    <n v="3.375"/>
    <n v="111.75"/>
    <n v="2.5"/>
    <n v="116"/>
    <x v="1"/>
    <s v="PM10"/>
  </r>
  <r>
    <x v="82"/>
    <x v="3"/>
    <n v="129.19999999999999"/>
    <n v="109.1"/>
    <n v="42.9"/>
    <n v="12.98"/>
    <n v="82.6"/>
    <n v="0.22"/>
    <x v="223"/>
    <x v="312"/>
    <n v="3.2"/>
    <n v="215.33333333333329"/>
    <n v="109.1"/>
    <n v="53.625"/>
    <n v="32.450000000000003"/>
    <n v="206.5"/>
    <n v="11"/>
    <n v="215"/>
    <x v="0"/>
    <s v="PM2.5"/>
  </r>
  <r>
    <x v="82"/>
    <x v="4"/>
    <n v="82.4"/>
    <n v="202.6"/>
    <n v="23.1"/>
    <n v="0.5"/>
    <n v="67.599999999999994"/>
    <n v="0.77"/>
    <x v="224"/>
    <x v="190"/>
    <n v="3.95"/>
    <n v="137.33333333333329"/>
    <n v="202.6"/>
    <n v="28.875"/>
    <n v="1.25"/>
    <n v="169"/>
    <n v="38.5"/>
    <n v="203"/>
    <x v="0"/>
    <s v="PM10"/>
  </r>
  <r>
    <x v="83"/>
    <x v="0"/>
    <n v="64.8"/>
    <n v="106.4"/>
    <n v="48.1"/>
    <n v="7.07"/>
    <n v="7.2"/>
    <n v="0.89"/>
    <x v="118"/>
    <x v="313"/>
    <n v="2.7"/>
    <n v="108"/>
    <n v="106.4"/>
    <n v="60.125000000000007"/>
    <n v="17.675000000000001"/>
    <n v="18"/>
    <n v="44.5"/>
    <n v="108"/>
    <x v="1"/>
    <s v="PM2.5"/>
  </r>
  <r>
    <x v="83"/>
    <x v="1"/>
    <n v="37.700000000000003"/>
    <n v="136.4"/>
    <n v="2"/>
    <n v="11.12"/>
    <n v="94.7"/>
    <n v="0.39"/>
    <x v="122"/>
    <x v="228"/>
    <n v="4"/>
    <n v="62.833333333333343"/>
    <n v="136.4"/>
    <n v="2.5"/>
    <n v="27.8"/>
    <n v="236.75"/>
    <n v="19.5"/>
    <n v="237"/>
    <x v="0"/>
    <s v="O3"/>
  </r>
  <r>
    <x v="83"/>
    <x v="2"/>
    <n v="44.2"/>
    <n v="74.5"/>
    <n v="5.3"/>
    <n v="8.09"/>
    <n v="86.5"/>
    <n v="1.3"/>
    <x v="22"/>
    <x v="313"/>
    <n v="2.4900000000000002"/>
    <n v="73.666666666666671"/>
    <n v="74.5"/>
    <n v="6.625"/>
    <n v="20.225000000000001"/>
    <n v="216.25"/>
    <n v="65"/>
    <n v="216"/>
    <x v="0"/>
    <s v="O3"/>
  </r>
  <r>
    <x v="83"/>
    <x v="3"/>
    <n v="35.6"/>
    <n v="169.4"/>
    <n v="49.5"/>
    <n v="8.09"/>
    <n v="15.6"/>
    <n v="1.98"/>
    <x v="211"/>
    <x v="314"/>
    <n v="3.7"/>
    <n v="59.333333333333343"/>
    <n v="169.4"/>
    <n v="61.875"/>
    <n v="20.225000000000001"/>
    <n v="39"/>
    <n v="99"/>
    <n v="169"/>
    <x v="1"/>
    <s v="PM10"/>
  </r>
  <r>
    <x v="83"/>
    <x v="4"/>
    <n v="49.6"/>
    <n v="80.400000000000006"/>
    <n v="32.799999999999997"/>
    <n v="0.5"/>
    <n v="57"/>
    <n v="0.11"/>
    <x v="225"/>
    <x v="315"/>
    <n v="2.9"/>
    <n v="82.666666666666671"/>
    <n v="80.400000000000006"/>
    <n v="40.999999999999993"/>
    <n v="1.25"/>
    <n v="142.5"/>
    <n v="5.5"/>
    <n v="142"/>
    <x v="1"/>
    <s v="O3"/>
  </r>
  <r>
    <x v="84"/>
    <x v="0"/>
    <n v="63.8"/>
    <n v="115.5"/>
    <n v="27.8"/>
    <n v="2.46"/>
    <n v="59.4"/>
    <n v="1"/>
    <x v="93"/>
    <x v="283"/>
    <n v="2.72"/>
    <n v="106.3333333333333"/>
    <n v="115.5"/>
    <n v="34.75"/>
    <n v="6.15"/>
    <n v="148.5"/>
    <n v="50"/>
    <n v="148"/>
    <x v="1"/>
    <s v="O3"/>
  </r>
  <r>
    <x v="84"/>
    <x v="1"/>
    <n v="123.9"/>
    <n v="194"/>
    <n v="45.9"/>
    <n v="11.61"/>
    <n v="42.5"/>
    <n v="1.51"/>
    <x v="20"/>
    <x v="291"/>
    <n v="2.75"/>
    <n v="206.5"/>
    <n v="194"/>
    <n v="57.374999999999993"/>
    <n v="29.024999999999999"/>
    <n v="106.25"/>
    <n v="75.5"/>
    <n v="207"/>
    <x v="0"/>
    <s v="PM2.5"/>
  </r>
  <r>
    <x v="84"/>
    <x v="2"/>
    <n v="28.7"/>
    <n v="56.1"/>
    <n v="16.399999999999999"/>
    <n v="0.5"/>
    <n v="9.1"/>
    <n v="1.23"/>
    <x v="76"/>
    <x v="316"/>
    <n v="2.54"/>
    <n v="47.833333333333329"/>
    <n v="56.1"/>
    <n v="20.5"/>
    <n v="1.25"/>
    <n v="22.75"/>
    <n v="61.5"/>
    <n v="62"/>
    <x v="3"/>
    <s v="CO"/>
  </r>
  <r>
    <x v="84"/>
    <x v="3"/>
    <n v="2"/>
    <n v="159.30000000000001"/>
    <n v="61.2"/>
    <n v="3.03"/>
    <n v="50.5"/>
    <n v="0.69"/>
    <x v="109"/>
    <x v="317"/>
    <n v="0.35"/>
    <n v="3.333333333333333"/>
    <n v="159.30000000000001"/>
    <n v="76.5"/>
    <n v="7.5749999999999993"/>
    <n v="126.25"/>
    <n v="34.499999999999993"/>
    <n v="159"/>
    <x v="1"/>
    <s v="PM10"/>
  </r>
  <r>
    <x v="84"/>
    <x v="4"/>
    <n v="53.4"/>
    <n v="123.8"/>
    <n v="40.799999999999997"/>
    <n v="2.29"/>
    <n v="33"/>
    <n v="1.5"/>
    <x v="226"/>
    <x v="72"/>
    <n v="2.2000000000000002"/>
    <n v="89"/>
    <n v="123.8"/>
    <n v="51"/>
    <n v="5.7249999999999996"/>
    <n v="82.5"/>
    <n v="75"/>
    <n v="124"/>
    <x v="1"/>
    <s v="PM10"/>
  </r>
  <r>
    <x v="85"/>
    <x v="0"/>
    <n v="109.4"/>
    <n v="56.8"/>
    <n v="63"/>
    <n v="16"/>
    <n v="59.8"/>
    <n v="1.24"/>
    <x v="120"/>
    <x v="63"/>
    <n v="0.79"/>
    <n v="182.33333333333329"/>
    <n v="56.8"/>
    <n v="78.75"/>
    <n v="40"/>
    <n v="149.5"/>
    <n v="62"/>
    <n v="182"/>
    <x v="1"/>
    <s v="PM2.5"/>
  </r>
  <r>
    <x v="85"/>
    <x v="1"/>
    <n v="38.6"/>
    <n v="120.2"/>
    <n v="87.2"/>
    <n v="12.37"/>
    <n v="19.7"/>
    <n v="1.27"/>
    <x v="227"/>
    <x v="292"/>
    <n v="3.67"/>
    <n v="64.333333333333343"/>
    <n v="120.2"/>
    <n v="109"/>
    <n v="30.925000000000001"/>
    <n v="49.249999999999993"/>
    <n v="63.5"/>
    <n v="120"/>
    <x v="1"/>
    <s v="PM10"/>
  </r>
  <r>
    <x v="85"/>
    <x v="2"/>
    <n v="17.899999999999999"/>
    <n v="205.7"/>
    <n v="58.5"/>
    <n v="12.78"/>
    <n v="27"/>
    <n v="1.05"/>
    <x v="34"/>
    <x v="311"/>
    <n v="3.09"/>
    <n v="29.833333333333329"/>
    <n v="205.7"/>
    <n v="73.125"/>
    <n v="31.95"/>
    <n v="67.5"/>
    <n v="52.500000000000007"/>
    <n v="206"/>
    <x v="0"/>
    <s v="PM10"/>
  </r>
  <r>
    <x v="85"/>
    <x v="3"/>
    <n v="98.9"/>
    <n v="53.6"/>
    <n v="37.700000000000003"/>
    <n v="7.24"/>
    <n v="5.0999999999999996"/>
    <n v="1.55"/>
    <x v="33"/>
    <x v="318"/>
    <n v="1.96"/>
    <n v="164.83333333333329"/>
    <n v="53.6"/>
    <n v="47.125"/>
    <n v="18.100000000000001"/>
    <n v="12.75"/>
    <n v="77.5"/>
    <n v="165"/>
    <x v="1"/>
    <s v="PM2.5"/>
  </r>
  <r>
    <x v="85"/>
    <x v="4"/>
    <n v="40"/>
    <n v="131.5"/>
    <n v="44.8"/>
    <n v="6.75"/>
    <n v="24"/>
    <n v="1.53"/>
    <x v="228"/>
    <x v="319"/>
    <n v="4.2"/>
    <n v="66.666666666666671"/>
    <n v="131.5"/>
    <n v="55.999999999999993"/>
    <n v="16.875"/>
    <n v="60"/>
    <n v="76.5"/>
    <n v="132"/>
    <x v="1"/>
    <s v="PM10"/>
  </r>
  <r>
    <x v="86"/>
    <x v="0"/>
    <n v="21"/>
    <n v="148.9"/>
    <n v="26.5"/>
    <n v="0.71"/>
    <n v="24.7"/>
    <n v="2.2000000000000002"/>
    <x v="229"/>
    <x v="320"/>
    <n v="0.66"/>
    <n v="35"/>
    <n v="148.9"/>
    <n v="33.125"/>
    <n v="1.7749999999999999"/>
    <n v="61.75"/>
    <n v="110"/>
    <n v="149"/>
    <x v="1"/>
    <s v="PM10"/>
  </r>
  <r>
    <x v="86"/>
    <x v="1"/>
    <n v="67.599999999999994"/>
    <n v="172.6"/>
    <n v="60.6"/>
    <n v="0.5"/>
    <n v="22.2"/>
    <n v="1.45"/>
    <x v="116"/>
    <x v="321"/>
    <n v="2.31"/>
    <n v="112.6666666666667"/>
    <n v="172.6"/>
    <n v="75.75"/>
    <n v="1.25"/>
    <n v="55.5"/>
    <n v="72.5"/>
    <n v="173"/>
    <x v="1"/>
    <s v="PM10"/>
  </r>
  <r>
    <x v="86"/>
    <x v="2"/>
    <n v="61.1"/>
    <n v="162.4"/>
    <n v="55.9"/>
    <n v="10.37"/>
    <n v="19"/>
    <n v="0.05"/>
    <x v="105"/>
    <x v="171"/>
    <n v="4.17"/>
    <n v="101.8333333333333"/>
    <n v="162.4"/>
    <n v="69.874999999999986"/>
    <n v="25.925000000000001"/>
    <n v="47.5"/>
    <n v="2.5"/>
    <n v="162"/>
    <x v="1"/>
    <s v="PM10"/>
  </r>
  <r>
    <x v="86"/>
    <x v="3"/>
    <n v="81.3"/>
    <n v="145.80000000000001"/>
    <n v="52.6"/>
    <n v="5.22"/>
    <n v="36.700000000000003"/>
    <n v="2.2000000000000002"/>
    <x v="154"/>
    <x v="322"/>
    <n v="2.11"/>
    <n v="135.5"/>
    <n v="145.80000000000001"/>
    <n v="65.75"/>
    <n v="13.05"/>
    <n v="91.750000000000014"/>
    <n v="110"/>
    <n v="146"/>
    <x v="1"/>
    <s v="PM10"/>
  </r>
  <r>
    <x v="86"/>
    <x v="4"/>
    <n v="109.7"/>
    <n v="39.200000000000003"/>
    <n v="62.4"/>
    <n v="4.75"/>
    <n v="5.0999999999999996"/>
    <n v="1.46"/>
    <x v="166"/>
    <x v="53"/>
    <n v="1.2"/>
    <n v="182.83333333333329"/>
    <n v="39.200000000000003"/>
    <n v="78"/>
    <n v="11.875"/>
    <n v="12.75"/>
    <n v="73"/>
    <n v="183"/>
    <x v="1"/>
    <s v="PM2.5"/>
  </r>
  <r>
    <x v="87"/>
    <x v="0"/>
    <n v="65.8"/>
    <n v="132"/>
    <n v="64.400000000000006"/>
    <n v="14.66"/>
    <n v="44.3"/>
    <n v="2.66"/>
    <x v="102"/>
    <x v="36"/>
    <n v="0.56999999999999995"/>
    <n v="109.6666666666667"/>
    <n v="132"/>
    <n v="80.5"/>
    <n v="36.65"/>
    <n v="110.75"/>
    <n v="133"/>
    <n v="133"/>
    <x v="1"/>
    <s v="CO"/>
  </r>
  <r>
    <x v="87"/>
    <x v="1"/>
    <n v="65.2"/>
    <n v="124.8"/>
    <n v="80.3"/>
    <n v="12.89"/>
    <n v="13.1"/>
    <n v="1.63"/>
    <x v="211"/>
    <x v="323"/>
    <n v="3.57"/>
    <n v="108.6666666666667"/>
    <n v="124.8"/>
    <n v="100.375"/>
    <n v="32.225000000000001"/>
    <n v="32.75"/>
    <n v="81.499999999999986"/>
    <n v="125"/>
    <x v="1"/>
    <s v="PM10"/>
  </r>
  <r>
    <x v="87"/>
    <x v="2"/>
    <n v="78.7"/>
    <n v="117.4"/>
    <n v="50.1"/>
    <n v="13.54"/>
    <n v="6.3"/>
    <n v="0.94"/>
    <x v="230"/>
    <x v="324"/>
    <n v="3.98"/>
    <n v="131.16666666666671"/>
    <n v="117.4"/>
    <n v="62.625"/>
    <n v="33.85"/>
    <n v="15.75"/>
    <n v="47"/>
    <n v="131"/>
    <x v="1"/>
    <s v="PM2.5"/>
  </r>
  <r>
    <x v="87"/>
    <x v="3"/>
    <n v="42.1"/>
    <n v="5"/>
    <n v="36.799999999999997"/>
    <n v="12.57"/>
    <n v="53.4"/>
    <n v="1.46"/>
    <x v="97"/>
    <x v="166"/>
    <n v="3.12"/>
    <n v="70.166666666666671"/>
    <n v="5"/>
    <n v="46"/>
    <n v="31.425000000000001"/>
    <n v="133.5"/>
    <n v="73"/>
    <n v="134"/>
    <x v="1"/>
    <s v="O3"/>
  </r>
  <r>
    <x v="87"/>
    <x v="4"/>
    <n v="38.5"/>
    <n v="276.2"/>
    <n v="62.1"/>
    <n v="5.61"/>
    <n v="27.2"/>
    <n v="1.26"/>
    <x v="19"/>
    <x v="325"/>
    <n v="3.22"/>
    <n v="64.166666666666657"/>
    <n v="276.2"/>
    <n v="77.625"/>
    <n v="14.025"/>
    <n v="68"/>
    <n v="63"/>
    <n v="276"/>
    <x v="0"/>
    <s v="PM10"/>
  </r>
  <r>
    <x v="88"/>
    <x v="0"/>
    <n v="43.8"/>
    <n v="268.39999999999998"/>
    <n v="52.9"/>
    <n v="13.62"/>
    <n v="28.5"/>
    <n v="1.63"/>
    <x v="93"/>
    <x v="326"/>
    <n v="4.92"/>
    <n v="73"/>
    <n v="268.39999999999998"/>
    <n v="66.125"/>
    <n v="34.049999999999997"/>
    <n v="71.25"/>
    <n v="81.499999999999986"/>
    <n v="268"/>
    <x v="0"/>
    <s v="PM10"/>
  </r>
  <r>
    <x v="88"/>
    <x v="1"/>
    <n v="123.4"/>
    <n v="120.2"/>
    <n v="28.7"/>
    <n v="12.17"/>
    <n v="52.7"/>
    <n v="1.77"/>
    <x v="231"/>
    <x v="54"/>
    <n v="4.24"/>
    <n v="205.66666666666671"/>
    <n v="120.2"/>
    <n v="35.875"/>
    <n v="30.425000000000001"/>
    <n v="131.75"/>
    <n v="88.5"/>
    <n v="206"/>
    <x v="0"/>
    <s v="PM2.5"/>
  </r>
  <r>
    <x v="88"/>
    <x v="2"/>
    <n v="73.2"/>
    <n v="54.2"/>
    <n v="68.599999999999994"/>
    <n v="15.39"/>
    <n v="112.9"/>
    <n v="0.5"/>
    <x v="148"/>
    <x v="257"/>
    <n v="3.16"/>
    <n v="122"/>
    <n v="54.2"/>
    <n v="85.75"/>
    <n v="38.475000000000001"/>
    <n v="282.25"/>
    <n v="25"/>
    <n v="282"/>
    <x v="0"/>
    <s v="O3"/>
  </r>
  <r>
    <x v="88"/>
    <x v="3"/>
    <n v="43.6"/>
    <n v="235.4"/>
    <n v="29.5"/>
    <n v="0.5"/>
    <n v="28.2"/>
    <n v="0.05"/>
    <x v="113"/>
    <x v="327"/>
    <n v="2.5299999999999998"/>
    <n v="72.666666666666671"/>
    <n v="235.4"/>
    <n v="36.875"/>
    <n v="1.25"/>
    <n v="70.5"/>
    <n v="2.5"/>
    <n v="235"/>
    <x v="0"/>
    <s v="PM10"/>
  </r>
  <r>
    <x v="88"/>
    <x v="4"/>
    <n v="2"/>
    <n v="110.9"/>
    <n v="85.7"/>
    <n v="10.78"/>
    <n v="20.3"/>
    <n v="1.3"/>
    <x v="123"/>
    <x v="328"/>
    <n v="1.36"/>
    <n v="3.333333333333333"/>
    <n v="110.9"/>
    <n v="107.125"/>
    <n v="26.95"/>
    <n v="50.75"/>
    <n v="65"/>
    <n v="111"/>
    <x v="1"/>
    <s v="PM10"/>
  </r>
  <r>
    <x v="89"/>
    <x v="0"/>
    <n v="89.4"/>
    <n v="5"/>
    <n v="37.299999999999997"/>
    <n v="6.39"/>
    <n v="64.2"/>
    <n v="1.4"/>
    <x v="193"/>
    <x v="306"/>
    <n v="2.74"/>
    <n v="149"/>
    <n v="5"/>
    <n v="46.625"/>
    <n v="15.975"/>
    <n v="160.5"/>
    <n v="69.999999999999986"/>
    <n v="160"/>
    <x v="1"/>
    <s v="O3"/>
  </r>
  <r>
    <x v="89"/>
    <x v="1"/>
    <n v="72"/>
    <n v="106.6"/>
    <n v="44.2"/>
    <n v="14.35"/>
    <n v="33.799999999999997"/>
    <n v="1.43"/>
    <x v="232"/>
    <x v="329"/>
    <n v="0.28000000000000003"/>
    <n v="120"/>
    <n v="106.6"/>
    <n v="55.25"/>
    <n v="35.875"/>
    <n v="84.499999999999986"/>
    <n v="71.5"/>
    <n v="120"/>
    <x v="1"/>
    <s v="PM2.5"/>
  </r>
  <r>
    <x v="89"/>
    <x v="2"/>
    <n v="79.3"/>
    <n v="75.3"/>
    <n v="36.700000000000003"/>
    <n v="3.89"/>
    <n v="31.8"/>
    <n v="2.0499999999999998"/>
    <x v="139"/>
    <x v="330"/>
    <n v="0.8"/>
    <n v="132.16666666666671"/>
    <n v="75.3"/>
    <n v="45.875000000000007"/>
    <n v="9.7250000000000014"/>
    <n v="79.5"/>
    <n v="102.5"/>
    <n v="132"/>
    <x v="1"/>
    <s v="PM2.5"/>
  </r>
  <r>
    <x v="89"/>
    <x v="3"/>
    <n v="25.5"/>
    <n v="5"/>
    <n v="28.8"/>
    <n v="12.78"/>
    <n v="52.9"/>
    <n v="1.07"/>
    <x v="22"/>
    <x v="331"/>
    <n v="2.75"/>
    <n v="42.5"/>
    <n v="5"/>
    <n v="36.000000000000007"/>
    <n v="31.95"/>
    <n v="132.25"/>
    <n v="53.500000000000007"/>
    <n v="132"/>
    <x v="1"/>
    <s v="O3"/>
  </r>
  <r>
    <x v="89"/>
    <x v="4"/>
    <n v="91.3"/>
    <n v="25.4"/>
    <n v="56.1"/>
    <n v="13.93"/>
    <n v="32.6"/>
    <n v="1.78"/>
    <x v="233"/>
    <x v="332"/>
    <n v="3.47"/>
    <n v="152.16666666666671"/>
    <n v="25.4"/>
    <n v="70.125"/>
    <n v="34.825000000000003"/>
    <n v="81.5"/>
    <n v="89"/>
    <n v="152"/>
    <x v="1"/>
    <s v="PM2.5"/>
  </r>
  <r>
    <x v="90"/>
    <x v="0"/>
    <n v="43.5"/>
    <n v="150.5"/>
    <n v="62.3"/>
    <n v="10.32"/>
    <n v="16.7"/>
    <n v="1.52"/>
    <x v="217"/>
    <x v="182"/>
    <n v="3.65"/>
    <n v="72.5"/>
    <n v="150.5"/>
    <n v="77.875"/>
    <n v="25.8"/>
    <n v="41.749999999999993"/>
    <n v="76"/>
    <n v="150"/>
    <x v="1"/>
    <s v="PM10"/>
  </r>
  <r>
    <x v="90"/>
    <x v="1"/>
    <n v="66.099999999999994"/>
    <n v="206.2"/>
    <n v="63.2"/>
    <n v="4.0599999999999996"/>
    <n v="60"/>
    <n v="0.76"/>
    <x v="8"/>
    <x v="214"/>
    <n v="2.86"/>
    <n v="110.1666666666667"/>
    <n v="206.2"/>
    <n v="79"/>
    <n v="10.15"/>
    <n v="150"/>
    <n v="38"/>
    <n v="206"/>
    <x v="0"/>
    <s v="PM10"/>
  </r>
  <r>
    <x v="90"/>
    <x v="2"/>
    <n v="23.1"/>
    <n v="174.1"/>
    <n v="53.6"/>
    <n v="4.25"/>
    <n v="1.5"/>
    <n v="1.06"/>
    <x v="51"/>
    <x v="275"/>
    <n v="2.06"/>
    <n v="38.5"/>
    <n v="174.1"/>
    <n v="67"/>
    <n v="10.625"/>
    <n v="3.75"/>
    <n v="53.000000000000007"/>
    <n v="174"/>
    <x v="1"/>
    <s v="PM10"/>
  </r>
  <r>
    <x v="90"/>
    <x v="3"/>
    <n v="2"/>
    <n v="96.7"/>
    <n v="38.9"/>
    <n v="11.17"/>
    <n v="22.5"/>
    <n v="2.21"/>
    <x v="234"/>
    <x v="142"/>
    <n v="2.23"/>
    <n v="3.333333333333333"/>
    <n v="96.7"/>
    <n v="48.625"/>
    <n v="27.925000000000001"/>
    <n v="56.25"/>
    <n v="110.5"/>
    <n v="110"/>
    <x v="1"/>
    <s v="CO"/>
  </r>
  <r>
    <x v="90"/>
    <x v="4"/>
    <n v="94.4"/>
    <n v="137.30000000000001"/>
    <n v="74.599999999999994"/>
    <n v="6.67"/>
    <n v="13.8"/>
    <n v="2.2599999999999998"/>
    <x v="32"/>
    <x v="279"/>
    <n v="4.4800000000000004"/>
    <n v="157.33333333333329"/>
    <n v="137.30000000000001"/>
    <n v="93.25"/>
    <n v="16.675000000000001"/>
    <n v="34.5"/>
    <n v="113"/>
    <n v="157"/>
    <x v="1"/>
    <s v="PM2.5"/>
  </r>
  <r>
    <x v="91"/>
    <x v="0"/>
    <n v="33.4"/>
    <n v="179.1"/>
    <n v="38.200000000000003"/>
    <n v="8.44"/>
    <n v="48.1"/>
    <n v="0.34"/>
    <x v="29"/>
    <x v="333"/>
    <n v="3.56"/>
    <n v="55.666666666666657"/>
    <n v="179.1"/>
    <n v="47.75"/>
    <n v="21.1"/>
    <n v="120.25"/>
    <n v="17"/>
    <n v="179"/>
    <x v="1"/>
    <s v="PM10"/>
  </r>
  <r>
    <x v="91"/>
    <x v="1"/>
    <n v="72.7"/>
    <n v="168.2"/>
    <n v="48.9"/>
    <n v="18.48"/>
    <n v="43.7"/>
    <n v="1.67"/>
    <x v="188"/>
    <x v="83"/>
    <n v="4.37"/>
    <n v="121.1666666666667"/>
    <n v="168.2"/>
    <n v="61.125"/>
    <n v="46.2"/>
    <n v="109.25"/>
    <n v="83.499999999999986"/>
    <n v="168"/>
    <x v="1"/>
    <s v="PM10"/>
  </r>
  <r>
    <x v="91"/>
    <x v="2"/>
    <n v="13.4"/>
    <n v="206.9"/>
    <n v="35.700000000000003"/>
    <n v="6.45"/>
    <n v="1"/>
    <n v="0.88"/>
    <x v="227"/>
    <x v="334"/>
    <n v="2.34"/>
    <n v="22.333333333333329"/>
    <n v="206.9"/>
    <n v="44.625000000000007"/>
    <n v="16.125"/>
    <n v="2.5"/>
    <n v="44"/>
    <n v="207"/>
    <x v="0"/>
    <s v="PM10"/>
  </r>
  <r>
    <x v="91"/>
    <x v="3"/>
    <n v="88.7"/>
    <n v="132.5"/>
    <n v="51.2"/>
    <n v="2.52"/>
    <n v="18"/>
    <n v="2.2799999999999998"/>
    <x v="107"/>
    <x v="335"/>
    <n v="2.21"/>
    <n v="147.83333333333329"/>
    <n v="132.5"/>
    <n v="64"/>
    <n v="6.3"/>
    <n v="45"/>
    <n v="114"/>
    <n v="148"/>
    <x v="1"/>
    <s v="PM2.5"/>
  </r>
  <r>
    <x v="91"/>
    <x v="4"/>
    <n v="66.099999999999994"/>
    <n v="202.6"/>
    <n v="77.5"/>
    <n v="8.19"/>
    <n v="33.299999999999997"/>
    <n v="1.28"/>
    <x v="126"/>
    <x v="336"/>
    <n v="3.01"/>
    <n v="110.1666666666667"/>
    <n v="202.6"/>
    <n v="96.875"/>
    <n v="20.475000000000001"/>
    <n v="83.249999999999986"/>
    <n v="64"/>
    <n v="203"/>
    <x v="0"/>
    <s v="PM10"/>
  </r>
  <r>
    <x v="92"/>
    <x v="0"/>
    <n v="90.4"/>
    <n v="251"/>
    <n v="60.5"/>
    <n v="10.99"/>
    <n v="2.2999999999999998"/>
    <n v="0.05"/>
    <x v="235"/>
    <x v="202"/>
    <n v="1.88"/>
    <n v="150.66666666666671"/>
    <n v="251"/>
    <n v="75.625"/>
    <n v="27.475000000000001"/>
    <n v="5.75"/>
    <n v="2.5"/>
    <n v="251"/>
    <x v="0"/>
    <s v="PM10"/>
  </r>
  <r>
    <x v="92"/>
    <x v="1"/>
    <n v="84.1"/>
    <n v="145.5"/>
    <n v="84.4"/>
    <n v="10.54"/>
    <n v="26.7"/>
    <n v="2.2400000000000002"/>
    <x v="111"/>
    <x v="135"/>
    <n v="1.93"/>
    <n v="140.16666666666671"/>
    <n v="145.5"/>
    <n v="105.5"/>
    <n v="26.35"/>
    <n v="66.75"/>
    <n v="112"/>
    <n v="146"/>
    <x v="1"/>
    <s v="PM10"/>
  </r>
  <r>
    <x v="92"/>
    <x v="2"/>
    <n v="38.5"/>
    <n v="118.8"/>
    <n v="43"/>
    <n v="9.8800000000000008"/>
    <n v="31.6"/>
    <n v="0.09"/>
    <x v="213"/>
    <x v="114"/>
    <n v="2.14"/>
    <n v="64.166666666666657"/>
    <n v="118.8"/>
    <n v="53.75"/>
    <n v="24.7"/>
    <n v="79"/>
    <n v="4.5"/>
    <n v="119"/>
    <x v="1"/>
    <s v="PM10"/>
  </r>
  <r>
    <x v="92"/>
    <x v="3"/>
    <n v="52.6"/>
    <n v="179.2"/>
    <n v="30.8"/>
    <n v="0.5"/>
    <n v="36"/>
    <n v="0.91"/>
    <x v="71"/>
    <x v="337"/>
    <n v="3.09"/>
    <n v="87.666666666666671"/>
    <n v="179.2"/>
    <n v="38.5"/>
    <n v="1.25"/>
    <n v="90"/>
    <n v="45.5"/>
    <n v="179"/>
    <x v="1"/>
    <s v="PM10"/>
  </r>
  <r>
    <x v="92"/>
    <x v="4"/>
    <n v="65.7"/>
    <n v="152.30000000000001"/>
    <n v="89.4"/>
    <n v="6.91"/>
    <n v="51.7"/>
    <n v="0.98"/>
    <x v="10"/>
    <x v="338"/>
    <n v="2.4300000000000002"/>
    <n v="109.5"/>
    <n v="152.30000000000001"/>
    <n v="111.75"/>
    <n v="17.274999999999999"/>
    <n v="129.25"/>
    <n v="49"/>
    <n v="152"/>
    <x v="1"/>
    <s v="PM10"/>
  </r>
  <r>
    <x v="93"/>
    <x v="0"/>
    <n v="81.400000000000006"/>
    <n v="300.10000000000002"/>
    <n v="35.299999999999997"/>
    <n v="6.8"/>
    <n v="44.2"/>
    <n v="1.65"/>
    <x v="173"/>
    <x v="339"/>
    <n v="0.2"/>
    <n v="135.66666666666671"/>
    <n v="300.10000000000002"/>
    <n v="44.125"/>
    <n v="17"/>
    <n v="110.5"/>
    <n v="82.499999999999986"/>
    <n v="300"/>
    <x v="0"/>
    <s v="PM10"/>
  </r>
  <r>
    <x v="93"/>
    <x v="1"/>
    <n v="2"/>
    <n v="112.8"/>
    <n v="83.7"/>
    <n v="0.5"/>
    <n v="1"/>
    <n v="1.93"/>
    <x v="211"/>
    <x v="198"/>
    <n v="1.32"/>
    <n v="3.333333333333333"/>
    <n v="112.8"/>
    <n v="104.625"/>
    <n v="1.25"/>
    <n v="2.5"/>
    <n v="96.5"/>
    <n v="113"/>
    <x v="1"/>
    <s v="PM10"/>
  </r>
  <r>
    <x v="93"/>
    <x v="2"/>
    <n v="29.4"/>
    <n v="120.3"/>
    <n v="30.9"/>
    <n v="9.9499999999999993"/>
    <n v="1"/>
    <n v="0.65"/>
    <x v="67"/>
    <x v="340"/>
    <n v="1.85"/>
    <n v="48.999999999999993"/>
    <n v="120.3"/>
    <n v="38.625"/>
    <n v="24.875"/>
    <n v="2.5"/>
    <n v="32.5"/>
    <n v="120"/>
    <x v="1"/>
    <s v="PM10"/>
  </r>
  <r>
    <x v="93"/>
    <x v="3"/>
    <n v="83.9"/>
    <n v="8.4"/>
    <n v="45.9"/>
    <n v="10.79"/>
    <n v="86.4"/>
    <n v="0.91"/>
    <x v="113"/>
    <x v="341"/>
    <n v="0.2"/>
    <n v="139.83333333333329"/>
    <n v="8.4"/>
    <n v="57.374999999999993"/>
    <n v="26.975000000000001"/>
    <n v="216"/>
    <n v="45.5"/>
    <n v="216"/>
    <x v="0"/>
    <s v="O3"/>
  </r>
  <r>
    <x v="93"/>
    <x v="4"/>
    <n v="93.9"/>
    <n v="131.6"/>
    <n v="75.400000000000006"/>
    <n v="1.25"/>
    <n v="58.3"/>
    <n v="2.5499999999999998"/>
    <x v="236"/>
    <x v="140"/>
    <n v="3.01"/>
    <n v="156.5"/>
    <n v="131.6"/>
    <n v="94.25"/>
    <n v="3.125"/>
    <n v="145.75"/>
    <n v="127.5"/>
    <n v="156"/>
    <x v="1"/>
    <s v="PM2.5"/>
  </r>
  <r>
    <x v="94"/>
    <x v="0"/>
    <n v="14.8"/>
    <n v="231.5"/>
    <n v="37.700000000000003"/>
    <n v="12.1"/>
    <n v="1.1000000000000001"/>
    <n v="0.56999999999999995"/>
    <x v="62"/>
    <x v="56"/>
    <n v="4.24"/>
    <n v="24.666666666666671"/>
    <n v="231.5"/>
    <n v="47.125"/>
    <n v="30.25"/>
    <n v="2.75"/>
    <n v="28.5"/>
    <n v="232"/>
    <x v="0"/>
    <s v="PM10"/>
  </r>
  <r>
    <x v="94"/>
    <x v="1"/>
    <n v="72.099999999999994"/>
    <n v="11.9"/>
    <n v="78.599999999999994"/>
    <n v="6.31"/>
    <n v="71.8"/>
    <n v="1.52"/>
    <x v="237"/>
    <x v="342"/>
    <n v="5.14"/>
    <n v="120.1666666666667"/>
    <n v="11.9"/>
    <n v="98.249999999999986"/>
    <n v="15.775"/>
    <n v="179.5"/>
    <n v="76"/>
    <n v="180"/>
    <x v="1"/>
    <s v="O3"/>
  </r>
  <r>
    <x v="94"/>
    <x v="2"/>
    <n v="71.099999999999994"/>
    <n v="110.7"/>
    <n v="63.2"/>
    <n v="8.6"/>
    <n v="43"/>
    <n v="0.52"/>
    <x v="238"/>
    <x v="63"/>
    <n v="1.5"/>
    <n v="118.5"/>
    <n v="110.7"/>
    <n v="79"/>
    <n v="21.5"/>
    <n v="107.5"/>
    <n v="26"/>
    <n v="118"/>
    <x v="1"/>
    <s v="PM2.5"/>
  </r>
  <r>
    <x v="94"/>
    <x v="3"/>
    <n v="102.7"/>
    <n v="114.5"/>
    <n v="27.2"/>
    <n v="12.99"/>
    <n v="32.799999999999997"/>
    <n v="1.66"/>
    <x v="185"/>
    <x v="343"/>
    <n v="3.09"/>
    <n v="171.16666666666671"/>
    <n v="114.5"/>
    <n v="34"/>
    <n v="32.475000000000001"/>
    <n v="81.999999999999986"/>
    <n v="82.999999999999986"/>
    <n v="171"/>
    <x v="1"/>
    <s v="PM2.5"/>
  </r>
  <r>
    <x v="94"/>
    <x v="4"/>
    <n v="75.599999999999994"/>
    <n v="5"/>
    <n v="24.8"/>
    <n v="13.91"/>
    <n v="40.4"/>
    <n v="0.97"/>
    <x v="47"/>
    <x v="344"/>
    <n v="0.56999999999999995"/>
    <n v="126"/>
    <n v="5"/>
    <n v="31"/>
    <n v="34.774999999999999"/>
    <n v="101"/>
    <n v="48.5"/>
    <n v="126"/>
    <x v="1"/>
    <s v="PM2.5"/>
  </r>
  <r>
    <x v="95"/>
    <x v="0"/>
    <n v="65.5"/>
    <n v="96.7"/>
    <n v="29.5"/>
    <n v="8.81"/>
    <n v="56.5"/>
    <n v="2.82"/>
    <x v="91"/>
    <x v="97"/>
    <n v="3.67"/>
    <n v="109.1666666666667"/>
    <n v="96.7"/>
    <n v="36.875"/>
    <n v="22.024999999999999"/>
    <n v="141.25"/>
    <n v="141"/>
    <n v="141"/>
    <x v="1"/>
    <s v="O3"/>
  </r>
  <r>
    <x v="95"/>
    <x v="1"/>
    <n v="45.8"/>
    <n v="165.2"/>
    <n v="44.8"/>
    <n v="11.16"/>
    <n v="97.2"/>
    <n v="1.95"/>
    <x v="150"/>
    <x v="123"/>
    <n v="0.72"/>
    <n v="76.333333333333329"/>
    <n v="165.2"/>
    <n v="55.999999999999993"/>
    <n v="27.9"/>
    <n v="243"/>
    <n v="97.5"/>
    <n v="243"/>
    <x v="0"/>
    <s v="O3"/>
  </r>
  <r>
    <x v="95"/>
    <x v="2"/>
    <n v="51.1"/>
    <n v="182.8"/>
    <n v="13.7"/>
    <n v="2.59"/>
    <n v="41"/>
    <n v="0.57999999999999996"/>
    <x v="29"/>
    <x v="345"/>
    <n v="0.86"/>
    <n v="85.166666666666671"/>
    <n v="182.8"/>
    <n v="17.125"/>
    <n v="6.4749999999999996"/>
    <n v="102.5"/>
    <n v="29"/>
    <n v="183"/>
    <x v="1"/>
    <s v="PM10"/>
  </r>
  <r>
    <x v="95"/>
    <x v="3"/>
    <n v="30.8"/>
    <n v="162.19999999999999"/>
    <n v="18.899999999999999"/>
    <n v="0.5"/>
    <n v="24.2"/>
    <n v="1.64"/>
    <x v="102"/>
    <x v="246"/>
    <n v="2.5499999999999998"/>
    <n v="51.333333333333343"/>
    <n v="162.19999999999999"/>
    <n v="23.625"/>
    <n v="1.25"/>
    <n v="60.5"/>
    <n v="81.999999999999986"/>
    <n v="162"/>
    <x v="1"/>
    <s v="PM10"/>
  </r>
  <r>
    <x v="95"/>
    <x v="4"/>
    <n v="8.4"/>
    <n v="164.7"/>
    <n v="57.9"/>
    <n v="6.55"/>
    <n v="71.7"/>
    <n v="0.57999999999999996"/>
    <x v="194"/>
    <x v="144"/>
    <n v="2.6"/>
    <n v="14"/>
    <n v="164.7"/>
    <n v="72.375"/>
    <n v="16.375"/>
    <n v="179.25"/>
    <n v="29"/>
    <n v="179"/>
    <x v="1"/>
    <s v="O3"/>
  </r>
  <r>
    <x v="96"/>
    <x v="0"/>
    <n v="68.3"/>
    <n v="130.6"/>
    <n v="79.8"/>
    <n v="3.01"/>
    <n v="24.1"/>
    <n v="2.1"/>
    <x v="104"/>
    <x v="16"/>
    <n v="4.54"/>
    <n v="113.8333333333333"/>
    <n v="130.6"/>
    <n v="99.749999999999986"/>
    <n v="7.5249999999999986"/>
    <n v="60.250000000000007"/>
    <n v="105"/>
    <n v="131"/>
    <x v="1"/>
    <s v="PM10"/>
  </r>
  <r>
    <x v="96"/>
    <x v="1"/>
    <n v="59.9"/>
    <n v="201.1"/>
    <n v="27.4"/>
    <n v="14.72"/>
    <n v="56.2"/>
    <n v="1.85"/>
    <x v="96"/>
    <x v="346"/>
    <n v="3.1"/>
    <n v="99.833333333333329"/>
    <n v="201.1"/>
    <n v="34.249999999999993"/>
    <n v="36.799999999999997"/>
    <n v="140.5"/>
    <n v="92.5"/>
    <n v="201"/>
    <x v="0"/>
    <s v="PM10"/>
  </r>
  <r>
    <x v="96"/>
    <x v="2"/>
    <n v="2"/>
    <n v="95.9"/>
    <n v="60.6"/>
    <n v="8.51"/>
    <n v="84.3"/>
    <n v="1.72"/>
    <x v="59"/>
    <x v="9"/>
    <n v="2.44"/>
    <n v="3.333333333333333"/>
    <n v="95.9"/>
    <n v="75.75"/>
    <n v="21.274999999999999"/>
    <n v="210.75"/>
    <n v="86"/>
    <n v="211"/>
    <x v="0"/>
    <s v="O3"/>
  </r>
  <r>
    <x v="96"/>
    <x v="3"/>
    <n v="12.5"/>
    <n v="63.6"/>
    <n v="33.799999999999997"/>
    <n v="0.5"/>
    <n v="41.2"/>
    <n v="1.05"/>
    <x v="174"/>
    <x v="31"/>
    <n v="3.36"/>
    <n v="20.833333333333329"/>
    <n v="63.6"/>
    <n v="42.249999999999993"/>
    <n v="1.25"/>
    <n v="103"/>
    <n v="52.500000000000007"/>
    <n v="103"/>
    <x v="1"/>
    <s v="O3"/>
  </r>
  <r>
    <x v="96"/>
    <x v="4"/>
    <n v="73.5"/>
    <n v="110.6"/>
    <n v="62.5"/>
    <n v="12.54"/>
    <n v="52.5"/>
    <n v="0.78"/>
    <x v="170"/>
    <x v="106"/>
    <n v="2.2799999999999998"/>
    <n v="122.5"/>
    <n v="110.6"/>
    <n v="78.125"/>
    <n v="31.349999999999991"/>
    <n v="131.25"/>
    <n v="39"/>
    <n v="131"/>
    <x v="1"/>
    <s v="O3"/>
  </r>
  <r>
    <x v="97"/>
    <x v="0"/>
    <n v="141.4"/>
    <n v="101.7"/>
    <n v="52.5"/>
    <n v="5.33"/>
    <n v="52.4"/>
    <n v="0.18"/>
    <x v="32"/>
    <x v="289"/>
    <n v="2.66"/>
    <n v="235.66666666666671"/>
    <n v="101.7"/>
    <n v="65.625"/>
    <n v="13.324999999999999"/>
    <n v="131"/>
    <n v="9"/>
    <n v="236"/>
    <x v="0"/>
    <s v="PM2.5"/>
  </r>
  <r>
    <x v="97"/>
    <x v="1"/>
    <n v="112.3"/>
    <n v="198.5"/>
    <n v="2"/>
    <n v="22.76"/>
    <n v="59.2"/>
    <n v="0.92"/>
    <x v="14"/>
    <x v="126"/>
    <n v="1.7"/>
    <n v="187.16666666666671"/>
    <n v="198.5"/>
    <n v="2.5"/>
    <n v="56.900000000000013"/>
    <n v="148"/>
    <n v="46"/>
    <n v="198"/>
    <x v="1"/>
    <s v="PM10"/>
  </r>
  <r>
    <x v="97"/>
    <x v="2"/>
    <n v="62.6"/>
    <n v="79.400000000000006"/>
    <n v="35.1"/>
    <n v="4.34"/>
    <n v="4"/>
    <n v="1.22"/>
    <x v="166"/>
    <x v="347"/>
    <n v="3.48"/>
    <n v="104.3333333333333"/>
    <n v="79.400000000000006"/>
    <n v="43.875000000000007"/>
    <n v="10.85"/>
    <n v="10"/>
    <n v="61"/>
    <n v="104"/>
    <x v="1"/>
    <s v="PM2.5"/>
  </r>
  <r>
    <x v="97"/>
    <x v="3"/>
    <n v="69.7"/>
    <n v="88"/>
    <n v="61.8"/>
    <n v="1.21"/>
    <n v="17.5"/>
    <n v="0.62"/>
    <x v="239"/>
    <x v="232"/>
    <n v="3.08"/>
    <n v="116.1666666666667"/>
    <n v="88"/>
    <n v="77.25"/>
    <n v="3.0249999999999999"/>
    <n v="43.75"/>
    <n v="31"/>
    <n v="116"/>
    <x v="1"/>
    <s v="PM2.5"/>
  </r>
  <r>
    <x v="97"/>
    <x v="4"/>
    <n v="101.4"/>
    <n v="74"/>
    <n v="57.2"/>
    <n v="8.11"/>
    <n v="67.3"/>
    <n v="1.24"/>
    <x v="52"/>
    <x v="196"/>
    <n v="4.05"/>
    <n v="169"/>
    <n v="74"/>
    <n v="71.500000000000014"/>
    <n v="20.274999999999999"/>
    <n v="168.25"/>
    <n v="62"/>
    <n v="169"/>
    <x v="1"/>
    <s v="PM2.5"/>
  </r>
  <r>
    <x v="98"/>
    <x v="0"/>
    <n v="45.9"/>
    <n v="133.80000000000001"/>
    <n v="27.4"/>
    <n v="0.5"/>
    <n v="51.8"/>
    <n v="1.8"/>
    <x v="173"/>
    <x v="348"/>
    <n v="2.08"/>
    <n v="76.5"/>
    <n v="133.80000000000001"/>
    <n v="34.249999999999993"/>
    <n v="1.25"/>
    <n v="129.5"/>
    <n v="90"/>
    <n v="134"/>
    <x v="1"/>
    <s v="PM10"/>
  </r>
  <r>
    <x v="98"/>
    <x v="1"/>
    <n v="2"/>
    <n v="252.7"/>
    <n v="29.1"/>
    <n v="17.850000000000001"/>
    <n v="79.599999999999994"/>
    <n v="0.82"/>
    <x v="67"/>
    <x v="58"/>
    <n v="1.49"/>
    <n v="3.333333333333333"/>
    <n v="252.7"/>
    <n v="36.375000000000007"/>
    <n v="44.625000000000007"/>
    <n v="199"/>
    <n v="40.999999999999993"/>
    <n v="253"/>
    <x v="0"/>
    <s v="PM10"/>
  </r>
  <r>
    <x v="98"/>
    <x v="2"/>
    <n v="59.9"/>
    <n v="86.5"/>
    <n v="8.9"/>
    <n v="0.5"/>
    <n v="43.4"/>
    <n v="0.82"/>
    <x v="78"/>
    <x v="136"/>
    <n v="3.91"/>
    <n v="99.833333333333329"/>
    <n v="86.5"/>
    <n v="11.125"/>
    <n v="1.25"/>
    <n v="108.5"/>
    <n v="40.999999999999993"/>
    <n v="108"/>
    <x v="1"/>
    <s v="O3"/>
  </r>
  <r>
    <x v="98"/>
    <x v="3"/>
    <n v="51.8"/>
    <n v="99.6"/>
    <n v="55"/>
    <n v="1.22"/>
    <n v="45.6"/>
    <n v="1.53"/>
    <x v="39"/>
    <x v="349"/>
    <n v="1.59"/>
    <n v="86.333333333333329"/>
    <n v="99.6"/>
    <n v="68.75"/>
    <n v="3.05"/>
    <n v="114"/>
    <n v="76.5"/>
    <n v="114"/>
    <x v="1"/>
    <s v="O3"/>
  </r>
  <r>
    <x v="98"/>
    <x v="4"/>
    <n v="37"/>
    <n v="138.6"/>
    <n v="60.1"/>
    <n v="17.03"/>
    <n v="30.4"/>
    <n v="0.99"/>
    <x v="188"/>
    <x v="255"/>
    <n v="4.5199999999999996"/>
    <n v="61.666666666666671"/>
    <n v="138.6"/>
    <n v="75.125"/>
    <n v="42.575000000000003"/>
    <n v="76"/>
    <n v="49.5"/>
    <n v="139"/>
    <x v="1"/>
    <s v="PM10"/>
  </r>
  <r>
    <x v="99"/>
    <x v="0"/>
    <n v="79"/>
    <n v="58.2"/>
    <n v="21.1"/>
    <n v="0.5"/>
    <n v="65"/>
    <n v="2.2000000000000002"/>
    <x v="240"/>
    <x v="350"/>
    <n v="3.9"/>
    <n v="131.66666666666671"/>
    <n v="58.2"/>
    <n v="26.375"/>
    <n v="1.25"/>
    <n v="162.5"/>
    <n v="110"/>
    <n v="162"/>
    <x v="1"/>
    <s v="O3"/>
  </r>
  <r>
    <x v="99"/>
    <x v="1"/>
    <n v="53.2"/>
    <n v="63.3"/>
    <n v="77.5"/>
    <n v="12.61"/>
    <n v="53.4"/>
    <n v="1.79"/>
    <x v="113"/>
    <x v="339"/>
    <n v="4.05"/>
    <n v="88.666666666666671"/>
    <n v="63.3"/>
    <n v="96.875"/>
    <n v="31.524999999999999"/>
    <n v="133.5"/>
    <n v="89.5"/>
    <n v="134"/>
    <x v="1"/>
    <s v="O3"/>
  </r>
  <r>
    <x v="99"/>
    <x v="2"/>
    <n v="72.5"/>
    <n v="162.19999999999999"/>
    <n v="52.5"/>
    <n v="5.41"/>
    <n v="56"/>
    <n v="0.35"/>
    <x v="241"/>
    <x v="351"/>
    <n v="2.84"/>
    <n v="120.8333333333333"/>
    <n v="162.19999999999999"/>
    <n v="65.625"/>
    <n v="13.525"/>
    <n v="140"/>
    <n v="17.5"/>
    <n v="162"/>
    <x v="1"/>
    <s v="PM10"/>
  </r>
  <r>
    <x v="99"/>
    <x v="3"/>
    <n v="34.6"/>
    <n v="153.19999999999999"/>
    <n v="44.3"/>
    <n v="0.5"/>
    <n v="50.5"/>
    <n v="0.85"/>
    <x v="242"/>
    <x v="352"/>
    <n v="2.97"/>
    <n v="57.666666666666671"/>
    <n v="153.19999999999999"/>
    <n v="55.374999999999993"/>
    <n v="1.25"/>
    <n v="126.25"/>
    <n v="42.499999999999993"/>
    <n v="153"/>
    <x v="1"/>
    <s v="PM10"/>
  </r>
  <r>
    <x v="99"/>
    <x v="4"/>
    <n v="34.4"/>
    <n v="93.1"/>
    <n v="39.4"/>
    <n v="13.51"/>
    <n v="90.1"/>
    <n v="0.79"/>
    <x v="243"/>
    <x v="353"/>
    <n v="1.57"/>
    <n v="57.333333333333343"/>
    <n v="93.1"/>
    <n v="49.249999999999993"/>
    <n v="33.774999999999999"/>
    <n v="225.25"/>
    <n v="39.5"/>
    <n v="225"/>
    <x v="0"/>
    <s v="O3"/>
  </r>
  <r>
    <x v="100"/>
    <x v="0"/>
    <n v="35.9"/>
    <n v="44.7"/>
    <n v="15.3"/>
    <n v="11.57"/>
    <n v="39.799999999999997"/>
    <n v="1.64"/>
    <x v="39"/>
    <x v="354"/>
    <n v="3.29"/>
    <n v="59.833333333333329"/>
    <n v="44.7"/>
    <n v="19.125"/>
    <n v="28.925000000000001"/>
    <n v="99.499999999999986"/>
    <n v="81.999999999999986"/>
    <n v="99"/>
    <x v="3"/>
    <s v="O3"/>
  </r>
  <r>
    <x v="100"/>
    <x v="1"/>
    <n v="72.400000000000006"/>
    <n v="61"/>
    <n v="82.7"/>
    <n v="6.32"/>
    <n v="20.8"/>
    <n v="1.37"/>
    <x v="36"/>
    <x v="17"/>
    <n v="2.91"/>
    <n v="120.6666666666667"/>
    <n v="61"/>
    <n v="103.375"/>
    <n v="15.8"/>
    <n v="52.000000000000007"/>
    <n v="68.5"/>
    <n v="121"/>
    <x v="1"/>
    <s v="PM2.5"/>
  </r>
  <r>
    <x v="100"/>
    <x v="2"/>
    <n v="66.900000000000006"/>
    <n v="62.8"/>
    <n v="33.5"/>
    <n v="12.7"/>
    <n v="49.8"/>
    <n v="2.3199999999999998"/>
    <x v="119"/>
    <x v="13"/>
    <n v="0.83"/>
    <n v="111.5"/>
    <n v="62.8"/>
    <n v="41.875"/>
    <n v="31.75"/>
    <n v="124.5"/>
    <n v="116"/>
    <n v="124"/>
    <x v="1"/>
    <s v="O3"/>
  </r>
  <r>
    <x v="100"/>
    <x v="3"/>
    <n v="82.9"/>
    <n v="116.8"/>
    <n v="34"/>
    <n v="8.84"/>
    <n v="63.6"/>
    <n v="1.5"/>
    <x v="51"/>
    <x v="163"/>
    <n v="1.73"/>
    <n v="138.16666666666671"/>
    <n v="116.8"/>
    <n v="42.5"/>
    <n v="22.1"/>
    <n v="159"/>
    <n v="75"/>
    <n v="159"/>
    <x v="1"/>
    <s v="O3"/>
  </r>
  <r>
    <x v="100"/>
    <x v="4"/>
    <n v="73.2"/>
    <n v="112"/>
    <n v="44.7"/>
    <n v="13.01"/>
    <n v="15.4"/>
    <n v="2.6"/>
    <x v="244"/>
    <x v="355"/>
    <n v="3.44"/>
    <n v="122"/>
    <n v="112"/>
    <n v="55.875"/>
    <n v="32.524999999999999"/>
    <n v="38.5"/>
    <n v="130"/>
    <n v="130"/>
    <x v="1"/>
    <s v="CO"/>
  </r>
  <r>
    <x v="101"/>
    <x v="0"/>
    <n v="89.2"/>
    <n v="131.1"/>
    <n v="50.4"/>
    <n v="11.56"/>
    <n v="39.4"/>
    <n v="2.34"/>
    <x v="245"/>
    <x v="356"/>
    <n v="1.34"/>
    <n v="148.66666666666671"/>
    <n v="131.1"/>
    <n v="63"/>
    <n v="28.9"/>
    <n v="98.499999999999986"/>
    <n v="117"/>
    <n v="149"/>
    <x v="1"/>
    <s v="PM2.5"/>
  </r>
  <r>
    <x v="101"/>
    <x v="1"/>
    <n v="72"/>
    <n v="127.5"/>
    <n v="31.1"/>
    <n v="12.25"/>
    <n v="33.200000000000003"/>
    <n v="1.99"/>
    <x v="49"/>
    <x v="74"/>
    <n v="1.42"/>
    <n v="120"/>
    <n v="127.5"/>
    <n v="38.875"/>
    <n v="30.625"/>
    <n v="83"/>
    <n v="99.5"/>
    <n v="128"/>
    <x v="1"/>
    <s v="PM10"/>
  </r>
  <r>
    <x v="101"/>
    <x v="2"/>
    <n v="63.3"/>
    <n v="159.1"/>
    <n v="31.9"/>
    <n v="11.65"/>
    <n v="8.8000000000000007"/>
    <n v="1.97"/>
    <x v="146"/>
    <x v="357"/>
    <n v="2.14"/>
    <n v="105.5"/>
    <n v="159.1"/>
    <n v="39.875"/>
    <n v="29.125"/>
    <n v="22"/>
    <n v="98.5"/>
    <n v="159"/>
    <x v="1"/>
    <s v="PM10"/>
  </r>
  <r>
    <x v="101"/>
    <x v="3"/>
    <n v="84.3"/>
    <n v="84.9"/>
    <n v="30"/>
    <n v="6.89"/>
    <n v="10.6"/>
    <n v="2.29"/>
    <x v="53"/>
    <x v="253"/>
    <n v="2.75"/>
    <n v="140.5"/>
    <n v="84.9"/>
    <n v="37.5"/>
    <n v="17.225000000000001"/>
    <n v="26.5"/>
    <n v="114.5"/>
    <n v="140"/>
    <x v="1"/>
    <s v="PM2.5"/>
  </r>
  <r>
    <x v="101"/>
    <x v="4"/>
    <n v="33.5"/>
    <n v="131.6"/>
    <n v="66.7"/>
    <n v="7.76"/>
    <n v="76.8"/>
    <n v="1.99"/>
    <x v="42"/>
    <x v="153"/>
    <n v="1.7"/>
    <n v="55.833333333333329"/>
    <n v="131.6"/>
    <n v="83.375"/>
    <n v="19.399999999999999"/>
    <n v="192"/>
    <n v="99.5"/>
    <n v="192"/>
    <x v="1"/>
    <s v="O3"/>
  </r>
  <r>
    <x v="102"/>
    <x v="0"/>
    <n v="47.8"/>
    <n v="151.5"/>
    <n v="64.3"/>
    <n v="0.5"/>
    <n v="45.8"/>
    <n v="1.49"/>
    <x v="85"/>
    <x v="358"/>
    <n v="3.01"/>
    <n v="79.666666666666657"/>
    <n v="151.5"/>
    <n v="80.375"/>
    <n v="1.25"/>
    <n v="114.5"/>
    <n v="74.5"/>
    <n v="152"/>
    <x v="1"/>
    <s v="PM10"/>
  </r>
  <r>
    <x v="102"/>
    <x v="1"/>
    <n v="124.1"/>
    <n v="133.80000000000001"/>
    <n v="79.7"/>
    <n v="20.22"/>
    <n v="91"/>
    <n v="0.68"/>
    <x v="141"/>
    <x v="36"/>
    <n v="3.09"/>
    <n v="206.83333333333329"/>
    <n v="133.80000000000001"/>
    <n v="99.625"/>
    <n v="50.55"/>
    <n v="227.5"/>
    <n v="34"/>
    <n v="228"/>
    <x v="0"/>
    <s v="O3"/>
  </r>
  <r>
    <x v="102"/>
    <x v="2"/>
    <n v="76.599999999999994"/>
    <n v="66.2"/>
    <n v="44"/>
    <n v="0.5"/>
    <n v="72.2"/>
    <n v="0.85"/>
    <x v="55"/>
    <x v="231"/>
    <n v="3.88"/>
    <n v="127.6666666666667"/>
    <n v="66.2"/>
    <n v="55"/>
    <n v="1.25"/>
    <n v="180.5"/>
    <n v="42.499999999999993"/>
    <n v="180"/>
    <x v="1"/>
    <s v="O3"/>
  </r>
  <r>
    <x v="102"/>
    <x v="3"/>
    <n v="2"/>
    <n v="119"/>
    <n v="42.9"/>
    <n v="5.73"/>
    <n v="83.2"/>
    <n v="0.67"/>
    <x v="50"/>
    <x v="359"/>
    <n v="4.01"/>
    <n v="3.333333333333333"/>
    <n v="119"/>
    <n v="53.625"/>
    <n v="14.324999999999999"/>
    <n v="208"/>
    <n v="33.5"/>
    <n v="208"/>
    <x v="0"/>
    <s v="O3"/>
  </r>
  <r>
    <x v="102"/>
    <x v="4"/>
    <n v="44"/>
    <n v="83.6"/>
    <n v="73.599999999999994"/>
    <n v="11.14"/>
    <n v="1.5"/>
    <n v="0.96"/>
    <x v="235"/>
    <x v="360"/>
    <n v="2.1800000000000002"/>
    <n v="73.333333333333329"/>
    <n v="83.6"/>
    <n v="92"/>
    <n v="27.85"/>
    <n v="3.75"/>
    <n v="48"/>
    <n v="92"/>
    <x v="3"/>
    <s v="NO2"/>
  </r>
  <r>
    <x v="103"/>
    <x v="0"/>
    <n v="2"/>
    <n v="174.1"/>
    <n v="23.7"/>
    <n v="0.5"/>
    <n v="1"/>
    <n v="1.94"/>
    <x v="222"/>
    <x v="143"/>
    <n v="4.17"/>
    <n v="3.333333333333333"/>
    <n v="174.1"/>
    <n v="29.625"/>
    <n v="1.25"/>
    <n v="2.5"/>
    <n v="97"/>
    <n v="174"/>
    <x v="1"/>
    <s v="PM10"/>
  </r>
  <r>
    <x v="103"/>
    <x v="1"/>
    <n v="98.9"/>
    <n v="271.2"/>
    <n v="21.4"/>
    <n v="9.7799999999999994"/>
    <n v="1"/>
    <n v="1.33"/>
    <x v="231"/>
    <x v="68"/>
    <n v="2.5499999999999998"/>
    <n v="164.83333333333329"/>
    <n v="271.2"/>
    <n v="26.75"/>
    <n v="24.45"/>
    <n v="2.5"/>
    <n v="66.5"/>
    <n v="271"/>
    <x v="0"/>
    <s v="PM10"/>
  </r>
  <r>
    <x v="103"/>
    <x v="2"/>
    <n v="74.8"/>
    <n v="154.1"/>
    <n v="83.7"/>
    <n v="6.1"/>
    <n v="15.7"/>
    <n v="1.28"/>
    <x v="136"/>
    <x v="361"/>
    <n v="2.16"/>
    <n v="124.6666666666667"/>
    <n v="154.1"/>
    <n v="104.625"/>
    <n v="15.25"/>
    <n v="39.25"/>
    <n v="64"/>
    <n v="154"/>
    <x v="1"/>
    <s v="PM10"/>
  </r>
  <r>
    <x v="103"/>
    <x v="3"/>
    <n v="43"/>
    <n v="91.7"/>
    <n v="59.4"/>
    <n v="7.21"/>
    <n v="24"/>
    <n v="2.2000000000000002"/>
    <x v="81"/>
    <x v="73"/>
    <n v="3.28"/>
    <n v="71.666666666666671"/>
    <n v="91.7"/>
    <n v="74.25"/>
    <n v="18.024999999999999"/>
    <n v="60"/>
    <n v="110"/>
    <n v="110"/>
    <x v="1"/>
    <s v="CO"/>
  </r>
  <r>
    <x v="103"/>
    <x v="4"/>
    <n v="12.2"/>
    <n v="163.69999999999999"/>
    <n v="26.3"/>
    <n v="13.33"/>
    <n v="17.5"/>
    <n v="1.78"/>
    <x v="246"/>
    <x v="330"/>
    <n v="3.3"/>
    <n v="20.333333333333329"/>
    <n v="163.69999999999999"/>
    <n v="32.875"/>
    <n v="33.325000000000003"/>
    <n v="43.75"/>
    <n v="89"/>
    <n v="164"/>
    <x v="1"/>
    <s v="PM10"/>
  </r>
  <r>
    <x v="104"/>
    <x v="0"/>
    <n v="61"/>
    <n v="98.2"/>
    <n v="85.6"/>
    <n v="5.18"/>
    <n v="16.2"/>
    <n v="1.84"/>
    <x v="136"/>
    <x v="307"/>
    <n v="0.77"/>
    <n v="101.6666666666667"/>
    <n v="98.2"/>
    <n v="107"/>
    <n v="12.95"/>
    <n v="40.5"/>
    <n v="92"/>
    <n v="107"/>
    <x v="1"/>
    <s v="NO2"/>
  </r>
  <r>
    <x v="104"/>
    <x v="1"/>
    <n v="56.9"/>
    <n v="143.80000000000001"/>
    <n v="62.3"/>
    <n v="15.95"/>
    <n v="66.5"/>
    <n v="1.36"/>
    <x v="102"/>
    <x v="316"/>
    <n v="4.03"/>
    <n v="94.833333333333329"/>
    <n v="143.80000000000001"/>
    <n v="77.875"/>
    <n v="39.875"/>
    <n v="166.25"/>
    <n v="68"/>
    <n v="166"/>
    <x v="1"/>
    <s v="O3"/>
  </r>
  <r>
    <x v="104"/>
    <x v="2"/>
    <n v="60.6"/>
    <n v="87.3"/>
    <n v="23.9"/>
    <n v="0.74"/>
    <n v="53.8"/>
    <n v="1.47"/>
    <x v="200"/>
    <x v="203"/>
    <n v="4.1900000000000004"/>
    <n v="101"/>
    <n v="87.3"/>
    <n v="29.875"/>
    <n v="1.85"/>
    <n v="134.5"/>
    <n v="73.5"/>
    <n v="134"/>
    <x v="1"/>
    <s v="O3"/>
  </r>
  <r>
    <x v="104"/>
    <x v="3"/>
    <n v="45.5"/>
    <n v="177.3"/>
    <n v="44.2"/>
    <n v="4.96"/>
    <n v="54.8"/>
    <n v="1.45"/>
    <x v="58"/>
    <x v="177"/>
    <n v="2.4500000000000002"/>
    <n v="75.833333333333343"/>
    <n v="177.3"/>
    <n v="55.25"/>
    <n v="12.4"/>
    <n v="137"/>
    <n v="72.5"/>
    <n v="177"/>
    <x v="1"/>
    <s v="PM10"/>
  </r>
  <r>
    <x v="104"/>
    <x v="4"/>
    <n v="144.80000000000001"/>
    <n v="210.2"/>
    <n v="65.400000000000006"/>
    <n v="9.41"/>
    <n v="71.7"/>
    <n v="1.66"/>
    <x v="247"/>
    <x v="52"/>
    <n v="2.9"/>
    <n v="241.33333333333329"/>
    <n v="210.2"/>
    <n v="81.75"/>
    <n v="23.524999999999999"/>
    <n v="179.25"/>
    <n v="82.999999999999986"/>
    <n v="241"/>
    <x v="0"/>
    <s v="PM2.5"/>
  </r>
  <r>
    <x v="105"/>
    <x v="0"/>
    <n v="2"/>
    <n v="152.5"/>
    <n v="40.5"/>
    <n v="18.36"/>
    <n v="46.6"/>
    <n v="0.56000000000000005"/>
    <x v="172"/>
    <x v="362"/>
    <n v="3.07"/>
    <n v="3.333333333333333"/>
    <n v="152.5"/>
    <n v="50.625"/>
    <n v="45.9"/>
    <n v="116.5"/>
    <n v="28"/>
    <n v="152"/>
    <x v="1"/>
    <s v="PM10"/>
  </r>
  <r>
    <x v="105"/>
    <x v="1"/>
    <n v="85.9"/>
    <n v="221.8"/>
    <n v="36.5"/>
    <n v="10.210000000000001"/>
    <n v="7.3"/>
    <n v="2.0299999999999998"/>
    <x v="150"/>
    <x v="363"/>
    <n v="2.5"/>
    <n v="143.16666666666671"/>
    <n v="221.8"/>
    <n v="45.625"/>
    <n v="25.524999999999999"/>
    <n v="18.25"/>
    <n v="101.5"/>
    <n v="222"/>
    <x v="0"/>
    <s v="PM10"/>
  </r>
  <r>
    <x v="105"/>
    <x v="2"/>
    <n v="68.8"/>
    <n v="205.4"/>
    <n v="37.299999999999997"/>
    <n v="8.26"/>
    <n v="12.2"/>
    <n v="0.65"/>
    <x v="197"/>
    <x v="364"/>
    <n v="2.19"/>
    <n v="114.6666666666667"/>
    <n v="205.4"/>
    <n v="46.625"/>
    <n v="20.65"/>
    <n v="30.5"/>
    <n v="32.5"/>
    <n v="205"/>
    <x v="0"/>
    <s v="PM10"/>
  </r>
  <r>
    <x v="105"/>
    <x v="3"/>
    <n v="52.9"/>
    <n v="95.6"/>
    <n v="34.299999999999997"/>
    <n v="9.4700000000000006"/>
    <n v="2.6"/>
    <n v="1.97"/>
    <x v="19"/>
    <x v="90"/>
    <n v="0.98"/>
    <n v="88.166666666666671"/>
    <n v="95.6"/>
    <n v="42.875"/>
    <n v="23.675000000000001"/>
    <n v="6.5000000000000009"/>
    <n v="98.5"/>
    <n v="98"/>
    <x v="3"/>
    <s v="CO"/>
  </r>
  <r>
    <x v="105"/>
    <x v="4"/>
    <n v="88.1"/>
    <n v="176.3"/>
    <n v="58"/>
    <n v="3.33"/>
    <n v="50.9"/>
    <n v="0.54"/>
    <x v="141"/>
    <x v="14"/>
    <n v="3.96"/>
    <n v="146.83333333333329"/>
    <n v="176.3"/>
    <n v="72.5"/>
    <n v="8.3250000000000011"/>
    <n v="127.25"/>
    <n v="27"/>
    <n v="176"/>
    <x v="1"/>
    <s v="PM10"/>
  </r>
  <r>
    <x v="106"/>
    <x v="0"/>
    <n v="69.5"/>
    <n v="70.7"/>
    <n v="66.599999999999994"/>
    <n v="9.31"/>
    <n v="1"/>
    <n v="1.92"/>
    <x v="95"/>
    <x v="110"/>
    <n v="1.19"/>
    <n v="115.8333333333333"/>
    <n v="70.7"/>
    <n v="83.249999999999986"/>
    <n v="23.274999999999999"/>
    <n v="2.5"/>
    <n v="96"/>
    <n v="116"/>
    <x v="1"/>
    <s v="PM2.5"/>
  </r>
  <r>
    <x v="106"/>
    <x v="1"/>
    <n v="2"/>
    <n v="170.9"/>
    <n v="63.5"/>
    <n v="0.5"/>
    <n v="19.399999999999999"/>
    <n v="3.57"/>
    <x v="108"/>
    <x v="161"/>
    <n v="1.72"/>
    <n v="3.333333333333333"/>
    <n v="170.9"/>
    <n v="79.375"/>
    <n v="1.25"/>
    <n v="48.499999999999993"/>
    <n v="178.5"/>
    <n v="178"/>
    <x v="1"/>
    <s v="CO"/>
  </r>
  <r>
    <x v="106"/>
    <x v="2"/>
    <n v="2"/>
    <n v="104.3"/>
    <n v="37.700000000000003"/>
    <n v="5.7"/>
    <n v="35.299999999999997"/>
    <n v="1.29"/>
    <x v="100"/>
    <x v="317"/>
    <n v="3.08"/>
    <n v="3.333333333333333"/>
    <n v="104.3"/>
    <n v="47.125"/>
    <n v="14.25"/>
    <n v="88.25"/>
    <n v="64.5"/>
    <n v="104"/>
    <x v="1"/>
    <s v="PM10"/>
  </r>
  <r>
    <x v="106"/>
    <x v="3"/>
    <n v="2"/>
    <n v="5"/>
    <n v="59.8"/>
    <n v="10.54"/>
    <n v="38.6"/>
    <n v="0.36"/>
    <x v="97"/>
    <x v="35"/>
    <n v="0.57999999999999996"/>
    <n v="3.333333333333333"/>
    <n v="5"/>
    <n v="74.75"/>
    <n v="26.35"/>
    <n v="96.5"/>
    <n v="18"/>
    <n v="96"/>
    <x v="3"/>
    <s v="O3"/>
  </r>
  <r>
    <x v="106"/>
    <x v="4"/>
    <n v="41.6"/>
    <n v="175.1"/>
    <n v="80.900000000000006"/>
    <n v="6.49"/>
    <n v="64.8"/>
    <n v="0.06"/>
    <x v="86"/>
    <x v="247"/>
    <n v="3.37"/>
    <n v="69.333333333333329"/>
    <n v="175.1"/>
    <n v="101.125"/>
    <n v="16.225000000000001"/>
    <n v="162"/>
    <n v="3"/>
    <n v="175"/>
    <x v="1"/>
    <s v="PM10"/>
  </r>
  <r>
    <x v="107"/>
    <x v="0"/>
    <n v="60.5"/>
    <n v="229.1"/>
    <n v="31.6"/>
    <n v="12.81"/>
    <n v="38"/>
    <n v="1.27"/>
    <x v="148"/>
    <x v="53"/>
    <n v="2.48"/>
    <n v="100.8333333333333"/>
    <n v="229.1"/>
    <n v="39.5"/>
    <n v="32.024999999999999"/>
    <n v="95"/>
    <n v="63.5"/>
    <n v="229"/>
    <x v="0"/>
    <s v="PM10"/>
  </r>
  <r>
    <x v="107"/>
    <x v="1"/>
    <n v="72.7"/>
    <n v="168.1"/>
    <n v="58.4"/>
    <n v="14.99"/>
    <n v="78.900000000000006"/>
    <n v="0.71"/>
    <x v="115"/>
    <x v="365"/>
    <n v="3.21"/>
    <n v="121.1666666666667"/>
    <n v="168.1"/>
    <n v="73"/>
    <n v="37.475000000000001"/>
    <n v="197.25"/>
    <n v="35.5"/>
    <n v="197"/>
    <x v="1"/>
    <s v="O3"/>
  </r>
  <r>
    <x v="107"/>
    <x v="2"/>
    <n v="74.7"/>
    <n v="5.0999999999999996"/>
    <n v="44.5"/>
    <n v="5.37"/>
    <n v="20"/>
    <n v="1.91"/>
    <x v="59"/>
    <x v="247"/>
    <n v="2.59"/>
    <n v="124.5"/>
    <n v="5.0999999999999996"/>
    <n v="55.625"/>
    <n v="13.425000000000001"/>
    <n v="50"/>
    <n v="95.5"/>
    <n v="124"/>
    <x v="1"/>
    <s v="PM2.5"/>
  </r>
  <r>
    <x v="107"/>
    <x v="3"/>
    <n v="80.599999999999994"/>
    <n v="111.5"/>
    <n v="68.3"/>
    <n v="10.65"/>
    <n v="1"/>
    <n v="0.88"/>
    <x v="78"/>
    <x v="194"/>
    <n v="0.2"/>
    <n v="134.33333333333329"/>
    <n v="111.5"/>
    <n v="85.374999999999986"/>
    <n v="26.625"/>
    <n v="2.5"/>
    <n v="44"/>
    <n v="134"/>
    <x v="1"/>
    <s v="PM2.5"/>
  </r>
  <r>
    <x v="107"/>
    <x v="4"/>
    <n v="150.1"/>
    <n v="167"/>
    <n v="52.8"/>
    <n v="15.3"/>
    <n v="108.5"/>
    <n v="1.89"/>
    <x v="248"/>
    <x v="206"/>
    <n v="2.83"/>
    <n v="250.16666666666671"/>
    <n v="167"/>
    <n v="66"/>
    <n v="38.25"/>
    <n v="271.25"/>
    <n v="94.5"/>
    <n v="271"/>
    <x v="0"/>
    <s v="O3"/>
  </r>
  <r>
    <x v="108"/>
    <x v="0"/>
    <n v="52.6"/>
    <n v="81"/>
    <n v="35.9"/>
    <n v="1.43"/>
    <n v="43.8"/>
    <n v="0.22"/>
    <x v="158"/>
    <x v="281"/>
    <n v="2.68"/>
    <n v="87.666666666666671"/>
    <n v="81"/>
    <n v="44.875"/>
    <n v="3.5750000000000002"/>
    <n v="109.5"/>
    <n v="11"/>
    <n v="109"/>
    <x v="1"/>
    <s v="O3"/>
  </r>
  <r>
    <x v="108"/>
    <x v="1"/>
    <n v="55.4"/>
    <n v="380.8"/>
    <n v="90.3"/>
    <n v="2.2200000000000002"/>
    <n v="57.3"/>
    <n v="1.04"/>
    <x v="122"/>
    <x v="366"/>
    <n v="3.02"/>
    <n v="92.333333333333343"/>
    <n v="380.8"/>
    <n v="112.875"/>
    <n v="5.55"/>
    <n v="143.25"/>
    <n v="52.000000000000007"/>
    <n v="381"/>
    <x v="2"/>
    <s v="PM10"/>
  </r>
  <r>
    <x v="108"/>
    <x v="2"/>
    <n v="37.6"/>
    <n v="169.2"/>
    <n v="61.6"/>
    <n v="14.13"/>
    <n v="17.8"/>
    <n v="1.41"/>
    <x v="249"/>
    <x v="367"/>
    <n v="1.57"/>
    <n v="62.666666666666657"/>
    <n v="169.2"/>
    <n v="77"/>
    <n v="35.325000000000003"/>
    <n v="44.500000000000007"/>
    <n v="70.5"/>
    <n v="169"/>
    <x v="1"/>
    <s v="PM10"/>
  </r>
  <r>
    <x v="108"/>
    <x v="3"/>
    <n v="108.3"/>
    <n v="133.6"/>
    <n v="57.7"/>
    <n v="3.89"/>
    <n v="9.5"/>
    <n v="0.86"/>
    <x v="131"/>
    <x v="368"/>
    <n v="2.4900000000000002"/>
    <n v="180.5"/>
    <n v="133.6"/>
    <n v="72.125000000000014"/>
    <n v="9.7250000000000014"/>
    <n v="23.75"/>
    <n v="43"/>
    <n v="180"/>
    <x v="1"/>
    <s v="PM2.5"/>
  </r>
  <r>
    <x v="108"/>
    <x v="4"/>
    <n v="10.3"/>
    <n v="58.1"/>
    <n v="64.3"/>
    <n v="12.12"/>
    <n v="33.200000000000003"/>
    <n v="0.65"/>
    <x v="216"/>
    <x v="165"/>
    <n v="3.77"/>
    <n v="17.166666666666671"/>
    <n v="58.1"/>
    <n v="80.375"/>
    <n v="30.3"/>
    <n v="83"/>
    <n v="32.5"/>
    <n v="83"/>
    <x v="3"/>
    <s v="O3"/>
  </r>
  <r>
    <x v="109"/>
    <x v="0"/>
    <n v="101"/>
    <n v="103.7"/>
    <n v="25.2"/>
    <n v="10.74"/>
    <n v="22.3"/>
    <n v="1.02"/>
    <x v="206"/>
    <x v="369"/>
    <n v="2.69"/>
    <n v="168.33333333333329"/>
    <n v="103.7"/>
    <n v="31.5"/>
    <n v="26.85"/>
    <n v="55.75"/>
    <n v="51.000000000000007"/>
    <n v="168"/>
    <x v="1"/>
    <s v="PM2.5"/>
  </r>
  <r>
    <x v="109"/>
    <x v="1"/>
    <n v="27.3"/>
    <n v="165.9"/>
    <n v="82.8"/>
    <n v="7.65"/>
    <n v="92.2"/>
    <n v="2.4700000000000002"/>
    <x v="162"/>
    <x v="51"/>
    <n v="3.2"/>
    <n v="45.5"/>
    <n v="165.9"/>
    <n v="103.5"/>
    <n v="19.125"/>
    <n v="230.5"/>
    <n v="123.5"/>
    <n v="230"/>
    <x v="0"/>
    <s v="O3"/>
  </r>
  <r>
    <x v="109"/>
    <x v="2"/>
    <n v="97.3"/>
    <n v="139.5"/>
    <n v="33.200000000000003"/>
    <n v="5.47"/>
    <n v="43.7"/>
    <n v="0.4"/>
    <x v="142"/>
    <x v="139"/>
    <n v="0.2"/>
    <n v="162.16666666666671"/>
    <n v="139.5"/>
    <n v="41.5"/>
    <n v="13.675000000000001"/>
    <n v="109.25"/>
    <n v="20"/>
    <n v="162"/>
    <x v="1"/>
    <s v="PM2.5"/>
  </r>
  <r>
    <x v="109"/>
    <x v="3"/>
    <n v="106"/>
    <n v="187.3"/>
    <n v="35.799999999999997"/>
    <n v="10.72"/>
    <n v="40.1"/>
    <n v="1.94"/>
    <x v="250"/>
    <x v="370"/>
    <n v="3.2"/>
    <n v="176.66666666666671"/>
    <n v="187.3"/>
    <n v="44.75"/>
    <n v="26.8"/>
    <n v="100.25"/>
    <n v="97"/>
    <n v="187"/>
    <x v="1"/>
    <s v="PM10"/>
  </r>
  <r>
    <x v="109"/>
    <x v="4"/>
    <n v="59.2"/>
    <n v="137.5"/>
    <n v="33.5"/>
    <n v="18.41"/>
    <n v="72.599999999999994"/>
    <n v="0.83"/>
    <x v="12"/>
    <x v="22"/>
    <n v="3.52"/>
    <n v="98.666666666666671"/>
    <n v="137.5"/>
    <n v="41.875"/>
    <n v="46.025000000000013"/>
    <n v="181.5"/>
    <n v="41.499999999999993"/>
    <n v="182"/>
    <x v="1"/>
    <s v="O3"/>
  </r>
  <r>
    <x v="110"/>
    <x v="0"/>
    <n v="77.3"/>
    <n v="224.5"/>
    <n v="69.900000000000006"/>
    <n v="14.78"/>
    <n v="55.4"/>
    <n v="0.42"/>
    <x v="102"/>
    <x v="371"/>
    <n v="2.44"/>
    <n v="128.83333333333329"/>
    <n v="224.5"/>
    <n v="87.375000000000014"/>
    <n v="36.950000000000003"/>
    <n v="138.5"/>
    <n v="21"/>
    <n v="224"/>
    <x v="0"/>
    <s v="PM10"/>
  </r>
  <r>
    <x v="110"/>
    <x v="1"/>
    <n v="93.9"/>
    <n v="126.1"/>
    <n v="30.5"/>
    <n v="9.23"/>
    <n v="59.7"/>
    <n v="1.01"/>
    <x v="196"/>
    <x v="216"/>
    <n v="3.84"/>
    <n v="156.5"/>
    <n v="126.1"/>
    <n v="38.125"/>
    <n v="23.074999999999999"/>
    <n v="149.25"/>
    <n v="50.5"/>
    <n v="156"/>
    <x v="1"/>
    <s v="PM2.5"/>
  </r>
  <r>
    <x v="110"/>
    <x v="2"/>
    <n v="48.6"/>
    <n v="196.8"/>
    <n v="71.8"/>
    <n v="7.22"/>
    <n v="14"/>
    <n v="0.05"/>
    <x v="251"/>
    <x v="372"/>
    <n v="4.1500000000000004"/>
    <n v="81"/>
    <n v="196.8"/>
    <n v="89.75"/>
    <n v="18.05"/>
    <n v="35"/>
    <n v="2.5"/>
    <n v="197"/>
    <x v="1"/>
    <s v="PM10"/>
  </r>
  <r>
    <x v="110"/>
    <x v="3"/>
    <n v="63.5"/>
    <n v="143.4"/>
    <n v="2"/>
    <n v="2.0099999999999998"/>
    <n v="62.2"/>
    <n v="1.37"/>
    <x v="142"/>
    <x v="40"/>
    <n v="4.46"/>
    <n v="105.8333333333333"/>
    <n v="143.4"/>
    <n v="2.5"/>
    <n v="5.0249999999999986"/>
    <n v="155.5"/>
    <n v="68.5"/>
    <n v="156"/>
    <x v="1"/>
    <s v="O3"/>
  </r>
  <r>
    <x v="110"/>
    <x v="4"/>
    <n v="58.7"/>
    <n v="136.6"/>
    <n v="53.7"/>
    <n v="21.96"/>
    <n v="1"/>
    <n v="1.77"/>
    <x v="93"/>
    <x v="40"/>
    <n v="2.21"/>
    <n v="97.833333333333343"/>
    <n v="136.6"/>
    <n v="67.125"/>
    <n v="54.900000000000013"/>
    <n v="2.5"/>
    <n v="88.5"/>
    <n v="137"/>
    <x v="1"/>
    <s v="PM10"/>
  </r>
  <r>
    <x v="111"/>
    <x v="0"/>
    <n v="67.3"/>
    <n v="187.1"/>
    <n v="123.3"/>
    <n v="13.85"/>
    <n v="21.6"/>
    <n v="1.0900000000000001"/>
    <x v="22"/>
    <x v="373"/>
    <n v="2.1"/>
    <n v="112.1666666666667"/>
    <n v="187.1"/>
    <n v="154.125"/>
    <n v="34.624999999999993"/>
    <n v="54.000000000000007"/>
    <n v="54.500000000000007"/>
    <n v="187"/>
    <x v="1"/>
    <s v="PM10"/>
  </r>
  <r>
    <x v="111"/>
    <x v="1"/>
    <n v="102.5"/>
    <n v="54.4"/>
    <n v="82.5"/>
    <n v="13.05"/>
    <n v="27.1"/>
    <n v="1.39"/>
    <x v="252"/>
    <x v="161"/>
    <n v="2.5099999999999998"/>
    <n v="170.83333333333329"/>
    <n v="54.4"/>
    <n v="103.125"/>
    <n v="32.625"/>
    <n v="67.75"/>
    <n v="69.499999999999986"/>
    <n v="171"/>
    <x v="1"/>
    <s v="PM2.5"/>
  </r>
  <r>
    <x v="111"/>
    <x v="2"/>
    <n v="50.2"/>
    <n v="118.4"/>
    <n v="33"/>
    <n v="0.5"/>
    <n v="86.5"/>
    <n v="1.23"/>
    <x v="253"/>
    <x v="172"/>
    <n v="1.62"/>
    <n v="83.666666666666671"/>
    <n v="118.4"/>
    <n v="41.25"/>
    <n v="1.25"/>
    <n v="216.25"/>
    <n v="61.5"/>
    <n v="216"/>
    <x v="0"/>
    <s v="O3"/>
  </r>
  <r>
    <x v="111"/>
    <x v="3"/>
    <n v="54.4"/>
    <n v="24"/>
    <n v="90.5"/>
    <n v="1.83"/>
    <n v="14.2"/>
    <n v="0.94"/>
    <x v="176"/>
    <x v="268"/>
    <n v="1.02"/>
    <n v="90.666666666666657"/>
    <n v="24"/>
    <n v="113.125"/>
    <n v="4.5750000000000002"/>
    <n v="35.5"/>
    <n v="47"/>
    <n v="113"/>
    <x v="1"/>
    <s v="NO2"/>
  </r>
  <r>
    <x v="111"/>
    <x v="4"/>
    <n v="107.4"/>
    <n v="180.2"/>
    <n v="61.3"/>
    <n v="12.74"/>
    <n v="109.8"/>
    <n v="2.76"/>
    <x v="137"/>
    <x v="374"/>
    <n v="3.46"/>
    <n v="179"/>
    <n v="180.2"/>
    <n v="76.625"/>
    <n v="31.85"/>
    <n v="274.49999999999989"/>
    <n v="138"/>
    <n v="274"/>
    <x v="0"/>
    <s v="O3"/>
  </r>
  <r>
    <x v="112"/>
    <x v="0"/>
    <n v="86.2"/>
    <n v="21.2"/>
    <n v="47.8"/>
    <n v="4.53"/>
    <n v="69.8"/>
    <n v="2.12"/>
    <x v="254"/>
    <x v="375"/>
    <n v="3.85"/>
    <n v="143.66666666666671"/>
    <n v="21.2"/>
    <n v="59.75"/>
    <n v="11.324999999999999"/>
    <n v="174.5"/>
    <n v="106"/>
    <n v="174"/>
    <x v="1"/>
    <s v="O3"/>
  </r>
  <r>
    <x v="112"/>
    <x v="1"/>
    <n v="68"/>
    <n v="204.7"/>
    <n v="65"/>
    <n v="12.14"/>
    <n v="41.5"/>
    <n v="0.59"/>
    <x v="67"/>
    <x v="376"/>
    <n v="2.52"/>
    <n v="113.3333333333333"/>
    <n v="204.7"/>
    <n v="81.25"/>
    <n v="30.35"/>
    <n v="103.75"/>
    <n v="29.5"/>
    <n v="205"/>
    <x v="0"/>
    <s v="PM10"/>
  </r>
  <r>
    <x v="112"/>
    <x v="2"/>
    <n v="53.1"/>
    <n v="89.8"/>
    <n v="37"/>
    <n v="12.57"/>
    <n v="30"/>
    <n v="0.38"/>
    <x v="255"/>
    <x v="248"/>
    <n v="2.54"/>
    <n v="88.500000000000014"/>
    <n v="89.8"/>
    <n v="46.25"/>
    <n v="31.425000000000001"/>
    <n v="75"/>
    <n v="19"/>
    <n v="90"/>
    <x v="3"/>
    <s v="PM10"/>
  </r>
  <r>
    <x v="112"/>
    <x v="3"/>
    <n v="108.2"/>
    <n v="118.8"/>
    <n v="50.8"/>
    <n v="2.11"/>
    <n v="34.5"/>
    <n v="1.57"/>
    <x v="54"/>
    <x v="377"/>
    <n v="2.62"/>
    <n v="180.33333333333329"/>
    <n v="118.8"/>
    <n v="63.5"/>
    <n v="5.2749999999999986"/>
    <n v="86.25"/>
    <n v="78.5"/>
    <n v="180"/>
    <x v="1"/>
    <s v="PM2.5"/>
  </r>
  <r>
    <x v="112"/>
    <x v="4"/>
    <n v="67.400000000000006"/>
    <n v="200.5"/>
    <n v="56.9"/>
    <n v="16.93"/>
    <n v="16.7"/>
    <n v="1.41"/>
    <x v="118"/>
    <x v="368"/>
    <n v="4.1500000000000004"/>
    <n v="112.3333333333333"/>
    <n v="200.5"/>
    <n v="71.125"/>
    <n v="42.325000000000003"/>
    <n v="41.749999999999993"/>
    <n v="70.5"/>
    <n v="200"/>
    <x v="1"/>
    <s v="PM10"/>
  </r>
  <r>
    <x v="113"/>
    <x v="0"/>
    <n v="149.19999999999999"/>
    <n v="136.80000000000001"/>
    <n v="63.4"/>
    <n v="9.69"/>
    <n v="25.5"/>
    <n v="0.12"/>
    <x v="25"/>
    <x v="264"/>
    <n v="4.54"/>
    <n v="248.66666666666671"/>
    <n v="136.80000000000001"/>
    <n v="79.25"/>
    <n v="24.225000000000001"/>
    <n v="63.75"/>
    <n v="6"/>
    <n v="249"/>
    <x v="0"/>
    <s v="PM2.5"/>
  </r>
  <r>
    <x v="113"/>
    <x v="1"/>
    <n v="70.7"/>
    <n v="124.1"/>
    <n v="78.5"/>
    <n v="2.99"/>
    <n v="26"/>
    <n v="1.55"/>
    <x v="217"/>
    <x v="47"/>
    <n v="2.8"/>
    <n v="117.8333333333333"/>
    <n v="124.1"/>
    <n v="98.125"/>
    <n v="7.4750000000000014"/>
    <n v="65"/>
    <n v="77.5"/>
    <n v="124"/>
    <x v="1"/>
    <s v="PM10"/>
  </r>
  <r>
    <x v="113"/>
    <x v="2"/>
    <n v="59.2"/>
    <n v="136.80000000000001"/>
    <n v="46.6"/>
    <n v="2.71"/>
    <n v="39.1"/>
    <n v="0.53"/>
    <x v="118"/>
    <x v="116"/>
    <n v="5.55"/>
    <n v="98.666666666666671"/>
    <n v="136.80000000000001"/>
    <n v="58.25"/>
    <n v="6.7749999999999986"/>
    <n v="97.75"/>
    <n v="26.5"/>
    <n v="137"/>
    <x v="1"/>
    <s v="PM10"/>
  </r>
  <r>
    <x v="113"/>
    <x v="3"/>
    <n v="58.8"/>
    <n v="35.700000000000003"/>
    <n v="42.3"/>
    <n v="10.6"/>
    <n v="81.8"/>
    <n v="0.85"/>
    <x v="256"/>
    <x v="10"/>
    <n v="0.84"/>
    <n v="97.999999999999986"/>
    <n v="35.700000000000003"/>
    <n v="52.875"/>
    <n v="26.5"/>
    <n v="204.5"/>
    <n v="42.499999999999993"/>
    <n v="204"/>
    <x v="0"/>
    <s v="O3"/>
  </r>
  <r>
    <x v="113"/>
    <x v="4"/>
    <n v="51.6"/>
    <n v="115"/>
    <n v="48"/>
    <n v="12.59"/>
    <n v="25.2"/>
    <n v="1.1399999999999999"/>
    <x v="178"/>
    <x v="60"/>
    <n v="3.12"/>
    <n v="86"/>
    <n v="115"/>
    <n v="60"/>
    <n v="31.475000000000001"/>
    <n v="63"/>
    <n v="56.999999999999993"/>
    <n v="115"/>
    <x v="1"/>
    <s v="PM10"/>
  </r>
  <r>
    <x v="114"/>
    <x v="0"/>
    <n v="84"/>
    <n v="196.2"/>
    <n v="60.8"/>
    <n v="11.81"/>
    <n v="1"/>
    <n v="1.41"/>
    <x v="106"/>
    <x v="133"/>
    <n v="1.67"/>
    <n v="140"/>
    <n v="196.2"/>
    <n v="76"/>
    <n v="29.524999999999999"/>
    <n v="2.5"/>
    <n v="70.5"/>
    <n v="196"/>
    <x v="1"/>
    <s v="PM10"/>
  </r>
  <r>
    <x v="114"/>
    <x v="1"/>
    <n v="50.3"/>
    <n v="106.9"/>
    <n v="69.7"/>
    <n v="16.46"/>
    <n v="37.299999999999997"/>
    <n v="2.1800000000000002"/>
    <x v="222"/>
    <x v="5"/>
    <n v="2.25"/>
    <n v="83.833333333333329"/>
    <n v="106.9"/>
    <n v="87.125000000000014"/>
    <n v="41.15"/>
    <n v="93.25"/>
    <n v="109"/>
    <n v="109"/>
    <x v="1"/>
    <s v="CO"/>
  </r>
  <r>
    <x v="114"/>
    <x v="2"/>
    <n v="78.3"/>
    <n v="132.6"/>
    <n v="86"/>
    <n v="3.55"/>
    <n v="50.3"/>
    <n v="0.84"/>
    <x v="51"/>
    <x v="145"/>
    <n v="2.66"/>
    <n v="130.5"/>
    <n v="132.6"/>
    <n v="107.5"/>
    <n v="8.875"/>
    <n v="125.75"/>
    <n v="41.999999999999993"/>
    <n v="133"/>
    <x v="1"/>
    <s v="PM10"/>
  </r>
  <r>
    <x v="114"/>
    <x v="3"/>
    <n v="147.5"/>
    <n v="109"/>
    <n v="22.4"/>
    <n v="9.3699999999999992"/>
    <n v="1"/>
    <n v="1.1399999999999999"/>
    <x v="146"/>
    <x v="114"/>
    <n v="3.67"/>
    <n v="245.83333333333329"/>
    <n v="109"/>
    <n v="28"/>
    <n v="23.425000000000001"/>
    <n v="2.5"/>
    <n v="56.999999999999993"/>
    <n v="246"/>
    <x v="0"/>
    <s v="PM2.5"/>
  </r>
  <r>
    <x v="114"/>
    <x v="4"/>
    <n v="49.4"/>
    <n v="122.1"/>
    <n v="32.6"/>
    <n v="2.6"/>
    <n v="52.5"/>
    <n v="0.48"/>
    <x v="123"/>
    <x v="378"/>
    <n v="3.66"/>
    <n v="82.333333333333329"/>
    <n v="122.1"/>
    <n v="40.75"/>
    <n v="6.5000000000000009"/>
    <n v="131.25"/>
    <n v="24"/>
    <n v="131"/>
    <x v="1"/>
    <s v="O3"/>
  </r>
  <r>
    <x v="115"/>
    <x v="0"/>
    <n v="131.1"/>
    <n v="48.2"/>
    <n v="9.1"/>
    <n v="8.48"/>
    <n v="46.5"/>
    <n v="1.53"/>
    <x v="177"/>
    <x v="18"/>
    <n v="2.94"/>
    <n v="218.5"/>
    <n v="48.2"/>
    <n v="11.375"/>
    <n v="21.2"/>
    <n v="116.25"/>
    <n v="76.5"/>
    <n v="218"/>
    <x v="0"/>
    <s v="PM2.5"/>
  </r>
  <r>
    <x v="115"/>
    <x v="1"/>
    <n v="114"/>
    <n v="5"/>
    <n v="47"/>
    <n v="11.34"/>
    <n v="21.3"/>
    <n v="2.8"/>
    <x v="68"/>
    <x v="281"/>
    <n v="3.17"/>
    <n v="190"/>
    <n v="5"/>
    <n v="58.75"/>
    <n v="28.35"/>
    <n v="53.25"/>
    <n v="140"/>
    <n v="190"/>
    <x v="1"/>
    <s v="PM2.5"/>
  </r>
  <r>
    <x v="115"/>
    <x v="2"/>
    <n v="40.1"/>
    <n v="8.6999999999999993"/>
    <n v="34.6"/>
    <n v="12.49"/>
    <n v="30"/>
    <n v="0.66"/>
    <x v="155"/>
    <x v="379"/>
    <n v="1.89"/>
    <n v="66.833333333333343"/>
    <n v="8.6999999999999993"/>
    <n v="43.250000000000007"/>
    <n v="31.225000000000001"/>
    <n v="75"/>
    <n v="33"/>
    <n v="75"/>
    <x v="3"/>
    <s v="O3"/>
  </r>
  <r>
    <x v="115"/>
    <x v="3"/>
    <n v="64.5"/>
    <n v="166.2"/>
    <n v="92.6"/>
    <n v="12.14"/>
    <n v="69"/>
    <n v="0.9"/>
    <x v="216"/>
    <x v="234"/>
    <n v="2.63"/>
    <n v="107.5"/>
    <n v="166.2"/>
    <n v="115.75"/>
    <n v="30.35"/>
    <n v="172.5"/>
    <n v="45"/>
    <n v="172"/>
    <x v="1"/>
    <s v="O3"/>
  </r>
  <r>
    <x v="115"/>
    <x v="4"/>
    <n v="30.4"/>
    <n v="120.4"/>
    <n v="58.3"/>
    <n v="10.78"/>
    <n v="57.9"/>
    <n v="1.51"/>
    <x v="83"/>
    <x v="380"/>
    <n v="1.56"/>
    <n v="50.666666666666657"/>
    <n v="120.4"/>
    <n v="72.875"/>
    <n v="26.95"/>
    <n v="144.75"/>
    <n v="75.5"/>
    <n v="145"/>
    <x v="1"/>
    <s v="O3"/>
  </r>
  <r>
    <x v="116"/>
    <x v="0"/>
    <n v="130.6"/>
    <n v="138.9"/>
    <n v="46.6"/>
    <n v="3.86"/>
    <n v="130.4"/>
    <n v="0.64"/>
    <x v="213"/>
    <x v="381"/>
    <n v="3.22"/>
    <n v="217.66666666666671"/>
    <n v="138.9"/>
    <n v="58.25"/>
    <n v="9.6499999999999986"/>
    <n v="326"/>
    <n v="32"/>
    <n v="326"/>
    <x v="2"/>
    <s v="O3"/>
  </r>
  <r>
    <x v="116"/>
    <x v="1"/>
    <n v="110.9"/>
    <n v="285.60000000000002"/>
    <n v="68.900000000000006"/>
    <n v="3.4"/>
    <n v="42"/>
    <n v="1.73"/>
    <x v="257"/>
    <x v="370"/>
    <n v="3.94"/>
    <n v="184.83333333333329"/>
    <n v="285.60000000000002"/>
    <n v="86.125"/>
    <n v="8.5"/>
    <n v="105"/>
    <n v="86.5"/>
    <n v="286"/>
    <x v="0"/>
    <s v="PM10"/>
  </r>
  <r>
    <x v="116"/>
    <x v="2"/>
    <n v="62.1"/>
    <n v="161.80000000000001"/>
    <n v="40.799999999999997"/>
    <n v="3.6"/>
    <n v="55.8"/>
    <n v="1.51"/>
    <x v="258"/>
    <x v="145"/>
    <n v="1.78"/>
    <n v="103.5"/>
    <n v="161.80000000000001"/>
    <n v="51"/>
    <n v="9.0000000000000018"/>
    <n v="139.5"/>
    <n v="75.5"/>
    <n v="162"/>
    <x v="1"/>
    <s v="PM10"/>
  </r>
  <r>
    <x v="116"/>
    <x v="3"/>
    <n v="13.2"/>
    <n v="169.2"/>
    <n v="53.5"/>
    <n v="3.17"/>
    <n v="26.5"/>
    <n v="0.92"/>
    <x v="63"/>
    <x v="125"/>
    <n v="1.1399999999999999"/>
    <n v="22"/>
    <n v="169.2"/>
    <n v="66.875"/>
    <n v="7.9249999999999998"/>
    <n v="66.25"/>
    <n v="46"/>
    <n v="169"/>
    <x v="1"/>
    <s v="PM10"/>
  </r>
  <r>
    <x v="116"/>
    <x v="4"/>
    <n v="52.4"/>
    <n v="83.2"/>
    <n v="13.7"/>
    <n v="19.920000000000002"/>
    <n v="78.400000000000006"/>
    <n v="0.81"/>
    <x v="170"/>
    <x v="381"/>
    <n v="4.43"/>
    <n v="87.333333333333329"/>
    <n v="83.2"/>
    <n v="17.125"/>
    <n v="49.8"/>
    <n v="196"/>
    <n v="40.5"/>
    <n v="196"/>
    <x v="1"/>
    <s v="O3"/>
  </r>
  <r>
    <x v="117"/>
    <x v="0"/>
    <n v="40.799999999999997"/>
    <n v="213.4"/>
    <n v="39.1"/>
    <n v="1.52"/>
    <n v="66.8"/>
    <n v="2.27"/>
    <x v="259"/>
    <x v="267"/>
    <n v="3.34"/>
    <n v="67.999999999999986"/>
    <n v="213.4"/>
    <n v="48.875"/>
    <n v="3.8"/>
    <n v="167"/>
    <n v="113.5"/>
    <n v="213"/>
    <x v="0"/>
    <s v="PM10"/>
  </r>
  <r>
    <x v="117"/>
    <x v="1"/>
    <n v="59.6"/>
    <n v="208.8"/>
    <n v="19.5"/>
    <n v="2.11"/>
    <n v="25.8"/>
    <n v="1.56"/>
    <x v="96"/>
    <x v="382"/>
    <n v="3.73"/>
    <n v="99.333333333333329"/>
    <n v="208.8"/>
    <n v="24.375"/>
    <n v="5.2749999999999986"/>
    <n v="64.5"/>
    <n v="78"/>
    <n v="209"/>
    <x v="0"/>
    <s v="PM10"/>
  </r>
  <r>
    <x v="117"/>
    <x v="2"/>
    <n v="74.099999999999994"/>
    <n v="206.3"/>
    <n v="50.7"/>
    <n v="1.82"/>
    <n v="70.400000000000006"/>
    <n v="0.8"/>
    <x v="42"/>
    <x v="383"/>
    <n v="3.05"/>
    <n v="123.5"/>
    <n v="206.3"/>
    <n v="63.375"/>
    <n v="4.55"/>
    <n v="176"/>
    <n v="40"/>
    <n v="206"/>
    <x v="0"/>
    <s v="PM10"/>
  </r>
  <r>
    <x v="117"/>
    <x v="3"/>
    <n v="15.1"/>
    <n v="64.900000000000006"/>
    <n v="71.5"/>
    <n v="7.15"/>
    <n v="42"/>
    <n v="1.66"/>
    <x v="161"/>
    <x v="140"/>
    <n v="2.25"/>
    <n v="25.166666666666671"/>
    <n v="64.900000000000006"/>
    <n v="89.375"/>
    <n v="17.875"/>
    <n v="105"/>
    <n v="82.999999999999986"/>
    <n v="105"/>
    <x v="1"/>
    <s v="O3"/>
  </r>
  <r>
    <x v="117"/>
    <x v="4"/>
    <n v="55.7"/>
    <n v="188.6"/>
    <n v="61.7"/>
    <n v="7.38"/>
    <n v="73.8"/>
    <n v="1.23"/>
    <x v="81"/>
    <x v="384"/>
    <n v="1.83"/>
    <n v="92.833333333333343"/>
    <n v="188.6"/>
    <n v="77.125"/>
    <n v="18.45"/>
    <n v="184.5"/>
    <n v="61.5"/>
    <n v="189"/>
    <x v="1"/>
    <s v="PM10"/>
  </r>
  <r>
    <x v="118"/>
    <x v="0"/>
    <n v="59.6"/>
    <n v="223.1"/>
    <n v="33.200000000000003"/>
    <n v="10.28"/>
    <n v="27.1"/>
    <n v="1.2"/>
    <x v="91"/>
    <x v="385"/>
    <n v="2.27"/>
    <n v="99.333333333333329"/>
    <n v="223.1"/>
    <n v="41.5"/>
    <n v="25.7"/>
    <n v="67.75"/>
    <n v="60"/>
    <n v="223"/>
    <x v="0"/>
    <s v="PM10"/>
  </r>
  <r>
    <x v="118"/>
    <x v="1"/>
    <n v="95.3"/>
    <n v="166.7"/>
    <n v="26.3"/>
    <n v="16.78"/>
    <n v="56.6"/>
    <n v="1.65"/>
    <x v="178"/>
    <x v="380"/>
    <n v="2.76"/>
    <n v="158.83333333333329"/>
    <n v="166.7"/>
    <n v="32.875"/>
    <n v="41.95"/>
    <n v="141.5"/>
    <n v="82.499999999999986"/>
    <n v="167"/>
    <x v="1"/>
    <s v="PM10"/>
  </r>
  <r>
    <x v="118"/>
    <x v="2"/>
    <n v="70.599999999999994"/>
    <n v="14.4"/>
    <n v="32.5"/>
    <n v="6.39"/>
    <n v="44.1"/>
    <n v="1.82"/>
    <x v="260"/>
    <x v="386"/>
    <n v="1.88"/>
    <n v="117.6666666666667"/>
    <n v="14.4"/>
    <n v="40.625"/>
    <n v="15.975"/>
    <n v="110.25"/>
    <n v="91"/>
    <n v="118"/>
    <x v="1"/>
    <s v="PM2.5"/>
  </r>
  <r>
    <x v="118"/>
    <x v="3"/>
    <n v="36"/>
    <n v="99.2"/>
    <n v="60.4"/>
    <n v="2.73"/>
    <n v="50.7"/>
    <n v="0.18"/>
    <x v="78"/>
    <x v="21"/>
    <n v="4.51"/>
    <n v="60"/>
    <n v="99.2"/>
    <n v="75.5"/>
    <n v="6.8250000000000002"/>
    <n v="126.75"/>
    <n v="9"/>
    <n v="127"/>
    <x v="1"/>
    <s v="O3"/>
  </r>
  <r>
    <x v="118"/>
    <x v="4"/>
    <n v="56.9"/>
    <n v="5"/>
    <n v="5.5"/>
    <n v="8.99"/>
    <n v="60.9"/>
    <n v="1.57"/>
    <x v="165"/>
    <x v="97"/>
    <n v="2.35"/>
    <n v="94.833333333333329"/>
    <n v="5"/>
    <n v="6.875"/>
    <n v="22.475000000000001"/>
    <n v="152.25"/>
    <n v="78.5"/>
    <n v="152"/>
    <x v="1"/>
    <s v="O3"/>
  </r>
  <r>
    <x v="119"/>
    <x v="0"/>
    <n v="99.9"/>
    <n v="25.4"/>
    <n v="30.9"/>
    <n v="0.5"/>
    <n v="38.1"/>
    <n v="1.35"/>
    <x v="116"/>
    <x v="234"/>
    <n v="1.39"/>
    <n v="166.5"/>
    <n v="25.4"/>
    <n v="38.625"/>
    <n v="1.25"/>
    <n v="95.25"/>
    <n v="67.5"/>
    <n v="166"/>
    <x v="1"/>
    <s v="PM2.5"/>
  </r>
  <r>
    <x v="119"/>
    <x v="1"/>
    <n v="67.900000000000006"/>
    <n v="37.700000000000003"/>
    <n v="90.3"/>
    <n v="8.1"/>
    <n v="34.700000000000003"/>
    <n v="2.69"/>
    <x v="46"/>
    <x v="387"/>
    <n v="1.18"/>
    <n v="113.1666666666667"/>
    <n v="37.700000000000003"/>
    <n v="112.875"/>
    <n v="20.25"/>
    <n v="86.750000000000014"/>
    <n v="134.5"/>
    <n v="134"/>
    <x v="1"/>
    <s v="CO"/>
  </r>
  <r>
    <x v="119"/>
    <x v="2"/>
    <n v="55.1"/>
    <n v="138.6"/>
    <n v="56.8"/>
    <n v="19.82"/>
    <n v="1"/>
    <n v="1.49"/>
    <x v="78"/>
    <x v="117"/>
    <n v="1.76"/>
    <n v="91.833333333333343"/>
    <n v="138.6"/>
    <n v="71"/>
    <n v="49.55"/>
    <n v="2.5"/>
    <n v="74.5"/>
    <n v="139"/>
    <x v="1"/>
    <s v="PM10"/>
  </r>
  <r>
    <x v="119"/>
    <x v="3"/>
    <n v="32.700000000000003"/>
    <n v="221.1"/>
    <n v="61.8"/>
    <n v="8.1199999999999992"/>
    <n v="73.8"/>
    <n v="0.28999999999999998"/>
    <x v="12"/>
    <x v="388"/>
    <n v="1.66"/>
    <n v="54.500000000000007"/>
    <n v="221.1"/>
    <n v="77.25"/>
    <n v="20.3"/>
    <n v="184.5"/>
    <n v="14.5"/>
    <n v="221"/>
    <x v="0"/>
    <s v="PM10"/>
  </r>
  <r>
    <x v="119"/>
    <x v="4"/>
    <n v="71.3"/>
    <n v="138.80000000000001"/>
    <n v="52.8"/>
    <n v="1.04"/>
    <n v="66.099999999999994"/>
    <n v="1.48"/>
    <x v="140"/>
    <x v="389"/>
    <n v="3.37"/>
    <n v="118.8333333333333"/>
    <n v="138.80000000000001"/>
    <n v="66"/>
    <n v="2.6"/>
    <n v="165.25"/>
    <n v="74"/>
    <n v="165"/>
    <x v="1"/>
    <s v="O3"/>
  </r>
  <r>
    <x v="120"/>
    <x v="0"/>
    <n v="28"/>
    <n v="110.6"/>
    <n v="64"/>
    <n v="9.7200000000000006"/>
    <n v="21.5"/>
    <n v="1.38"/>
    <x v="5"/>
    <x v="122"/>
    <n v="2.25"/>
    <n v="46.666666666666671"/>
    <n v="110.6"/>
    <n v="80"/>
    <n v="24.3"/>
    <n v="53.75"/>
    <n v="68.999999999999986"/>
    <n v="111"/>
    <x v="1"/>
    <s v="PM10"/>
  </r>
  <r>
    <x v="120"/>
    <x v="1"/>
    <n v="116.9"/>
    <n v="110.5"/>
    <n v="43.2"/>
    <n v="5.22"/>
    <n v="77.400000000000006"/>
    <n v="0.97"/>
    <x v="152"/>
    <x v="22"/>
    <n v="0.2"/>
    <n v="194.83333333333329"/>
    <n v="110.5"/>
    <n v="54.000000000000007"/>
    <n v="13.05"/>
    <n v="193.5"/>
    <n v="48.5"/>
    <n v="195"/>
    <x v="1"/>
    <s v="PM2.5"/>
  </r>
  <r>
    <x v="120"/>
    <x v="2"/>
    <n v="40.700000000000003"/>
    <n v="46.8"/>
    <n v="43.4"/>
    <n v="1.95"/>
    <n v="60"/>
    <n v="1.0900000000000001"/>
    <x v="157"/>
    <x v="390"/>
    <n v="3.66"/>
    <n v="67.833333333333343"/>
    <n v="46.8"/>
    <n v="54.25"/>
    <n v="4.875"/>
    <n v="150"/>
    <n v="54.500000000000007"/>
    <n v="150"/>
    <x v="1"/>
    <s v="O3"/>
  </r>
  <r>
    <x v="120"/>
    <x v="3"/>
    <n v="59.4"/>
    <n v="73.7"/>
    <n v="9.5"/>
    <n v="4.57"/>
    <n v="24.6"/>
    <n v="1.26"/>
    <x v="169"/>
    <x v="391"/>
    <n v="1.76"/>
    <n v="98.999999999999986"/>
    <n v="73.7"/>
    <n v="11.875"/>
    <n v="11.425000000000001"/>
    <n v="61.500000000000007"/>
    <n v="63"/>
    <n v="99"/>
    <x v="3"/>
    <s v="PM2.5"/>
  </r>
  <r>
    <x v="120"/>
    <x v="4"/>
    <n v="64.099999999999994"/>
    <n v="210.1"/>
    <n v="57"/>
    <n v="8.4700000000000006"/>
    <n v="27.4"/>
    <n v="0.9"/>
    <x v="81"/>
    <x v="392"/>
    <n v="3.91"/>
    <n v="106.8333333333333"/>
    <n v="210.1"/>
    <n v="71.25"/>
    <n v="21.175000000000001"/>
    <n v="68.499999999999986"/>
    <n v="45"/>
    <n v="210"/>
    <x v="0"/>
    <s v="PM10"/>
  </r>
  <r>
    <x v="121"/>
    <x v="0"/>
    <n v="61.3"/>
    <n v="44.9"/>
    <n v="92.4"/>
    <n v="11.04"/>
    <n v="5.6"/>
    <n v="1.08"/>
    <x v="116"/>
    <x v="393"/>
    <n v="1.17"/>
    <n v="102.1666666666667"/>
    <n v="44.9"/>
    <n v="115.5"/>
    <n v="27.6"/>
    <n v="14"/>
    <n v="54.000000000000007"/>
    <n v="116"/>
    <x v="1"/>
    <s v="NO2"/>
  </r>
  <r>
    <x v="121"/>
    <x v="1"/>
    <n v="111.6"/>
    <n v="255"/>
    <n v="40.5"/>
    <n v="8.27"/>
    <n v="17.600000000000001"/>
    <n v="1.35"/>
    <x v="172"/>
    <x v="394"/>
    <n v="3.81"/>
    <n v="186"/>
    <n v="255"/>
    <n v="50.625"/>
    <n v="20.675000000000001"/>
    <n v="44.000000000000007"/>
    <n v="67.5"/>
    <n v="255"/>
    <x v="0"/>
    <s v="PM10"/>
  </r>
  <r>
    <x v="121"/>
    <x v="2"/>
    <n v="35.700000000000003"/>
    <n v="5"/>
    <n v="42.3"/>
    <n v="8.99"/>
    <n v="43.9"/>
    <n v="0.95"/>
    <x v="222"/>
    <x v="395"/>
    <n v="2.96"/>
    <n v="59.500000000000007"/>
    <n v="5"/>
    <n v="52.875"/>
    <n v="22.475000000000001"/>
    <n v="109.75"/>
    <n v="47.5"/>
    <n v="110"/>
    <x v="1"/>
    <s v="O3"/>
  </r>
  <r>
    <x v="121"/>
    <x v="3"/>
    <n v="48.8"/>
    <n v="90"/>
    <n v="41.6"/>
    <n v="16.18"/>
    <n v="35.4"/>
    <n v="1.19"/>
    <x v="16"/>
    <x v="335"/>
    <n v="4.8499999999999996"/>
    <n v="81.333333333333329"/>
    <n v="90"/>
    <n v="52.000000000000007"/>
    <n v="40.450000000000003"/>
    <n v="88.5"/>
    <n v="59.5"/>
    <n v="90"/>
    <x v="3"/>
    <s v="PM10"/>
  </r>
  <r>
    <x v="121"/>
    <x v="4"/>
    <n v="80.900000000000006"/>
    <n v="137.5"/>
    <n v="50.3"/>
    <n v="0.5"/>
    <n v="64.5"/>
    <n v="1.41"/>
    <x v="261"/>
    <x v="71"/>
    <n v="2.54"/>
    <n v="134.83333333333329"/>
    <n v="137.5"/>
    <n v="62.875"/>
    <n v="1.25"/>
    <n v="161.25"/>
    <n v="70.5"/>
    <n v="161"/>
    <x v="1"/>
    <s v="O3"/>
  </r>
  <r>
    <x v="122"/>
    <x v="0"/>
    <n v="54.8"/>
    <n v="208.5"/>
    <n v="43"/>
    <n v="21.18"/>
    <n v="58.4"/>
    <n v="0.5"/>
    <x v="131"/>
    <x v="202"/>
    <n v="0.2"/>
    <n v="91.333333333333329"/>
    <n v="208.5"/>
    <n v="53.75"/>
    <n v="52.95"/>
    <n v="146"/>
    <n v="25"/>
    <n v="208"/>
    <x v="0"/>
    <s v="PM10"/>
  </r>
  <r>
    <x v="122"/>
    <x v="1"/>
    <n v="135"/>
    <n v="202.7"/>
    <n v="69.599999999999994"/>
    <n v="11.03"/>
    <n v="6.8"/>
    <n v="1.1399999999999999"/>
    <x v="245"/>
    <x v="396"/>
    <n v="0.2"/>
    <n v="225"/>
    <n v="202.7"/>
    <n v="87"/>
    <n v="27.574999999999999"/>
    <n v="17"/>
    <n v="56.999999999999993"/>
    <n v="225"/>
    <x v="0"/>
    <s v="PM2.5"/>
  </r>
  <r>
    <x v="122"/>
    <x v="2"/>
    <n v="50.5"/>
    <n v="105.9"/>
    <n v="45.3"/>
    <n v="11.06"/>
    <n v="53.1"/>
    <n v="1.29"/>
    <x v="215"/>
    <x v="397"/>
    <n v="3.11"/>
    <n v="84.166666666666671"/>
    <n v="105.9"/>
    <n v="56.624999999999993"/>
    <n v="27.65"/>
    <n v="132.75"/>
    <n v="64.5"/>
    <n v="133"/>
    <x v="1"/>
    <s v="O3"/>
  </r>
  <r>
    <x v="122"/>
    <x v="3"/>
    <n v="78.8"/>
    <n v="45.6"/>
    <n v="14.9"/>
    <n v="4.2699999999999996"/>
    <n v="23.5"/>
    <n v="1.65"/>
    <x v="208"/>
    <x v="271"/>
    <n v="1.77"/>
    <n v="131.33333333333329"/>
    <n v="45.6"/>
    <n v="18.625"/>
    <n v="10.675000000000001"/>
    <n v="58.75"/>
    <n v="82.499999999999986"/>
    <n v="131"/>
    <x v="1"/>
    <s v="PM2.5"/>
  </r>
  <r>
    <x v="122"/>
    <x v="4"/>
    <n v="102.9"/>
    <n v="132.9"/>
    <n v="45.6"/>
    <n v="8.19"/>
    <n v="79.5"/>
    <n v="0.83"/>
    <x v="262"/>
    <x v="188"/>
    <n v="2.81"/>
    <n v="171.5"/>
    <n v="132.9"/>
    <n v="57"/>
    <n v="20.475000000000001"/>
    <n v="198.75"/>
    <n v="41.499999999999993"/>
    <n v="199"/>
    <x v="1"/>
    <s v="O3"/>
  </r>
  <r>
    <x v="123"/>
    <x v="0"/>
    <n v="155.30000000000001"/>
    <n v="65.2"/>
    <n v="43.6"/>
    <n v="2.11"/>
    <n v="73.400000000000006"/>
    <n v="2.5499999999999998"/>
    <x v="220"/>
    <x v="398"/>
    <n v="2.2599999999999998"/>
    <n v="258.83333333333343"/>
    <n v="65.2"/>
    <n v="54.5"/>
    <n v="5.2749999999999986"/>
    <n v="183.5"/>
    <n v="127.5"/>
    <n v="259"/>
    <x v="0"/>
    <s v="PM2.5"/>
  </r>
  <r>
    <x v="123"/>
    <x v="1"/>
    <n v="61.3"/>
    <n v="24.7"/>
    <n v="107.1"/>
    <n v="12.93"/>
    <n v="34.6"/>
    <n v="2.5"/>
    <x v="71"/>
    <x v="399"/>
    <n v="2.29"/>
    <n v="102.1666666666667"/>
    <n v="24.7"/>
    <n v="133.875"/>
    <n v="32.325000000000003"/>
    <n v="86.500000000000014"/>
    <n v="125"/>
    <n v="134"/>
    <x v="1"/>
    <s v="NO2"/>
  </r>
  <r>
    <x v="123"/>
    <x v="2"/>
    <n v="75.2"/>
    <n v="110.4"/>
    <n v="15.2"/>
    <n v="7.96"/>
    <n v="62.9"/>
    <n v="1.1200000000000001"/>
    <x v="50"/>
    <x v="400"/>
    <n v="2.4700000000000002"/>
    <n v="125.3333333333333"/>
    <n v="110.4"/>
    <n v="19"/>
    <n v="19.899999999999999"/>
    <n v="157.25"/>
    <n v="56.000000000000007"/>
    <n v="157"/>
    <x v="1"/>
    <s v="O3"/>
  </r>
  <r>
    <x v="123"/>
    <x v="3"/>
    <n v="41.3"/>
    <n v="164.8"/>
    <n v="45.6"/>
    <n v="11.45"/>
    <n v="67.2"/>
    <n v="1.61"/>
    <x v="170"/>
    <x v="149"/>
    <n v="2.5"/>
    <n v="68.833333333333329"/>
    <n v="164.8"/>
    <n v="57"/>
    <n v="28.625"/>
    <n v="168"/>
    <n v="80.5"/>
    <n v="168"/>
    <x v="1"/>
    <s v="O3"/>
  </r>
  <r>
    <x v="123"/>
    <x v="4"/>
    <n v="48.4"/>
    <n v="109.3"/>
    <n v="41.3"/>
    <n v="3.41"/>
    <n v="1"/>
    <n v="0.88"/>
    <x v="189"/>
    <x v="401"/>
    <n v="3.02"/>
    <n v="80.666666666666657"/>
    <n v="109.3"/>
    <n v="51.625"/>
    <n v="8.5250000000000004"/>
    <n v="2.5"/>
    <n v="44"/>
    <n v="109"/>
    <x v="1"/>
    <s v="PM10"/>
  </r>
  <r>
    <x v="124"/>
    <x v="0"/>
    <n v="134.6"/>
    <n v="208.6"/>
    <n v="89.6"/>
    <n v="11.45"/>
    <n v="79.599999999999994"/>
    <n v="0.88"/>
    <x v="96"/>
    <x v="402"/>
    <n v="3.92"/>
    <n v="224.33333333333329"/>
    <n v="208.6"/>
    <n v="112"/>
    <n v="28.625"/>
    <n v="199"/>
    <n v="44"/>
    <n v="224"/>
    <x v="0"/>
    <s v="PM2.5"/>
  </r>
  <r>
    <x v="124"/>
    <x v="1"/>
    <n v="132.80000000000001"/>
    <n v="108.5"/>
    <n v="49.9"/>
    <n v="5.29"/>
    <n v="62"/>
    <n v="2.34"/>
    <x v="114"/>
    <x v="403"/>
    <n v="2.17"/>
    <n v="221.33333333333329"/>
    <n v="108.5"/>
    <n v="62.375"/>
    <n v="13.225"/>
    <n v="155"/>
    <n v="117"/>
    <n v="221"/>
    <x v="0"/>
    <s v="PM2.5"/>
  </r>
  <r>
    <x v="124"/>
    <x v="2"/>
    <n v="60.2"/>
    <n v="140.19999999999999"/>
    <n v="39.200000000000003"/>
    <n v="7.11"/>
    <n v="32.9"/>
    <n v="1.69"/>
    <x v="236"/>
    <x v="66"/>
    <n v="0.97"/>
    <n v="100.3333333333333"/>
    <n v="140.19999999999999"/>
    <n v="49"/>
    <n v="17.774999999999999"/>
    <n v="82.249999999999986"/>
    <n v="84.499999999999986"/>
    <n v="140"/>
    <x v="1"/>
    <s v="PM10"/>
  </r>
  <r>
    <x v="124"/>
    <x v="3"/>
    <n v="48.6"/>
    <n v="173.9"/>
    <n v="45.8"/>
    <n v="11.3"/>
    <n v="84.2"/>
    <n v="1.82"/>
    <x v="197"/>
    <x v="48"/>
    <n v="0.2"/>
    <n v="81"/>
    <n v="173.9"/>
    <n v="57.249999999999993"/>
    <n v="28.25"/>
    <n v="210.5"/>
    <n v="91"/>
    <n v="211"/>
    <x v="0"/>
    <s v="O3"/>
  </r>
  <r>
    <x v="124"/>
    <x v="4"/>
    <n v="60.4"/>
    <n v="110.5"/>
    <n v="58.1"/>
    <n v="7.95"/>
    <n v="35.200000000000003"/>
    <n v="0.15"/>
    <x v="27"/>
    <x v="63"/>
    <n v="5.0599999999999996"/>
    <n v="100.6666666666667"/>
    <n v="110.5"/>
    <n v="72.625"/>
    <n v="19.875"/>
    <n v="88.000000000000014"/>
    <n v="7.5"/>
    <n v="110"/>
    <x v="1"/>
    <s v="PM10"/>
  </r>
  <r>
    <x v="125"/>
    <x v="0"/>
    <n v="65.599999999999994"/>
    <n v="160.6"/>
    <n v="73.7"/>
    <n v="4.54"/>
    <n v="56.5"/>
    <n v="0.87"/>
    <x v="115"/>
    <x v="42"/>
    <n v="2.86"/>
    <n v="109.3333333333333"/>
    <n v="160.6"/>
    <n v="92.125"/>
    <n v="11.35"/>
    <n v="141.25"/>
    <n v="43.5"/>
    <n v="161"/>
    <x v="1"/>
    <s v="PM10"/>
  </r>
  <r>
    <x v="125"/>
    <x v="1"/>
    <n v="45.7"/>
    <n v="203"/>
    <n v="108.4"/>
    <n v="3.7"/>
    <n v="39.4"/>
    <n v="1.67"/>
    <x v="263"/>
    <x v="404"/>
    <n v="0.2"/>
    <n v="76.166666666666671"/>
    <n v="203"/>
    <n v="135.5"/>
    <n v="9.2500000000000018"/>
    <n v="98.499999999999986"/>
    <n v="83.499999999999986"/>
    <n v="203"/>
    <x v="0"/>
    <s v="PM10"/>
  </r>
  <r>
    <x v="125"/>
    <x v="2"/>
    <n v="95.7"/>
    <n v="157.30000000000001"/>
    <n v="9.6"/>
    <n v="4.71"/>
    <n v="75.2"/>
    <n v="1.97"/>
    <x v="248"/>
    <x v="324"/>
    <n v="2.6"/>
    <n v="159.5"/>
    <n v="157.30000000000001"/>
    <n v="12"/>
    <n v="11.775"/>
    <n v="188"/>
    <n v="98.5"/>
    <n v="188"/>
    <x v="1"/>
    <s v="O3"/>
  </r>
  <r>
    <x v="125"/>
    <x v="3"/>
    <n v="56.1"/>
    <n v="187.7"/>
    <n v="27.5"/>
    <n v="3.97"/>
    <n v="65.3"/>
    <n v="1.17"/>
    <x v="264"/>
    <x v="405"/>
    <n v="2.4300000000000002"/>
    <n v="93.5"/>
    <n v="187.7"/>
    <n v="34.375"/>
    <n v="9.9249999999999989"/>
    <n v="163.25"/>
    <n v="58.5"/>
    <n v="188"/>
    <x v="1"/>
    <s v="PM10"/>
  </r>
  <r>
    <x v="125"/>
    <x v="4"/>
    <n v="35.6"/>
    <n v="132.5"/>
    <n v="17"/>
    <n v="6.12"/>
    <n v="4.5"/>
    <n v="1.78"/>
    <x v="132"/>
    <x v="406"/>
    <n v="4.5999999999999996"/>
    <n v="59.333333333333343"/>
    <n v="132.5"/>
    <n v="21.25"/>
    <n v="15.3"/>
    <n v="11.25"/>
    <n v="89"/>
    <n v="132"/>
    <x v="1"/>
    <s v="PM10"/>
  </r>
  <r>
    <x v="126"/>
    <x v="0"/>
    <n v="155.19999999999999"/>
    <n v="141.19999999999999"/>
    <n v="37"/>
    <n v="25.44"/>
    <n v="8.1"/>
    <n v="1.39"/>
    <x v="158"/>
    <x v="407"/>
    <n v="2.93"/>
    <n v="258.66666666666657"/>
    <n v="141.19999999999999"/>
    <n v="46.25"/>
    <n v="63.6"/>
    <n v="20.25"/>
    <n v="69.499999999999986"/>
    <n v="259"/>
    <x v="0"/>
    <s v="PM2.5"/>
  </r>
  <r>
    <x v="126"/>
    <x v="1"/>
    <n v="56.3"/>
    <n v="78.7"/>
    <n v="47.7"/>
    <n v="3.71"/>
    <n v="51.5"/>
    <n v="1.08"/>
    <x v="64"/>
    <x v="86"/>
    <n v="1.9"/>
    <n v="93.833333333333329"/>
    <n v="78.7"/>
    <n v="59.625000000000007"/>
    <n v="9.2750000000000004"/>
    <n v="128.75"/>
    <n v="54.000000000000007"/>
    <n v="129"/>
    <x v="1"/>
    <s v="O3"/>
  </r>
  <r>
    <x v="126"/>
    <x v="2"/>
    <n v="20.9"/>
    <n v="104.4"/>
    <n v="44"/>
    <n v="0.5"/>
    <n v="45.9"/>
    <n v="0.54"/>
    <x v="265"/>
    <x v="408"/>
    <n v="2.02"/>
    <n v="34.833333333333343"/>
    <n v="104.4"/>
    <n v="55"/>
    <n v="1.25"/>
    <n v="114.75"/>
    <n v="27"/>
    <n v="115"/>
    <x v="1"/>
    <s v="O3"/>
  </r>
  <r>
    <x v="126"/>
    <x v="3"/>
    <n v="37.6"/>
    <n v="113.7"/>
    <n v="57.3"/>
    <n v="7.87"/>
    <n v="34.6"/>
    <n v="1.24"/>
    <x v="104"/>
    <x v="294"/>
    <n v="0.2"/>
    <n v="62.666666666666657"/>
    <n v="113.7"/>
    <n v="71.625"/>
    <n v="19.675000000000001"/>
    <n v="86.500000000000014"/>
    <n v="62"/>
    <n v="114"/>
    <x v="1"/>
    <s v="PM10"/>
  </r>
  <r>
    <x v="126"/>
    <x v="4"/>
    <n v="98.1"/>
    <n v="151.69999999999999"/>
    <n v="32.5"/>
    <n v="19.239999999999998"/>
    <n v="46.4"/>
    <n v="0.64"/>
    <x v="266"/>
    <x v="409"/>
    <n v="3.47"/>
    <n v="163.5"/>
    <n v="151.69999999999999"/>
    <n v="40.625"/>
    <n v="48.099999999999987"/>
    <n v="116"/>
    <n v="32"/>
    <n v="163"/>
    <x v="1"/>
    <s v="PM2.5"/>
  </r>
  <r>
    <x v="127"/>
    <x v="0"/>
    <n v="54.3"/>
    <n v="169.1"/>
    <n v="45.7"/>
    <n v="12.4"/>
    <n v="1"/>
    <n v="1.08"/>
    <x v="267"/>
    <x v="410"/>
    <n v="1.78"/>
    <n v="90.5"/>
    <n v="169.1"/>
    <n v="57.125"/>
    <n v="31"/>
    <n v="2.5"/>
    <n v="54.000000000000007"/>
    <n v="169"/>
    <x v="1"/>
    <s v="PM10"/>
  </r>
  <r>
    <x v="127"/>
    <x v="1"/>
    <n v="58.2"/>
    <n v="58.9"/>
    <n v="2"/>
    <n v="8.56"/>
    <n v="54.2"/>
    <n v="1.46"/>
    <x v="142"/>
    <x v="25"/>
    <n v="3.73"/>
    <n v="97"/>
    <n v="58.9"/>
    <n v="2.5"/>
    <n v="21.4"/>
    <n v="135.5"/>
    <n v="73"/>
    <n v="136"/>
    <x v="1"/>
    <s v="O3"/>
  </r>
  <r>
    <x v="127"/>
    <x v="2"/>
    <n v="51.6"/>
    <n v="81.3"/>
    <n v="37.4"/>
    <n v="10.35"/>
    <n v="71.5"/>
    <n v="0.78"/>
    <x v="197"/>
    <x v="158"/>
    <n v="1.31"/>
    <n v="86"/>
    <n v="81.3"/>
    <n v="46.75"/>
    <n v="25.875"/>
    <n v="178.75"/>
    <n v="39"/>
    <n v="179"/>
    <x v="1"/>
    <s v="O3"/>
  </r>
  <r>
    <x v="127"/>
    <x v="3"/>
    <n v="60.6"/>
    <n v="32.1"/>
    <n v="9.6"/>
    <n v="9.83"/>
    <n v="30.4"/>
    <n v="1.32"/>
    <x v="178"/>
    <x v="345"/>
    <n v="2.4500000000000002"/>
    <n v="101"/>
    <n v="32.1"/>
    <n v="12"/>
    <n v="24.574999999999999"/>
    <n v="76"/>
    <n v="66"/>
    <n v="101"/>
    <x v="1"/>
    <s v="PM2.5"/>
  </r>
  <r>
    <x v="127"/>
    <x v="4"/>
    <n v="25.3"/>
    <n v="223.8"/>
    <n v="19.7"/>
    <n v="7.72"/>
    <n v="15.3"/>
    <n v="1.7"/>
    <x v="109"/>
    <x v="411"/>
    <n v="4.0199999999999996"/>
    <n v="42.166666666666657"/>
    <n v="223.8"/>
    <n v="24.625"/>
    <n v="19.3"/>
    <n v="38.25"/>
    <n v="84.999999999999986"/>
    <n v="224"/>
    <x v="0"/>
    <s v="PM10"/>
  </r>
  <r>
    <x v="128"/>
    <x v="0"/>
    <n v="70"/>
    <n v="173.6"/>
    <n v="29.2"/>
    <n v="1.1200000000000001"/>
    <n v="49.1"/>
    <n v="1.1599999999999999"/>
    <x v="249"/>
    <x v="194"/>
    <n v="2.75"/>
    <n v="116.6666666666667"/>
    <n v="173.6"/>
    <n v="36.5"/>
    <n v="2.8"/>
    <n v="122.75"/>
    <n v="57.999999999999993"/>
    <n v="174"/>
    <x v="1"/>
    <s v="PM10"/>
  </r>
  <r>
    <x v="128"/>
    <x v="1"/>
    <n v="14.1"/>
    <n v="291.60000000000002"/>
    <n v="52.1"/>
    <n v="14.36"/>
    <n v="23.9"/>
    <n v="1.73"/>
    <x v="112"/>
    <x v="412"/>
    <n v="2.0699999999999998"/>
    <n v="23.5"/>
    <n v="291.60000000000002"/>
    <n v="65.125"/>
    <n v="35.9"/>
    <n v="59.75"/>
    <n v="86.5"/>
    <n v="292"/>
    <x v="0"/>
    <s v="PM10"/>
  </r>
  <r>
    <x v="128"/>
    <x v="2"/>
    <n v="57.8"/>
    <n v="153.80000000000001"/>
    <n v="19.3"/>
    <n v="4.3499999999999996"/>
    <n v="48.9"/>
    <n v="2.34"/>
    <x v="142"/>
    <x v="13"/>
    <n v="2.37"/>
    <n v="96.333333333333329"/>
    <n v="153.80000000000001"/>
    <n v="24.125"/>
    <n v="10.875"/>
    <n v="122.25"/>
    <n v="117"/>
    <n v="154"/>
    <x v="1"/>
    <s v="PM10"/>
  </r>
  <r>
    <x v="128"/>
    <x v="3"/>
    <n v="118.3"/>
    <n v="15.2"/>
    <n v="46.9"/>
    <n v="0.5"/>
    <n v="1"/>
    <n v="1.38"/>
    <x v="191"/>
    <x v="413"/>
    <n v="2.37"/>
    <n v="197.16666666666671"/>
    <n v="15.2"/>
    <n v="58.625"/>
    <n v="1.25"/>
    <n v="2.5"/>
    <n v="68.999999999999986"/>
    <n v="197"/>
    <x v="1"/>
    <s v="PM2.5"/>
  </r>
  <r>
    <x v="128"/>
    <x v="4"/>
    <n v="168.2"/>
    <n v="115"/>
    <n v="60.7"/>
    <n v="5.23"/>
    <n v="52.1"/>
    <n v="1.1599999999999999"/>
    <x v="123"/>
    <x v="414"/>
    <n v="4.41"/>
    <n v="280.33333333333331"/>
    <n v="115"/>
    <n v="75.875"/>
    <n v="13.074999999999999"/>
    <n v="130.25"/>
    <n v="57.999999999999993"/>
    <n v="280"/>
    <x v="0"/>
    <s v="PM2.5"/>
  </r>
  <r>
    <x v="129"/>
    <x v="0"/>
    <n v="73.7"/>
    <n v="5"/>
    <n v="43.4"/>
    <n v="24.74"/>
    <n v="39.4"/>
    <n v="2.14"/>
    <x v="268"/>
    <x v="415"/>
    <n v="1.49"/>
    <n v="122.8333333333333"/>
    <n v="5"/>
    <n v="54.25"/>
    <n v="61.849999999999987"/>
    <n v="98.499999999999986"/>
    <n v="107"/>
    <n v="123"/>
    <x v="1"/>
    <s v="PM2.5"/>
  </r>
  <r>
    <x v="129"/>
    <x v="1"/>
    <n v="2"/>
    <n v="201.3"/>
    <n v="35.9"/>
    <n v="11.1"/>
    <n v="10.9"/>
    <n v="1.3"/>
    <x v="247"/>
    <x v="183"/>
    <n v="1.1599999999999999"/>
    <n v="3.333333333333333"/>
    <n v="201.3"/>
    <n v="44.875"/>
    <n v="27.75"/>
    <n v="27.25"/>
    <n v="65"/>
    <n v="201"/>
    <x v="0"/>
    <s v="PM10"/>
  </r>
  <r>
    <x v="129"/>
    <x v="2"/>
    <n v="91.1"/>
    <n v="80"/>
    <n v="10.9"/>
    <n v="7.08"/>
    <n v="38.799999999999997"/>
    <n v="1.23"/>
    <x v="269"/>
    <x v="416"/>
    <n v="2.36"/>
    <n v="151.83333333333329"/>
    <n v="80"/>
    <n v="13.625"/>
    <n v="17.7"/>
    <n v="96.999999999999986"/>
    <n v="61.5"/>
    <n v="152"/>
    <x v="1"/>
    <s v="PM2.5"/>
  </r>
  <r>
    <x v="129"/>
    <x v="3"/>
    <n v="26.9"/>
    <n v="169.2"/>
    <n v="48.7"/>
    <n v="5.9"/>
    <n v="1"/>
    <n v="2.0699999999999998"/>
    <x v="94"/>
    <x v="308"/>
    <n v="2.93"/>
    <n v="44.833333333333329"/>
    <n v="169.2"/>
    <n v="60.875000000000007"/>
    <n v="14.75"/>
    <n v="2.5"/>
    <n v="103.5"/>
    <n v="169"/>
    <x v="1"/>
    <s v="PM10"/>
  </r>
  <r>
    <x v="129"/>
    <x v="4"/>
    <n v="26.5"/>
    <n v="33.4"/>
    <n v="2.8"/>
    <n v="12.77"/>
    <n v="29"/>
    <n v="3.25"/>
    <x v="79"/>
    <x v="64"/>
    <n v="2.3199999999999998"/>
    <n v="44.166666666666657"/>
    <n v="33.4"/>
    <n v="3.5"/>
    <n v="31.925000000000001"/>
    <n v="72.5"/>
    <n v="162.5"/>
    <n v="162"/>
    <x v="1"/>
    <s v="CO"/>
  </r>
  <r>
    <x v="130"/>
    <x v="0"/>
    <n v="77.400000000000006"/>
    <n v="105.6"/>
    <n v="65.8"/>
    <n v="3.57"/>
    <n v="6.3"/>
    <n v="0.14000000000000001"/>
    <x v="147"/>
    <x v="411"/>
    <n v="2.14"/>
    <n v="129"/>
    <n v="105.6"/>
    <n v="82.249999999999986"/>
    <n v="8.9249999999999989"/>
    <n v="15.75"/>
    <n v="7.0000000000000009"/>
    <n v="129"/>
    <x v="1"/>
    <s v="PM2.5"/>
  </r>
  <r>
    <x v="130"/>
    <x v="1"/>
    <n v="51.3"/>
    <n v="243.3"/>
    <n v="87"/>
    <n v="7.91"/>
    <n v="1"/>
    <n v="1.07"/>
    <x v="104"/>
    <x v="417"/>
    <n v="1.66"/>
    <n v="85.499999999999986"/>
    <n v="243.3"/>
    <n v="108.75"/>
    <n v="19.774999999999999"/>
    <n v="2.5"/>
    <n v="53.500000000000007"/>
    <n v="243"/>
    <x v="0"/>
    <s v="PM10"/>
  </r>
  <r>
    <x v="130"/>
    <x v="2"/>
    <n v="38.4"/>
    <n v="92"/>
    <n v="30.7"/>
    <n v="8.59"/>
    <n v="46.6"/>
    <n v="0.62"/>
    <x v="184"/>
    <x v="345"/>
    <n v="0.56000000000000005"/>
    <n v="64"/>
    <n v="92"/>
    <n v="38.375"/>
    <n v="21.475000000000001"/>
    <n v="116.5"/>
    <n v="31"/>
    <n v="116"/>
    <x v="1"/>
    <s v="O3"/>
  </r>
  <r>
    <x v="130"/>
    <x v="3"/>
    <n v="71.400000000000006"/>
    <n v="71"/>
    <n v="51.4"/>
    <n v="0.5"/>
    <n v="74.8"/>
    <n v="1.6"/>
    <x v="64"/>
    <x v="418"/>
    <n v="4.51"/>
    <n v="119"/>
    <n v="71"/>
    <n v="64.25"/>
    <n v="1.25"/>
    <n v="187"/>
    <n v="80"/>
    <n v="187"/>
    <x v="1"/>
    <s v="O3"/>
  </r>
  <r>
    <x v="130"/>
    <x v="4"/>
    <n v="41.7"/>
    <n v="76.900000000000006"/>
    <n v="2"/>
    <n v="6.87"/>
    <n v="37.700000000000003"/>
    <n v="1.79"/>
    <x v="156"/>
    <x v="98"/>
    <n v="3.54"/>
    <n v="69.5"/>
    <n v="76.900000000000006"/>
    <n v="2.5"/>
    <n v="17.175000000000001"/>
    <n v="94.25"/>
    <n v="89.5"/>
    <n v="94"/>
    <x v="3"/>
    <s v="O3"/>
  </r>
  <r>
    <x v="131"/>
    <x v="0"/>
    <n v="103.7"/>
    <n v="29.6"/>
    <n v="76.599999999999994"/>
    <n v="9.42"/>
    <n v="77.400000000000006"/>
    <n v="1.33"/>
    <x v="186"/>
    <x v="31"/>
    <n v="3.77"/>
    <n v="172.83333333333329"/>
    <n v="29.6"/>
    <n v="95.749999999999986"/>
    <n v="23.55"/>
    <n v="193.5"/>
    <n v="66.5"/>
    <n v="194"/>
    <x v="1"/>
    <s v="O3"/>
  </r>
  <r>
    <x v="131"/>
    <x v="1"/>
    <n v="41.5"/>
    <n v="120.9"/>
    <n v="51.8"/>
    <n v="0.5"/>
    <n v="102.2"/>
    <n v="0.82"/>
    <x v="48"/>
    <x v="419"/>
    <n v="4.01"/>
    <n v="69.166666666666671"/>
    <n v="120.9"/>
    <n v="64.75"/>
    <n v="1.25"/>
    <n v="255.5"/>
    <n v="40.999999999999993"/>
    <n v="256"/>
    <x v="0"/>
    <s v="O3"/>
  </r>
  <r>
    <x v="131"/>
    <x v="2"/>
    <n v="68.599999999999994"/>
    <n v="100.6"/>
    <n v="25.8"/>
    <n v="11.39"/>
    <n v="1"/>
    <n v="1.51"/>
    <x v="198"/>
    <x v="293"/>
    <n v="2.69"/>
    <n v="114.3333333333333"/>
    <n v="100.6"/>
    <n v="32.25"/>
    <n v="28.475000000000001"/>
    <n v="2.5"/>
    <n v="75.5"/>
    <n v="114"/>
    <x v="1"/>
    <s v="PM2.5"/>
  </r>
  <r>
    <x v="131"/>
    <x v="3"/>
    <n v="79.3"/>
    <n v="124.9"/>
    <n v="10"/>
    <n v="3.7"/>
    <n v="56.8"/>
    <n v="1.3"/>
    <x v="119"/>
    <x v="399"/>
    <n v="1.34"/>
    <n v="132.16666666666671"/>
    <n v="124.9"/>
    <n v="12.5"/>
    <n v="9.2500000000000018"/>
    <n v="142"/>
    <n v="65"/>
    <n v="142"/>
    <x v="1"/>
    <s v="O3"/>
  </r>
  <r>
    <x v="131"/>
    <x v="4"/>
    <n v="39.700000000000003"/>
    <n v="138.80000000000001"/>
    <n v="2"/>
    <n v="18"/>
    <n v="56.1"/>
    <n v="2.13"/>
    <x v="256"/>
    <x v="420"/>
    <n v="5.68"/>
    <n v="66.166666666666671"/>
    <n v="138.80000000000001"/>
    <n v="2.5"/>
    <n v="45"/>
    <n v="140.25"/>
    <n v="106.5"/>
    <n v="140"/>
    <x v="1"/>
    <s v="O3"/>
  </r>
  <r>
    <x v="132"/>
    <x v="0"/>
    <n v="23.4"/>
    <n v="191.2"/>
    <n v="51.8"/>
    <n v="0.5"/>
    <n v="60.2"/>
    <n v="1.96"/>
    <x v="104"/>
    <x v="421"/>
    <n v="0.5"/>
    <n v="39"/>
    <n v="191.2"/>
    <n v="64.75"/>
    <n v="1.25"/>
    <n v="150.5"/>
    <n v="98"/>
    <n v="191"/>
    <x v="1"/>
    <s v="PM10"/>
  </r>
  <r>
    <x v="132"/>
    <x v="1"/>
    <n v="18.899999999999999"/>
    <n v="160.19999999999999"/>
    <n v="56.9"/>
    <n v="5.52"/>
    <n v="75.3"/>
    <n v="1.9"/>
    <x v="266"/>
    <x v="422"/>
    <n v="3.22"/>
    <n v="31.5"/>
    <n v="160.19999999999999"/>
    <n v="71.125"/>
    <n v="13.8"/>
    <n v="188.25"/>
    <n v="95"/>
    <n v="188"/>
    <x v="1"/>
    <s v="O3"/>
  </r>
  <r>
    <x v="132"/>
    <x v="2"/>
    <n v="44.3"/>
    <n v="231.1"/>
    <n v="27.3"/>
    <n v="17.600000000000001"/>
    <n v="38.799999999999997"/>
    <n v="0.36"/>
    <x v="264"/>
    <x v="103"/>
    <n v="3.52"/>
    <n v="73.833333333333329"/>
    <n v="231.1"/>
    <n v="34.125"/>
    <n v="44.000000000000007"/>
    <n v="96.999999999999986"/>
    <n v="18"/>
    <n v="231"/>
    <x v="0"/>
    <s v="PM10"/>
  </r>
  <r>
    <x v="132"/>
    <x v="3"/>
    <n v="96.7"/>
    <n v="140.30000000000001"/>
    <n v="33.200000000000003"/>
    <n v="12.88"/>
    <n v="40"/>
    <n v="1.61"/>
    <x v="270"/>
    <x v="171"/>
    <n v="1.73"/>
    <n v="161.16666666666671"/>
    <n v="140.30000000000001"/>
    <n v="41.5"/>
    <n v="32.200000000000003"/>
    <n v="100"/>
    <n v="80.5"/>
    <n v="161"/>
    <x v="1"/>
    <s v="PM2.5"/>
  </r>
  <r>
    <x v="132"/>
    <x v="4"/>
    <n v="120.6"/>
    <n v="173.1"/>
    <n v="54.8"/>
    <n v="11.47"/>
    <n v="16.5"/>
    <n v="2.39"/>
    <x v="271"/>
    <x v="112"/>
    <n v="4.91"/>
    <n v="201"/>
    <n v="173.1"/>
    <n v="68.499999999999986"/>
    <n v="28.675000000000001"/>
    <n v="41.25"/>
    <n v="119.5"/>
    <n v="201"/>
    <x v="0"/>
    <s v="PM2.5"/>
  </r>
  <r>
    <x v="133"/>
    <x v="0"/>
    <n v="49.4"/>
    <n v="83"/>
    <n v="52.7"/>
    <n v="11.7"/>
    <n v="34.700000000000003"/>
    <n v="1.75"/>
    <x v="151"/>
    <x v="149"/>
    <n v="3.12"/>
    <n v="82.333333333333329"/>
    <n v="83"/>
    <n v="65.875"/>
    <n v="29.25"/>
    <n v="86.750000000000014"/>
    <n v="87.5"/>
    <n v="88"/>
    <x v="3"/>
    <s v="CO"/>
  </r>
  <r>
    <x v="133"/>
    <x v="1"/>
    <n v="107.4"/>
    <n v="162.9"/>
    <n v="85.1"/>
    <n v="2.39"/>
    <n v="64.599999999999994"/>
    <n v="0.62"/>
    <x v="73"/>
    <x v="423"/>
    <n v="1.37"/>
    <n v="179"/>
    <n v="162.9"/>
    <n v="106.375"/>
    <n v="5.9750000000000014"/>
    <n v="161.5"/>
    <n v="31"/>
    <n v="179"/>
    <x v="1"/>
    <s v="PM2.5"/>
  </r>
  <r>
    <x v="133"/>
    <x v="2"/>
    <n v="41.4"/>
    <n v="101.8"/>
    <n v="58.7"/>
    <n v="6.07"/>
    <n v="1"/>
    <n v="1.79"/>
    <x v="10"/>
    <x v="363"/>
    <n v="3.04"/>
    <n v="68.999999999999986"/>
    <n v="101.8"/>
    <n v="73.375000000000014"/>
    <n v="15.175000000000001"/>
    <n v="2.5"/>
    <n v="89.5"/>
    <n v="102"/>
    <x v="1"/>
    <s v="PM10"/>
  </r>
  <r>
    <x v="133"/>
    <x v="3"/>
    <n v="66"/>
    <n v="185.7"/>
    <n v="54.6"/>
    <n v="3.69"/>
    <n v="94.5"/>
    <n v="1.32"/>
    <x v="142"/>
    <x v="424"/>
    <n v="2.8"/>
    <n v="110"/>
    <n v="185.7"/>
    <n v="68.25"/>
    <n v="9.2250000000000014"/>
    <n v="236.25"/>
    <n v="66"/>
    <n v="236"/>
    <x v="0"/>
    <s v="O3"/>
  </r>
  <r>
    <x v="133"/>
    <x v="4"/>
    <n v="79.2"/>
    <n v="296.5"/>
    <n v="43.4"/>
    <n v="7.05"/>
    <n v="47.2"/>
    <n v="2.0299999999999998"/>
    <x v="64"/>
    <x v="425"/>
    <n v="2.2999999999999998"/>
    <n v="132"/>
    <n v="296.5"/>
    <n v="54.25"/>
    <n v="17.625"/>
    <n v="118"/>
    <n v="101.5"/>
    <n v="296"/>
    <x v="0"/>
    <s v="PM10"/>
  </r>
  <r>
    <x v="134"/>
    <x v="0"/>
    <n v="12.6"/>
    <n v="108.7"/>
    <n v="63.3"/>
    <n v="4.08"/>
    <n v="5"/>
    <n v="1.43"/>
    <x v="266"/>
    <x v="298"/>
    <n v="3.48"/>
    <n v="21"/>
    <n v="108.7"/>
    <n v="79.125"/>
    <n v="10.199999999999999"/>
    <n v="12.5"/>
    <n v="71.5"/>
    <n v="109"/>
    <x v="1"/>
    <s v="PM10"/>
  </r>
  <r>
    <x v="134"/>
    <x v="1"/>
    <n v="105.6"/>
    <n v="221.6"/>
    <n v="86.7"/>
    <n v="23.76"/>
    <n v="38.9"/>
    <n v="1.58"/>
    <x v="123"/>
    <x v="245"/>
    <n v="4.34"/>
    <n v="176"/>
    <n v="221.6"/>
    <n v="108.375"/>
    <n v="59.4"/>
    <n v="97.25"/>
    <n v="79"/>
    <n v="222"/>
    <x v="0"/>
    <s v="PM10"/>
  </r>
  <r>
    <x v="134"/>
    <x v="2"/>
    <n v="18.7"/>
    <n v="64.900000000000006"/>
    <n v="68.900000000000006"/>
    <n v="12.45"/>
    <n v="29.4"/>
    <n v="1.63"/>
    <x v="126"/>
    <x v="113"/>
    <n v="2.59"/>
    <n v="31.166666666666661"/>
    <n v="64.900000000000006"/>
    <n v="86.125"/>
    <n v="31.125"/>
    <n v="73.5"/>
    <n v="81.499999999999986"/>
    <n v="86"/>
    <x v="3"/>
    <s v="NO2"/>
  </r>
  <r>
    <x v="134"/>
    <x v="3"/>
    <n v="90.8"/>
    <n v="278.5"/>
    <n v="57"/>
    <n v="8.25"/>
    <n v="58.1"/>
    <n v="0.98"/>
    <x v="233"/>
    <x v="161"/>
    <n v="2.17"/>
    <n v="151.33333333333329"/>
    <n v="278.5"/>
    <n v="71.25"/>
    <n v="20.625"/>
    <n v="145.25"/>
    <n v="49"/>
    <n v="278"/>
    <x v="0"/>
    <s v="PM10"/>
  </r>
  <r>
    <x v="134"/>
    <x v="4"/>
    <n v="38.4"/>
    <n v="204.4"/>
    <n v="68.599999999999994"/>
    <n v="6.06"/>
    <n v="59.9"/>
    <n v="0.32"/>
    <x v="158"/>
    <x v="412"/>
    <n v="5.05"/>
    <n v="64"/>
    <n v="204.4"/>
    <n v="85.75"/>
    <n v="15.15"/>
    <n v="149.75"/>
    <n v="16"/>
    <n v="204"/>
    <x v="0"/>
    <s v="PM10"/>
  </r>
  <r>
    <x v="135"/>
    <x v="0"/>
    <n v="42.4"/>
    <n v="49.8"/>
    <n v="31.2"/>
    <n v="1.51"/>
    <n v="84.4"/>
    <n v="2.4500000000000002"/>
    <x v="18"/>
    <x v="398"/>
    <n v="2.66"/>
    <n v="70.666666666666671"/>
    <n v="49.8"/>
    <n v="39"/>
    <n v="3.7749999999999999"/>
    <n v="211"/>
    <n v="122.5"/>
    <n v="211"/>
    <x v="0"/>
    <s v="O3"/>
  </r>
  <r>
    <x v="135"/>
    <x v="1"/>
    <n v="71.400000000000006"/>
    <n v="125"/>
    <n v="48.5"/>
    <n v="0.5"/>
    <n v="58.3"/>
    <n v="1.47"/>
    <x v="255"/>
    <x v="173"/>
    <n v="2.2999999999999998"/>
    <n v="119"/>
    <n v="125"/>
    <n v="60.625"/>
    <n v="1.25"/>
    <n v="145.75"/>
    <n v="73.5"/>
    <n v="146"/>
    <x v="1"/>
    <s v="O3"/>
  </r>
  <r>
    <x v="135"/>
    <x v="2"/>
    <n v="32.200000000000003"/>
    <n v="118.1"/>
    <n v="56.8"/>
    <n v="2.17"/>
    <n v="40.1"/>
    <n v="1.27"/>
    <x v="97"/>
    <x v="308"/>
    <n v="2.78"/>
    <n v="53.666666666666671"/>
    <n v="118.1"/>
    <n v="71"/>
    <n v="5.4249999999999998"/>
    <n v="100.25"/>
    <n v="63.5"/>
    <n v="118"/>
    <x v="1"/>
    <s v="PM10"/>
  </r>
  <r>
    <x v="135"/>
    <x v="3"/>
    <n v="26"/>
    <n v="141"/>
    <n v="27.1"/>
    <n v="13.31"/>
    <n v="98.4"/>
    <n v="0.68"/>
    <x v="229"/>
    <x v="79"/>
    <n v="3.75"/>
    <n v="43.333333333333343"/>
    <n v="141"/>
    <n v="33.875"/>
    <n v="33.274999999999999"/>
    <n v="246"/>
    <n v="34"/>
    <n v="246"/>
    <x v="0"/>
    <s v="O3"/>
  </r>
  <r>
    <x v="135"/>
    <x v="4"/>
    <n v="24.2"/>
    <n v="163.69999999999999"/>
    <n v="30.3"/>
    <n v="7.66"/>
    <n v="15.6"/>
    <n v="1.86"/>
    <x v="10"/>
    <x v="364"/>
    <n v="2.59"/>
    <n v="40.333333333333329"/>
    <n v="163.69999999999999"/>
    <n v="37.875"/>
    <n v="19.149999999999999"/>
    <n v="39"/>
    <n v="93"/>
    <n v="164"/>
    <x v="1"/>
    <s v="PM10"/>
  </r>
  <r>
    <x v="136"/>
    <x v="0"/>
    <n v="65.099999999999994"/>
    <n v="148.19999999999999"/>
    <n v="34.200000000000003"/>
    <n v="10.41"/>
    <n v="90"/>
    <n v="0.84"/>
    <x v="272"/>
    <x v="113"/>
    <n v="1.52"/>
    <n v="108.5"/>
    <n v="148.19999999999999"/>
    <n v="42.75"/>
    <n v="26.024999999999999"/>
    <n v="225"/>
    <n v="41.999999999999993"/>
    <n v="225"/>
    <x v="0"/>
    <s v="O3"/>
  </r>
  <r>
    <x v="136"/>
    <x v="1"/>
    <n v="20.399999999999999"/>
    <n v="172.6"/>
    <n v="42.6"/>
    <n v="21.68"/>
    <n v="51.1"/>
    <n v="0.9"/>
    <x v="40"/>
    <x v="426"/>
    <n v="1.81"/>
    <n v="33.999999999999993"/>
    <n v="172.6"/>
    <n v="53.25"/>
    <n v="54.2"/>
    <n v="127.75"/>
    <n v="45"/>
    <n v="173"/>
    <x v="1"/>
    <s v="PM10"/>
  </r>
  <r>
    <x v="136"/>
    <x v="2"/>
    <n v="58.2"/>
    <n v="168.5"/>
    <n v="33.5"/>
    <n v="7.38"/>
    <n v="37.6"/>
    <n v="1.53"/>
    <x v="166"/>
    <x v="105"/>
    <n v="2.58"/>
    <n v="97"/>
    <n v="168.5"/>
    <n v="41.875"/>
    <n v="18.45"/>
    <n v="94"/>
    <n v="76.5"/>
    <n v="168"/>
    <x v="1"/>
    <s v="PM10"/>
  </r>
  <r>
    <x v="136"/>
    <x v="3"/>
    <n v="48.8"/>
    <n v="31.3"/>
    <n v="50.2"/>
    <n v="17.46"/>
    <n v="17.899999999999999"/>
    <n v="0.74"/>
    <x v="51"/>
    <x v="286"/>
    <n v="3.04"/>
    <n v="81.333333333333329"/>
    <n v="31.3"/>
    <n v="62.75"/>
    <n v="43.65"/>
    <n v="44.75"/>
    <n v="37"/>
    <n v="81"/>
    <x v="3"/>
    <s v="PM2.5"/>
  </r>
  <r>
    <x v="136"/>
    <x v="4"/>
    <n v="60.8"/>
    <n v="71.400000000000006"/>
    <n v="51.5"/>
    <n v="0.5"/>
    <n v="47.9"/>
    <n v="1.9"/>
    <x v="4"/>
    <x v="44"/>
    <n v="4.9000000000000004"/>
    <n v="101.3333333333333"/>
    <n v="71.400000000000006"/>
    <n v="64.375"/>
    <n v="1.25"/>
    <n v="119.75"/>
    <n v="95"/>
    <n v="120"/>
    <x v="1"/>
    <s v="O3"/>
  </r>
  <r>
    <x v="137"/>
    <x v="0"/>
    <n v="47.9"/>
    <n v="216.4"/>
    <n v="48.2"/>
    <n v="8.27"/>
    <n v="58.6"/>
    <n v="0.77"/>
    <x v="222"/>
    <x v="210"/>
    <n v="0.92"/>
    <n v="79.833333333333329"/>
    <n v="216.4"/>
    <n v="60.250000000000007"/>
    <n v="20.675000000000001"/>
    <n v="146.5"/>
    <n v="38.5"/>
    <n v="216"/>
    <x v="0"/>
    <s v="PM10"/>
  </r>
  <r>
    <x v="137"/>
    <x v="1"/>
    <n v="87.7"/>
    <n v="130.30000000000001"/>
    <n v="52.3"/>
    <n v="2.44"/>
    <n v="99.7"/>
    <n v="2.16"/>
    <x v="273"/>
    <x v="427"/>
    <n v="0.42"/>
    <n v="146.16666666666671"/>
    <n v="130.30000000000001"/>
    <n v="65.375"/>
    <n v="6.1"/>
    <n v="249.25"/>
    <n v="108"/>
    <n v="249"/>
    <x v="0"/>
    <s v="O3"/>
  </r>
  <r>
    <x v="137"/>
    <x v="2"/>
    <n v="112.7"/>
    <n v="110.5"/>
    <n v="28.5"/>
    <n v="9.58"/>
    <n v="65.7"/>
    <n v="1.1299999999999999"/>
    <x v="176"/>
    <x v="428"/>
    <n v="1.21"/>
    <n v="187.83333333333329"/>
    <n v="110.5"/>
    <n v="35.625"/>
    <n v="23.95"/>
    <n v="164.25"/>
    <n v="56.499999999999993"/>
    <n v="188"/>
    <x v="1"/>
    <s v="PM2.5"/>
  </r>
  <r>
    <x v="137"/>
    <x v="3"/>
    <n v="39.799999999999997"/>
    <n v="177.5"/>
    <n v="2"/>
    <n v="7.25"/>
    <n v="4.2"/>
    <n v="0.91"/>
    <x v="108"/>
    <x v="377"/>
    <n v="1.84"/>
    <n v="66.333333333333329"/>
    <n v="177.5"/>
    <n v="2.5"/>
    <n v="18.125"/>
    <n v="10.5"/>
    <n v="45.5"/>
    <n v="178"/>
    <x v="1"/>
    <s v="PM10"/>
  </r>
  <r>
    <x v="137"/>
    <x v="4"/>
    <n v="29.8"/>
    <n v="283.3"/>
    <n v="90.6"/>
    <n v="2.41"/>
    <n v="87.5"/>
    <n v="1.06"/>
    <x v="222"/>
    <x v="363"/>
    <n v="2.21"/>
    <n v="49.666666666666657"/>
    <n v="283.3"/>
    <n v="113.25"/>
    <n v="6.0250000000000004"/>
    <n v="218.75"/>
    <n v="53.000000000000007"/>
    <n v="283"/>
    <x v="0"/>
    <s v="PM10"/>
  </r>
  <r>
    <x v="138"/>
    <x v="0"/>
    <n v="102.9"/>
    <n v="146.69999999999999"/>
    <n v="40.799999999999997"/>
    <n v="1.7"/>
    <n v="20.3"/>
    <n v="0.25"/>
    <x v="146"/>
    <x v="174"/>
    <n v="2.1800000000000002"/>
    <n v="171.5"/>
    <n v="146.69999999999999"/>
    <n v="51"/>
    <n v="4.25"/>
    <n v="50.75"/>
    <n v="12.5"/>
    <n v="172"/>
    <x v="1"/>
    <s v="PM2.5"/>
  </r>
  <r>
    <x v="138"/>
    <x v="1"/>
    <n v="126.4"/>
    <n v="239.9"/>
    <n v="55.4"/>
    <n v="9.4600000000000009"/>
    <n v="108.7"/>
    <n v="1.89"/>
    <x v="109"/>
    <x v="429"/>
    <n v="2.97"/>
    <n v="210.66666666666671"/>
    <n v="239.9"/>
    <n v="69.249999999999986"/>
    <n v="23.65"/>
    <n v="271.75"/>
    <n v="94.5"/>
    <n v="272"/>
    <x v="0"/>
    <s v="O3"/>
  </r>
  <r>
    <x v="138"/>
    <x v="2"/>
    <n v="80.599999999999994"/>
    <n v="78"/>
    <n v="48.3"/>
    <n v="5.87"/>
    <n v="33.6"/>
    <n v="0.05"/>
    <x v="196"/>
    <x v="424"/>
    <n v="1.74"/>
    <n v="134.33333333333329"/>
    <n v="78"/>
    <n v="60.375"/>
    <n v="14.675000000000001"/>
    <n v="84"/>
    <n v="2.5"/>
    <n v="134"/>
    <x v="1"/>
    <s v="PM2.5"/>
  </r>
  <r>
    <x v="138"/>
    <x v="3"/>
    <n v="61.6"/>
    <n v="74.599999999999994"/>
    <n v="52.2"/>
    <n v="6.92"/>
    <n v="16.5"/>
    <n v="2"/>
    <x v="155"/>
    <x v="159"/>
    <n v="3.1"/>
    <n v="102.6666666666667"/>
    <n v="74.599999999999994"/>
    <n v="65.25"/>
    <n v="17.3"/>
    <n v="41.25"/>
    <n v="100"/>
    <n v="103"/>
    <x v="1"/>
    <s v="PM2.5"/>
  </r>
  <r>
    <x v="138"/>
    <x v="4"/>
    <n v="83.7"/>
    <n v="174.4"/>
    <n v="12.2"/>
    <n v="14.34"/>
    <n v="28.3"/>
    <n v="1.08"/>
    <x v="274"/>
    <x v="12"/>
    <n v="2.54"/>
    <n v="139.5"/>
    <n v="174.4"/>
    <n v="15.25"/>
    <n v="35.85"/>
    <n v="70.750000000000014"/>
    <n v="54.000000000000007"/>
    <n v="174"/>
    <x v="1"/>
    <s v="PM10"/>
  </r>
  <r>
    <x v="139"/>
    <x v="0"/>
    <n v="2"/>
    <n v="233.9"/>
    <n v="20.8"/>
    <n v="3.43"/>
    <n v="36.5"/>
    <n v="2.36"/>
    <x v="50"/>
    <x v="430"/>
    <n v="2.87"/>
    <n v="3.333333333333333"/>
    <n v="233.9"/>
    <n v="26"/>
    <n v="8.5750000000000011"/>
    <n v="91.25"/>
    <n v="118"/>
    <n v="234"/>
    <x v="0"/>
    <s v="PM10"/>
  </r>
  <r>
    <x v="139"/>
    <x v="1"/>
    <n v="52.5"/>
    <n v="160.5"/>
    <n v="58.1"/>
    <n v="16.05"/>
    <n v="80.2"/>
    <n v="1.87"/>
    <x v="275"/>
    <x v="96"/>
    <n v="2.39"/>
    <n v="87.5"/>
    <n v="160.5"/>
    <n v="72.625"/>
    <n v="40.125"/>
    <n v="200.5"/>
    <n v="93.5"/>
    <n v="200"/>
    <x v="1"/>
    <s v="O3"/>
  </r>
  <r>
    <x v="139"/>
    <x v="2"/>
    <n v="26.2"/>
    <n v="91"/>
    <n v="44.4"/>
    <n v="11.92"/>
    <n v="33.6"/>
    <n v="0.45"/>
    <x v="55"/>
    <x v="2"/>
    <n v="2.72"/>
    <n v="43.666666666666657"/>
    <n v="91"/>
    <n v="55.5"/>
    <n v="29.8"/>
    <n v="84"/>
    <n v="22.5"/>
    <n v="91"/>
    <x v="3"/>
    <s v="PM10"/>
  </r>
  <r>
    <x v="139"/>
    <x v="3"/>
    <n v="87.6"/>
    <n v="181.1"/>
    <n v="33.1"/>
    <n v="4.92"/>
    <n v="14"/>
    <n v="1.62"/>
    <x v="268"/>
    <x v="23"/>
    <n v="2.21"/>
    <n v="146"/>
    <n v="181.1"/>
    <n v="41.375"/>
    <n v="12.3"/>
    <n v="35"/>
    <n v="81"/>
    <n v="181"/>
    <x v="1"/>
    <s v="PM10"/>
  </r>
  <r>
    <x v="139"/>
    <x v="4"/>
    <n v="114.4"/>
    <n v="165.4"/>
    <n v="59.1"/>
    <n v="2.25"/>
    <n v="62.7"/>
    <n v="0.71"/>
    <x v="67"/>
    <x v="294"/>
    <n v="2.2999999999999998"/>
    <n v="190.66666666666671"/>
    <n v="165.4"/>
    <n v="73.875"/>
    <n v="5.625"/>
    <n v="156.75"/>
    <n v="35.5"/>
    <n v="191"/>
    <x v="1"/>
    <s v="PM2.5"/>
  </r>
  <r>
    <x v="140"/>
    <x v="0"/>
    <n v="61.4"/>
    <n v="38.6"/>
    <n v="73.8"/>
    <n v="15.68"/>
    <n v="1"/>
    <n v="2.06"/>
    <x v="9"/>
    <x v="431"/>
    <n v="2.42"/>
    <n v="102.3333333333333"/>
    <n v="38.6"/>
    <n v="92.25"/>
    <n v="39.200000000000003"/>
    <n v="2.5"/>
    <n v="103"/>
    <n v="103"/>
    <x v="1"/>
    <s v="CO"/>
  </r>
  <r>
    <x v="140"/>
    <x v="1"/>
    <n v="76.099999999999994"/>
    <n v="136.1"/>
    <n v="86.6"/>
    <n v="2.25"/>
    <n v="69"/>
    <n v="2.33"/>
    <x v="132"/>
    <x v="62"/>
    <n v="1.87"/>
    <n v="126.8333333333333"/>
    <n v="136.1"/>
    <n v="108.25"/>
    <n v="5.625"/>
    <n v="172.5"/>
    <n v="116.5"/>
    <n v="172"/>
    <x v="1"/>
    <s v="O3"/>
  </r>
  <r>
    <x v="140"/>
    <x v="2"/>
    <n v="84.3"/>
    <n v="108"/>
    <n v="66.2"/>
    <n v="7.56"/>
    <n v="28.8"/>
    <n v="1.88"/>
    <x v="16"/>
    <x v="432"/>
    <n v="1.88"/>
    <n v="140.5"/>
    <n v="108"/>
    <n v="82.75"/>
    <n v="18.899999999999999"/>
    <n v="72.000000000000014"/>
    <n v="94"/>
    <n v="140"/>
    <x v="1"/>
    <s v="PM2.5"/>
  </r>
  <r>
    <x v="140"/>
    <x v="3"/>
    <n v="78.599999999999994"/>
    <n v="203.5"/>
    <n v="47.2"/>
    <n v="14.59"/>
    <n v="6"/>
    <n v="0.93"/>
    <x v="185"/>
    <x v="26"/>
    <n v="2.6"/>
    <n v="131"/>
    <n v="203.5"/>
    <n v="59.000000000000007"/>
    <n v="36.475000000000001"/>
    <n v="15"/>
    <n v="46.5"/>
    <n v="204"/>
    <x v="0"/>
    <s v="PM10"/>
  </r>
  <r>
    <x v="140"/>
    <x v="4"/>
    <n v="88.8"/>
    <n v="102.6"/>
    <n v="52.6"/>
    <n v="8.5500000000000007"/>
    <n v="18.5"/>
    <n v="1.24"/>
    <x v="142"/>
    <x v="433"/>
    <n v="3.04"/>
    <n v="148"/>
    <n v="102.6"/>
    <n v="65.75"/>
    <n v="21.375"/>
    <n v="46.25"/>
    <n v="62"/>
    <n v="148"/>
    <x v="1"/>
    <s v="PM2.5"/>
  </r>
  <r>
    <x v="141"/>
    <x v="0"/>
    <n v="71.599999999999994"/>
    <n v="108.2"/>
    <n v="81"/>
    <n v="2.48"/>
    <n v="25.3"/>
    <n v="3.3"/>
    <x v="227"/>
    <x v="152"/>
    <n v="3.38"/>
    <n v="119.3333333333333"/>
    <n v="108.2"/>
    <n v="101.25"/>
    <n v="6.2"/>
    <n v="63.25"/>
    <n v="165"/>
    <n v="165"/>
    <x v="1"/>
    <s v="CO"/>
  </r>
  <r>
    <x v="141"/>
    <x v="1"/>
    <n v="2"/>
    <n v="132.4"/>
    <n v="109.9"/>
    <n v="0.5"/>
    <n v="1"/>
    <n v="0.38"/>
    <x v="117"/>
    <x v="219"/>
    <n v="1.88"/>
    <n v="3.333333333333333"/>
    <n v="132.4"/>
    <n v="137.375"/>
    <n v="1.25"/>
    <n v="2.5"/>
    <n v="19"/>
    <n v="137"/>
    <x v="1"/>
    <s v="NO2"/>
  </r>
  <r>
    <x v="141"/>
    <x v="2"/>
    <n v="76.5"/>
    <n v="193.2"/>
    <n v="76.7"/>
    <n v="6.43"/>
    <n v="1"/>
    <n v="0.67"/>
    <x v="213"/>
    <x v="255"/>
    <n v="2.27"/>
    <n v="127.5"/>
    <n v="193.2"/>
    <n v="95.875"/>
    <n v="16.074999999999999"/>
    <n v="2.5"/>
    <n v="33.5"/>
    <n v="193"/>
    <x v="1"/>
    <s v="PM10"/>
  </r>
  <r>
    <x v="141"/>
    <x v="3"/>
    <n v="93.6"/>
    <n v="196.5"/>
    <n v="41.6"/>
    <n v="13.49"/>
    <n v="48.9"/>
    <n v="1.24"/>
    <x v="117"/>
    <x v="68"/>
    <n v="4.97"/>
    <n v="156"/>
    <n v="196.5"/>
    <n v="52.000000000000007"/>
    <n v="33.725000000000001"/>
    <n v="122.25"/>
    <n v="62"/>
    <n v="196"/>
    <x v="1"/>
    <s v="PM10"/>
  </r>
  <r>
    <x v="141"/>
    <x v="4"/>
    <n v="18.5"/>
    <n v="98"/>
    <n v="46.7"/>
    <n v="11.22"/>
    <n v="78.900000000000006"/>
    <n v="1.3"/>
    <x v="35"/>
    <x v="434"/>
    <n v="3.91"/>
    <n v="30.833333333333339"/>
    <n v="98"/>
    <n v="58.375"/>
    <n v="28.05"/>
    <n v="197.25"/>
    <n v="65"/>
    <n v="197"/>
    <x v="1"/>
    <s v="O3"/>
  </r>
  <r>
    <x v="142"/>
    <x v="0"/>
    <n v="2"/>
    <n v="137.69999999999999"/>
    <n v="15.2"/>
    <n v="5.38"/>
    <n v="20"/>
    <n v="1.94"/>
    <x v="116"/>
    <x v="310"/>
    <n v="3.56"/>
    <n v="3.333333333333333"/>
    <n v="137.69999999999999"/>
    <n v="19"/>
    <n v="13.45"/>
    <n v="50"/>
    <n v="97"/>
    <n v="138"/>
    <x v="1"/>
    <s v="PM10"/>
  </r>
  <r>
    <x v="142"/>
    <x v="1"/>
    <n v="21.2"/>
    <n v="174.8"/>
    <n v="35.9"/>
    <n v="7.71"/>
    <n v="65.8"/>
    <n v="1.89"/>
    <x v="143"/>
    <x v="328"/>
    <n v="2.87"/>
    <n v="35.333333333333343"/>
    <n v="174.8"/>
    <n v="44.875"/>
    <n v="19.274999999999999"/>
    <n v="164.5"/>
    <n v="94.5"/>
    <n v="175"/>
    <x v="1"/>
    <s v="PM10"/>
  </r>
  <r>
    <x v="142"/>
    <x v="2"/>
    <n v="44.5"/>
    <n v="124.4"/>
    <n v="51.1"/>
    <n v="7.13"/>
    <n v="1"/>
    <n v="1.33"/>
    <x v="139"/>
    <x v="5"/>
    <n v="0.96"/>
    <n v="74.166666666666671"/>
    <n v="124.4"/>
    <n v="63.875"/>
    <n v="17.824999999999999"/>
    <n v="2.5"/>
    <n v="66.5"/>
    <n v="124"/>
    <x v="1"/>
    <s v="PM10"/>
  </r>
  <r>
    <x v="142"/>
    <x v="3"/>
    <n v="104.3"/>
    <n v="149.5"/>
    <n v="40.4"/>
    <n v="2.31"/>
    <n v="19.5"/>
    <n v="1.98"/>
    <x v="191"/>
    <x v="146"/>
    <n v="3.11"/>
    <n v="173.83333333333329"/>
    <n v="149.5"/>
    <n v="50.499999999999993"/>
    <n v="5.7749999999999986"/>
    <n v="48.75"/>
    <n v="99"/>
    <n v="174"/>
    <x v="1"/>
    <s v="PM2.5"/>
  </r>
  <r>
    <x v="142"/>
    <x v="4"/>
    <n v="39.1"/>
    <n v="231.1"/>
    <n v="79.3"/>
    <n v="6.23"/>
    <n v="26.7"/>
    <n v="0.05"/>
    <x v="63"/>
    <x v="435"/>
    <n v="3.16"/>
    <n v="65.166666666666671"/>
    <n v="231.1"/>
    <n v="99.124999999999986"/>
    <n v="15.574999999999999"/>
    <n v="66.75"/>
    <n v="2.5"/>
    <n v="231"/>
    <x v="0"/>
    <s v="PM10"/>
  </r>
  <r>
    <x v="143"/>
    <x v="0"/>
    <n v="57.7"/>
    <n v="45.2"/>
    <n v="45.3"/>
    <n v="12.11"/>
    <n v="61.2"/>
    <n v="7.0000000000000007E-2"/>
    <x v="131"/>
    <x v="223"/>
    <n v="3.58"/>
    <n v="96.166666666666671"/>
    <n v="45.2"/>
    <n v="56.624999999999993"/>
    <n v="30.274999999999999"/>
    <n v="153"/>
    <n v="3.5"/>
    <n v="153"/>
    <x v="1"/>
    <s v="O3"/>
  </r>
  <r>
    <x v="143"/>
    <x v="1"/>
    <n v="104.4"/>
    <n v="82.6"/>
    <n v="37.1"/>
    <n v="7.12"/>
    <n v="1"/>
    <n v="1.75"/>
    <x v="85"/>
    <x v="323"/>
    <n v="1.18"/>
    <n v="174"/>
    <n v="82.6"/>
    <n v="46.375"/>
    <n v="17.8"/>
    <n v="2.5"/>
    <n v="87.5"/>
    <n v="174"/>
    <x v="1"/>
    <s v="PM2.5"/>
  </r>
  <r>
    <x v="143"/>
    <x v="2"/>
    <n v="39.4"/>
    <n v="28.1"/>
    <n v="23.7"/>
    <n v="1.99"/>
    <n v="61.7"/>
    <n v="0.74"/>
    <x v="222"/>
    <x v="210"/>
    <n v="0.98"/>
    <n v="65.666666666666671"/>
    <n v="28.1"/>
    <n v="29.625"/>
    <n v="4.9750000000000014"/>
    <n v="154.25"/>
    <n v="37"/>
    <n v="154"/>
    <x v="1"/>
    <s v="O3"/>
  </r>
  <r>
    <x v="143"/>
    <x v="3"/>
    <n v="55"/>
    <n v="155.9"/>
    <n v="20.8"/>
    <n v="12.05"/>
    <n v="18.8"/>
    <n v="0.91"/>
    <x v="229"/>
    <x v="332"/>
    <n v="2.5499999999999998"/>
    <n v="91.666666666666657"/>
    <n v="155.9"/>
    <n v="26"/>
    <n v="30.125"/>
    <n v="47"/>
    <n v="45.5"/>
    <n v="156"/>
    <x v="1"/>
    <s v="PM10"/>
  </r>
  <r>
    <x v="143"/>
    <x v="4"/>
    <n v="55.6"/>
    <n v="140.5"/>
    <n v="2"/>
    <n v="0.5"/>
    <n v="60.9"/>
    <n v="2"/>
    <x v="36"/>
    <x v="269"/>
    <n v="3.35"/>
    <n v="92.666666666666671"/>
    <n v="140.5"/>
    <n v="2.5"/>
    <n v="1.25"/>
    <n v="152.25"/>
    <n v="100"/>
    <n v="152"/>
    <x v="1"/>
    <s v="O3"/>
  </r>
  <r>
    <x v="144"/>
    <x v="0"/>
    <n v="92.9"/>
    <n v="5"/>
    <n v="31.4"/>
    <n v="7.29"/>
    <n v="66.2"/>
    <n v="3.1"/>
    <x v="196"/>
    <x v="167"/>
    <n v="2.98"/>
    <n v="154.83333333333329"/>
    <n v="5"/>
    <n v="39.25"/>
    <n v="18.225000000000001"/>
    <n v="165.5"/>
    <n v="155"/>
    <n v="166"/>
    <x v="1"/>
    <s v="O3"/>
  </r>
  <r>
    <x v="144"/>
    <x v="1"/>
    <n v="124.5"/>
    <n v="158.1"/>
    <n v="33.6"/>
    <n v="15.99"/>
    <n v="70.7"/>
    <n v="0.73"/>
    <x v="235"/>
    <x v="436"/>
    <n v="3.92"/>
    <n v="207.5"/>
    <n v="158.1"/>
    <n v="42"/>
    <n v="39.975000000000001"/>
    <n v="176.75"/>
    <n v="36.5"/>
    <n v="208"/>
    <x v="0"/>
    <s v="PM2.5"/>
  </r>
  <r>
    <x v="144"/>
    <x v="2"/>
    <n v="55.1"/>
    <n v="93.6"/>
    <n v="66.099999999999994"/>
    <n v="1.85"/>
    <n v="48.4"/>
    <n v="0.36"/>
    <x v="243"/>
    <x v="437"/>
    <n v="4.0199999999999996"/>
    <n v="91.833333333333343"/>
    <n v="93.6"/>
    <n v="82.624999999999986"/>
    <n v="4.6250000000000009"/>
    <n v="121"/>
    <n v="18"/>
    <n v="121"/>
    <x v="1"/>
    <s v="O3"/>
  </r>
  <r>
    <x v="144"/>
    <x v="3"/>
    <n v="74.7"/>
    <n v="46.6"/>
    <n v="73.5"/>
    <n v="15.76"/>
    <n v="62.1"/>
    <n v="0.74"/>
    <x v="108"/>
    <x v="438"/>
    <n v="1.66"/>
    <n v="124.5"/>
    <n v="46.6"/>
    <n v="91.875"/>
    <n v="39.4"/>
    <n v="155.25"/>
    <n v="37"/>
    <n v="155"/>
    <x v="1"/>
    <s v="O3"/>
  </r>
  <r>
    <x v="144"/>
    <x v="4"/>
    <n v="121.8"/>
    <n v="141.5"/>
    <n v="2"/>
    <n v="10.67"/>
    <n v="34.4"/>
    <n v="1.27"/>
    <x v="276"/>
    <x v="439"/>
    <n v="4.34"/>
    <n v="203"/>
    <n v="141.5"/>
    <n v="2.5"/>
    <n v="26.675000000000001"/>
    <n v="86"/>
    <n v="63.5"/>
    <n v="203"/>
    <x v="0"/>
    <s v="PM2.5"/>
  </r>
  <r>
    <x v="145"/>
    <x v="0"/>
    <n v="78.8"/>
    <n v="114.6"/>
    <n v="50.8"/>
    <n v="9.31"/>
    <n v="22.9"/>
    <n v="1.78"/>
    <x v="130"/>
    <x v="440"/>
    <n v="4.01"/>
    <n v="131.33333333333329"/>
    <n v="114.6"/>
    <n v="63.5"/>
    <n v="23.274999999999999"/>
    <n v="57.249999999999993"/>
    <n v="89"/>
    <n v="131"/>
    <x v="1"/>
    <s v="PM2.5"/>
  </r>
  <r>
    <x v="145"/>
    <x v="1"/>
    <n v="49.3"/>
    <n v="211.5"/>
    <n v="32.5"/>
    <n v="14.35"/>
    <n v="33.9"/>
    <n v="0.73"/>
    <x v="164"/>
    <x v="441"/>
    <n v="0.4"/>
    <n v="82.166666666666671"/>
    <n v="211.5"/>
    <n v="40.625"/>
    <n v="35.875"/>
    <n v="84.749999999999986"/>
    <n v="36.5"/>
    <n v="212"/>
    <x v="0"/>
    <s v="PM10"/>
  </r>
  <r>
    <x v="145"/>
    <x v="2"/>
    <n v="51.9"/>
    <n v="118.7"/>
    <n v="35.700000000000003"/>
    <n v="0.5"/>
    <n v="18.600000000000001"/>
    <n v="1.36"/>
    <x v="166"/>
    <x v="196"/>
    <n v="3.89"/>
    <n v="86.5"/>
    <n v="118.7"/>
    <n v="44.625000000000007"/>
    <n v="1.25"/>
    <n v="46.500000000000007"/>
    <n v="68"/>
    <n v="119"/>
    <x v="1"/>
    <s v="PM10"/>
  </r>
  <r>
    <x v="145"/>
    <x v="3"/>
    <n v="71.900000000000006"/>
    <n v="75.2"/>
    <n v="39.4"/>
    <n v="0.99"/>
    <n v="37.299999999999997"/>
    <n v="1.87"/>
    <x v="39"/>
    <x v="442"/>
    <n v="2.14"/>
    <n v="119.8333333333333"/>
    <n v="75.2"/>
    <n v="49.249999999999993"/>
    <n v="2.4750000000000001"/>
    <n v="93.25"/>
    <n v="93.5"/>
    <n v="120"/>
    <x v="1"/>
    <s v="PM2.5"/>
  </r>
  <r>
    <x v="145"/>
    <x v="4"/>
    <n v="110.4"/>
    <n v="119.2"/>
    <n v="81.900000000000006"/>
    <n v="8.68"/>
    <n v="63.4"/>
    <n v="2.29"/>
    <x v="102"/>
    <x v="415"/>
    <n v="4.55"/>
    <n v="184"/>
    <n v="119.2"/>
    <n v="102.375"/>
    <n v="21.7"/>
    <n v="158.5"/>
    <n v="114.5"/>
    <n v="184"/>
    <x v="1"/>
    <s v="PM2.5"/>
  </r>
  <r>
    <x v="146"/>
    <x v="0"/>
    <n v="64.400000000000006"/>
    <n v="46.9"/>
    <n v="101"/>
    <n v="6.5"/>
    <n v="50.6"/>
    <n v="2.1800000000000002"/>
    <x v="208"/>
    <x v="443"/>
    <n v="2.8"/>
    <n v="107.3333333333333"/>
    <n v="46.9"/>
    <n v="126.25"/>
    <n v="16.25"/>
    <n v="126.5"/>
    <n v="109"/>
    <n v="126"/>
    <x v="1"/>
    <s v="O3"/>
  </r>
  <r>
    <x v="146"/>
    <x v="1"/>
    <n v="7.8"/>
    <n v="128.4"/>
    <n v="62.4"/>
    <n v="8.31"/>
    <n v="1.8"/>
    <n v="2.7"/>
    <x v="197"/>
    <x v="244"/>
    <n v="2.19"/>
    <n v="13"/>
    <n v="128.4"/>
    <n v="78"/>
    <n v="20.774999999999999"/>
    <n v="4.5000000000000009"/>
    <n v="135"/>
    <n v="135"/>
    <x v="1"/>
    <s v="CO"/>
  </r>
  <r>
    <x v="146"/>
    <x v="2"/>
    <n v="31.9"/>
    <n v="129.30000000000001"/>
    <n v="38.700000000000003"/>
    <n v="2.0099999999999998"/>
    <n v="72.900000000000006"/>
    <n v="0.79"/>
    <x v="277"/>
    <x v="102"/>
    <n v="1.89"/>
    <n v="53.166666666666657"/>
    <n v="129.30000000000001"/>
    <n v="48.375"/>
    <n v="5.0249999999999986"/>
    <n v="182.25"/>
    <n v="39.5"/>
    <n v="182"/>
    <x v="1"/>
    <s v="O3"/>
  </r>
  <r>
    <x v="146"/>
    <x v="3"/>
    <n v="41.8"/>
    <n v="14.1"/>
    <n v="79.8"/>
    <n v="1.55"/>
    <n v="41.5"/>
    <n v="1.75"/>
    <x v="261"/>
    <x v="363"/>
    <n v="0.46"/>
    <n v="69.666666666666671"/>
    <n v="14.1"/>
    <n v="99.749999999999986"/>
    <n v="3.875"/>
    <n v="103.75"/>
    <n v="87.5"/>
    <n v="104"/>
    <x v="1"/>
    <s v="O3"/>
  </r>
  <r>
    <x v="146"/>
    <x v="4"/>
    <n v="39.299999999999997"/>
    <n v="144.4"/>
    <n v="32.200000000000003"/>
    <n v="9.92"/>
    <n v="62.7"/>
    <n v="1.96"/>
    <x v="94"/>
    <x v="444"/>
    <n v="3.92"/>
    <n v="65.499999999999986"/>
    <n v="144.4"/>
    <n v="40.25"/>
    <n v="24.8"/>
    <n v="156.75"/>
    <n v="98"/>
    <n v="157"/>
    <x v="1"/>
    <s v="O3"/>
  </r>
  <r>
    <x v="147"/>
    <x v="0"/>
    <n v="68.900000000000006"/>
    <n v="213.2"/>
    <n v="106.2"/>
    <n v="0.93"/>
    <n v="39.5"/>
    <n v="0.05"/>
    <x v="158"/>
    <x v="150"/>
    <n v="2.4500000000000002"/>
    <n v="114.8333333333333"/>
    <n v="213.2"/>
    <n v="132.75"/>
    <n v="2.3250000000000002"/>
    <n v="98.75"/>
    <n v="2.5"/>
    <n v="213"/>
    <x v="0"/>
    <s v="PM10"/>
  </r>
  <r>
    <x v="147"/>
    <x v="1"/>
    <n v="50.5"/>
    <n v="5"/>
    <n v="65.599999999999994"/>
    <n v="19.100000000000001"/>
    <n v="31.5"/>
    <n v="1.83"/>
    <x v="92"/>
    <x v="445"/>
    <n v="2.0299999999999998"/>
    <n v="84.166666666666671"/>
    <n v="5"/>
    <n v="81.999999999999986"/>
    <n v="47.75"/>
    <n v="78.75"/>
    <n v="91.5"/>
    <n v="92"/>
    <x v="3"/>
    <s v="CO"/>
  </r>
  <r>
    <x v="147"/>
    <x v="2"/>
    <n v="35.299999999999997"/>
    <n v="70.7"/>
    <n v="35.299999999999997"/>
    <n v="9.42"/>
    <n v="6.8"/>
    <n v="0.91"/>
    <x v="172"/>
    <x v="446"/>
    <n v="4.66"/>
    <n v="58.833333333333329"/>
    <n v="70.7"/>
    <n v="44.125"/>
    <n v="23.55"/>
    <n v="17"/>
    <n v="45.5"/>
    <n v="71"/>
    <x v="3"/>
    <s v="PM10"/>
  </r>
  <r>
    <x v="147"/>
    <x v="3"/>
    <n v="34.4"/>
    <n v="79.8"/>
    <n v="25.4"/>
    <n v="16.989999999999998"/>
    <n v="53.8"/>
    <n v="0.64"/>
    <x v="246"/>
    <x v="108"/>
    <n v="2.81"/>
    <n v="57.333333333333343"/>
    <n v="79.8"/>
    <n v="31.75"/>
    <n v="42.475000000000001"/>
    <n v="134.5"/>
    <n v="32"/>
    <n v="134"/>
    <x v="1"/>
    <s v="O3"/>
  </r>
  <r>
    <x v="147"/>
    <x v="4"/>
    <n v="54.6"/>
    <n v="82.5"/>
    <n v="56.9"/>
    <n v="5.8"/>
    <n v="94"/>
    <n v="0.48"/>
    <x v="278"/>
    <x v="309"/>
    <n v="3.36"/>
    <n v="91"/>
    <n v="82.5"/>
    <n v="71.125"/>
    <n v="14.5"/>
    <n v="235"/>
    <n v="24"/>
    <n v="235"/>
    <x v="0"/>
    <s v="O3"/>
  </r>
  <r>
    <x v="148"/>
    <x v="0"/>
    <n v="97.7"/>
    <n v="94.5"/>
    <n v="71.599999999999994"/>
    <n v="0.5"/>
    <n v="25.3"/>
    <n v="0.74"/>
    <x v="4"/>
    <x v="305"/>
    <n v="2.96"/>
    <n v="162.83333333333329"/>
    <n v="94.5"/>
    <n v="89.5"/>
    <n v="1.25"/>
    <n v="63.25"/>
    <n v="37"/>
    <n v="163"/>
    <x v="1"/>
    <s v="PM2.5"/>
  </r>
  <r>
    <x v="148"/>
    <x v="1"/>
    <n v="101.3"/>
    <n v="168.1"/>
    <n v="39.6"/>
    <n v="12.31"/>
    <n v="53.9"/>
    <n v="2.2000000000000002"/>
    <x v="50"/>
    <x v="85"/>
    <n v="1.42"/>
    <n v="168.83333333333329"/>
    <n v="168.1"/>
    <n v="49.5"/>
    <n v="30.774999999999999"/>
    <n v="134.75"/>
    <n v="110"/>
    <n v="169"/>
    <x v="1"/>
    <s v="PM2.5"/>
  </r>
  <r>
    <x v="148"/>
    <x v="2"/>
    <n v="38.4"/>
    <n v="82.7"/>
    <n v="36.799999999999997"/>
    <n v="8.8699999999999992"/>
    <n v="55"/>
    <n v="1.1100000000000001"/>
    <x v="146"/>
    <x v="438"/>
    <n v="1.88"/>
    <n v="64"/>
    <n v="82.7"/>
    <n v="46"/>
    <n v="22.175000000000001"/>
    <n v="137.5"/>
    <n v="55.500000000000007"/>
    <n v="138"/>
    <x v="1"/>
    <s v="O3"/>
  </r>
  <r>
    <x v="148"/>
    <x v="3"/>
    <n v="32.200000000000003"/>
    <n v="14.7"/>
    <n v="31.1"/>
    <n v="10.37"/>
    <n v="22.4"/>
    <n v="1.06"/>
    <x v="279"/>
    <x v="408"/>
    <n v="1.2"/>
    <n v="53.666666666666671"/>
    <n v="14.7"/>
    <n v="38.875"/>
    <n v="25.925000000000001"/>
    <n v="55.999999999999993"/>
    <n v="53.000000000000007"/>
    <n v="56"/>
    <x v="3"/>
    <s v="O3"/>
  </r>
  <r>
    <x v="148"/>
    <x v="4"/>
    <n v="98.9"/>
    <n v="206.4"/>
    <n v="24.6"/>
    <n v="4.2699999999999996"/>
    <n v="76.8"/>
    <n v="1.22"/>
    <x v="223"/>
    <x v="53"/>
    <n v="2.7"/>
    <n v="164.83333333333329"/>
    <n v="206.4"/>
    <n v="30.75"/>
    <n v="10.675000000000001"/>
    <n v="192"/>
    <n v="61"/>
    <n v="206"/>
    <x v="0"/>
    <s v="PM10"/>
  </r>
  <r>
    <x v="149"/>
    <x v="0"/>
    <n v="28.9"/>
    <n v="109.5"/>
    <n v="52.5"/>
    <n v="17.61"/>
    <n v="37.6"/>
    <n v="2.12"/>
    <x v="62"/>
    <x v="244"/>
    <n v="2.84"/>
    <n v="48.166666666666657"/>
    <n v="109.5"/>
    <n v="65.625"/>
    <n v="44.024999999999999"/>
    <n v="94"/>
    <n v="106"/>
    <n v="110"/>
    <x v="1"/>
    <s v="PM10"/>
  </r>
  <r>
    <x v="149"/>
    <x v="1"/>
    <n v="2"/>
    <n v="184.6"/>
    <n v="82.5"/>
    <n v="9.49"/>
    <n v="104.5"/>
    <n v="2.14"/>
    <x v="200"/>
    <x v="426"/>
    <n v="2.9"/>
    <n v="3.333333333333333"/>
    <n v="184.6"/>
    <n v="103.125"/>
    <n v="23.725000000000001"/>
    <n v="261.25"/>
    <n v="107"/>
    <n v="261"/>
    <x v="0"/>
    <s v="O3"/>
  </r>
  <r>
    <x v="149"/>
    <x v="2"/>
    <n v="2"/>
    <n v="85.5"/>
    <n v="65.5"/>
    <n v="3.76"/>
    <n v="32.700000000000003"/>
    <n v="0.54"/>
    <x v="280"/>
    <x v="447"/>
    <n v="1.44"/>
    <n v="3.333333333333333"/>
    <n v="85.5"/>
    <n v="81.875"/>
    <n v="9.3999999999999986"/>
    <n v="81.75"/>
    <n v="27"/>
    <n v="86"/>
    <x v="3"/>
    <s v="PM10"/>
  </r>
  <r>
    <x v="149"/>
    <x v="3"/>
    <n v="64.400000000000006"/>
    <n v="79.2"/>
    <n v="57.3"/>
    <n v="10.55"/>
    <n v="60.3"/>
    <n v="1.4"/>
    <x v="281"/>
    <x v="367"/>
    <n v="0.45"/>
    <n v="107.3333333333333"/>
    <n v="79.2"/>
    <n v="71.625"/>
    <n v="26.375"/>
    <n v="150.75"/>
    <n v="69.999999999999986"/>
    <n v="151"/>
    <x v="1"/>
    <s v="O3"/>
  </r>
  <r>
    <x v="149"/>
    <x v="4"/>
    <n v="53"/>
    <n v="28.5"/>
    <n v="16.7"/>
    <n v="3.29"/>
    <n v="18.600000000000001"/>
    <n v="0.69"/>
    <x v="150"/>
    <x v="193"/>
    <n v="2.78"/>
    <n v="88.333333333333329"/>
    <n v="28.5"/>
    <n v="20.875"/>
    <n v="8.2249999999999996"/>
    <n v="46.500000000000007"/>
    <n v="34.499999999999993"/>
    <n v="88"/>
    <x v="3"/>
    <s v="PM2.5"/>
  </r>
  <r>
    <x v="150"/>
    <x v="0"/>
    <n v="99.9"/>
    <n v="85.1"/>
    <n v="45.7"/>
    <n v="11.3"/>
    <n v="1"/>
    <n v="0.05"/>
    <x v="126"/>
    <x v="448"/>
    <n v="4.9800000000000004"/>
    <n v="166.5"/>
    <n v="85.1"/>
    <n v="57.125"/>
    <n v="28.25"/>
    <n v="2.5"/>
    <n v="2.5"/>
    <n v="166"/>
    <x v="1"/>
    <s v="PM2.5"/>
  </r>
  <r>
    <x v="150"/>
    <x v="1"/>
    <n v="80.900000000000006"/>
    <n v="211.5"/>
    <n v="51.4"/>
    <n v="11.86"/>
    <n v="102.1"/>
    <n v="0.05"/>
    <x v="236"/>
    <x v="449"/>
    <n v="2.84"/>
    <n v="134.83333333333329"/>
    <n v="211.5"/>
    <n v="64.25"/>
    <n v="29.65"/>
    <n v="255.25"/>
    <n v="2.5"/>
    <n v="255"/>
    <x v="0"/>
    <s v="O3"/>
  </r>
  <r>
    <x v="150"/>
    <x v="2"/>
    <n v="104"/>
    <n v="78.099999999999994"/>
    <n v="42.1"/>
    <n v="7.76"/>
    <n v="1"/>
    <n v="0.47"/>
    <x v="198"/>
    <x v="3"/>
    <n v="3.55"/>
    <n v="173.33333333333329"/>
    <n v="78.099999999999994"/>
    <n v="52.625000000000007"/>
    <n v="19.399999999999999"/>
    <n v="2.5"/>
    <n v="23.5"/>
    <n v="173"/>
    <x v="1"/>
    <s v="PM2.5"/>
  </r>
  <r>
    <x v="150"/>
    <x v="3"/>
    <n v="69.7"/>
    <n v="169.4"/>
    <n v="41.7"/>
    <n v="14.01"/>
    <n v="40.200000000000003"/>
    <n v="1.23"/>
    <x v="85"/>
    <x v="450"/>
    <n v="1.99"/>
    <n v="116.1666666666667"/>
    <n v="169.4"/>
    <n v="52.125000000000007"/>
    <n v="35.024999999999999"/>
    <n v="100.5"/>
    <n v="61.5"/>
    <n v="169"/>
    <x v="1"/>
    <s v="PM10"/>
  </r>
  <r>
    <x v="150"/>
    <x v="4"/>
    <n v="98.2"/>
    <n v="57.3"/>
    <n v="25.3"/>
    <n v="12.58"/>
    <n v="41.6"/>
    <n v="1.02"/>
    <x v="242"/>
    <x v="159"/>
    <n v="2.76"/>
    <n v="163.66666666666671"/>
    <n v="57.3"/>
    <n v="31.625"/>
    <n v="31.45"/>
    <n v="104"/>
    <n v="51.000000000000007"/>
    <n v="164"/>
    <x v="1"/>
    <s v="PM2.5"/>
  </r>
  <r>
    <x v="151"/>
    <x v="0"/>
    <n v="117.3"/>
    <n v="244.2"/>
    <n v="87.9"/>
    <n v="7.58"/>
    <n v="81.400000000000006"/>
    <n v="0.73"/>
    <x v="149"/>
    <x v="373"/>
    <n v="4.51"/>
    <n v="195.5"/>
    <n v="244.2"/>
    <n v="109.875"/>
    <n v="18.95"/>
    <n v="203.5"/>
    <n v="36.5"/>
    <n v="244"/>
    <x v="0"/>
    <s v="PM10"/>
  </r>
  <r>
    <x v="151"/>
    <x v="1"/>
    <n v="42.6"/>
    <n v="140.5"/>
    <n v="33.5"/>
    <n v="14.34"/>
    <n v="38.299999999999997"/>
    <n v="0.52"/>
    <x v="0"/>
    <x v="451"/>
    <n v="1.5"/>
    <n v="71.000000000000014"/>
    <n v="140.5"/>
    <n v="41.875"/>
    <n v="35.85"/>
    <n v="95.749999999999986"/>
    <n v="26"/>
    <n v="140"/>
    <x v="1"/>
    <s v="PM10"/>
  </r>
  <r>
    <x v="151"/>
    <x v="2"/>
    <n v="2"/>
    <n v="32.799999999999997"/>
    <n v="46.1"/>
    <n v="0.5"/>
    <n v="2.8"/>
    <n v="1.1399999999999999"/>
    <x v="32"/>
    <x v="224"/>
    <n v="4.7"/>
    <n v="3.333333333333333"/>
    <n v="32.799999999999997"/>
    <n v="57.625"/>
    <n v="1.25"/>
    <n v="6.9999999999999991"/>
    <n v="56.999999999999993"/>
    <n v="58"/>
    <x v="3"/>
    <s v="NO2"/>
  </r>
  <r>
    <x v="151"/>
    <x v="3"/>
    <n v="34"/>
    <n v="153.4"/>
    <n v="60"/>
    <n v="5.01"/>
    <n v="2.6"/>
    <n v="1.19"/>
    <x v="157"/>
    <x v="452"/>
    <n v="3.03"/>
    <n v="56.666666666666657"/>
    <n v="153.4"/>
    <n v="75"/>
    <n v="12.525"/>
    <n v="6.5000000000000009"/>
    <n v="59.5"/>
    <n v="153"/>
    <x v="1"/>
    <s v="PM10"/>
  </r>
  <r>
    <x v="151"/>
    <x v="4"/>
    <n v="41.2"/>
    <n v="56"/>
    <n v="51.9"/>
    <n v="10.92"/>
    <n v="11.6"/>
    <n v="1.93"/>
    <x v="90"/>
    <x v="375"/>
    <n v="2.69"/>
    <n v="68.666666666666671"/>
    <n v="56"/>
    <n v="64.875"/>
    <n v="27.3"/>
    <n v="29"/>
    <n v="96.5"/>
    <n v="96"/>
    <x v="3"/>
    <s v="CO"/>
  </r>
  <r>
    <x v="152"/>
    <x v="0"/>
    <n v="37.6"/>
    <n v="79.2"/>
    <n v="75.8"/>
    <n v="3.45"/>
    <n v="116.2"/>
    <n v="1.35"/>
    <x v="169"/>
    <x v="63"/>
    <n v="5.54"/>
    <n v="62.666666666666657"/>
    <n v="79.2"/>
    <n v="94.75"/>
    <n v="8.625"/>
    <n v="290.5"/>
    <n v="67.5"/>
    <n v="290"/>
    <x v="0"/>
    <s v="O3"/>
  </r>
  <r>
    <x v="152"/>
    <x v="1"/>
    <n v="30.2"/>
    <n v="52.8"/>
    <n v="29.9"/>
    <n v="8.16"/>
    <n v="1"/>
    <n v="1.21"/>
    <x v="184"/>
    <x v="42"/>
    <n v="2.15"/>
    <n v="50.333333333333343"/>
    <n v="52.8"/>
    <n v="37.375"/>
    <n v="20.399999999999999"/>
    <n v="2.5"/>
    <n v="60.5"/>
    <n v="60"/>
    <x v="3"/>
    <s v="CO"/>
  </r>
  <r>
    <x v="152"/>
    <x v="2"/>
    <n v="31.5"/>
    <n v="132.19999999999999"/>
    <n v="21.6"/>
    <n v="13.1"/>
    <n v="83.9"/>
    <n v="1.03"/>
    <x v="177"/>
    <x v="238"/>
    <n v="3.81"/>
    <n v="52.5"/>
    <n v="132.19999999999999"/>
    <n v="27"/>
    <n v="32.75"/>
    <n v="209.75"/>
    <n v="51.500000000000007"/>
    <n v="210"/>
    <x v="0"/>
    <s v="O3"/>
  </r>
  <r>
    <x v="152"/>
    <x v="3"/>
    <n v="28.7"/>
    <n v="70.7"/>
    <n v="14.8"/>
    <n v="8.0399999999999991"/>
    <n v="56.7"/>
    <n v="0.31"/>
    <x v="15"/>
    <x v="401"/>
    <n v="1.42"/>
    <n v="47.833333333333329"/>
    <n v="70.7"/>
    <n v="18.5"/>
    <n v="20.100000000000001"/>
    <n v="141.75"/>
    <n v="15.5"/>
    <n v="142"/>
    <x v="1"/>
    <s v="O3"/>
  </r>
  <r>
    <x v="152"/>
    <x v="4"/>
    <n v="67.3"/>
    <n v="66.900000000000006"/>
    <n v="34.299999999999997"/>
    <n v="0.5"/>
    <n v="49.1"/>
    <n v="1.03"/>
    <x v="33"/>
    <x v="205"/>
    <n v="3.22"/>
    <n v="112.1666666666667"/>
    <n v="66.900000000000006"/>
    <n v="42.875"/>
    <n v="1.25"/>
    <n v="122.75"/>
    <n v="51.500000000000007"/>
    <n v="123"/>
    <x v="1"/>
    <s v="O3"/>
  </r>
  <r>
    <x v="153"/>
    <x v="0"/>
    <n v="32.700000000000003"/>
    <n v="28.9"/>
    <n v="74.599999999999994"/>
    <n v="4.45"/>
    <n v="43.2"/>
    <n v="1.66"/>
    <x v="282"/>
    <x v="331"/>
    <n v="3.04"/>
    <n v="54.500000000000007"/>
    <n v="28.9"/>
    <n v="93.25"/>
    <n v="11.125"/>
    <n v="108"/>
    <n v="82.999999999999986"/>
    <n v="108"/>
    <x v="1"/>
    <s v="O3"/>
  </r>
  <r>
    <x v="153"/>
    <x v="1"/>
    <n v="38.799999999999997"/>
    <n v="87.7"/>
    <n v="30.6"/>
    <n v="2.37"/>
    <n v="48.7"/>
    <n v="0.32"/>
    <x v="150"/>
    <x v="67"/>
    <n v="3.01"/>
    <n v="64.666666666666657"/>
    <n v="87.7"/>
    <n v="38.25"/>
    <n v="5.9250000000000007"/>
    <n v="121.75"/>
    <n v="16"/>
    <n v="122"/>
    <x v="1"/>
    <s v="O3"/>
  </r>
  <r>
    <x v="153"/>
    <x v="2"/>
    <n v="35"/>
    <n v="74.5"/>
    <n v="38.6"/>
    <n v="1.66"/>
    <n v="29.5"/>
    <n v="0.52"/>
    <x v="76"/>
    <x v="453"/>
    <n v="4.1100000000000003"/>
    <n v="58.333333333333343"/>
    <n v="74.5"/>
    <n v="48.25"/>
    <n v="4.1500000000000004"/>
    <n v="73.75"/>
    <n v="26"/>
    <n v="74"/>
    <x v="3"/>
    <s v="PM10"/>
  </r>
  <r>
    <x v="153"/>
    <x v="3"/>
    <n v="31.5"/>
    <n v="151.80000000000001"/>
    <n v="53.1"/>
    <n v="1.26"/>
    <n v="12.8"/>
    <n v="2.19"/>
    <x v="206"/>
    <x v="454"/>
    <n v="2.81"/>
    <n v="52.5"/>
    <n v="151.80000000000001"/>
    <n v="66.375"/>
    <n v="3.15"/>
    <n v="32"/>
    <n v="109.5"/>
    <n v="152"/>
    <x v="1"/>
    <s v="PM10"/>
  </r>
  <r>
    <x v="153"/>
    <x v="4"/>
    <n v="36.1"/>
    <n v="128.4"/>
    <n v="27"/>
    <n v="0.5"/>
    <n v="7.7"/>
    <n v="1.07"/>
    <x v="54"/>
    <x v="295"/>
    <n v="1.71"/>
    <n v="60.166666666666657"/>
    <n v="128.4"/>
    <n v="33.75"/>
    <n v="1.25"/>
    <n v="19.25"/>
    <n v="53.500000000000007"/>
    <n v="128"/>
    <x v="1"/>
    <s v="PM10"/>
  </r>
  <r>
    <x v="154"/>
    <x v="0"/>
    <n v="33.6"/>
    <n v="157.5"/>
    <n v="46"/>
    <n v="7.32"/>
    <n v="71.3"/>
    <n v="1.37"/>
    <x v="283"/>
    <x v="455"/>
    <n v="1.98"/>
    <n v="56"/>
    <n v="157.5"/>
    <n v="57.5"/>
    <n v="18.3"/>
    <n v="178.25"/>
    <n v="68.5"/>
    <n v="178"/>
    <x v="1"/>
    <s v="O3"/>
  </r>
  <r>
    <x v="154"/>
    <x v="1"/>
    <n v="21"/>
    <n v="94.3"/>
    <n v="64.3"/>
    <n v="14.5"/>
    <n v="80"/>
    <n v="0.12"/>
    <x v="86"/>
    <x v="456"/>
    <n v="3.58"/>
    <n v="35"/>
    <n v="94.3"/>
    <n v="80.375"/>
    <n v="36.25"/>
    <n v="200"/>
    <n v="6"/>
    <n v="200"/>
    <x v="1"/>
    <s v="O3"/>
  </r>
  <r>
    <x v="154"/>
    <x v="2"/>
    <n v="37.200000000000003"/>
    <n v="123.2"/>
    <n v="13.9"/>
    <n v="10.53"/>
    <n v="3.2"/>
    <n v="0.61"/>
    <x v="35"/>
    <x v="267"/>
    <n v="2.61"/>
    <n v="62.000000000000007"/>
    <n v="123.2"/>
    <n v="17.375"/>
    <n v="26.324999999999999"/>
    <n v="8"/>
    <n v="30.5"/>
    <n v="123"/>
    <x v="1"/>
    <s v="PM10"/>
  </r>
  <r>
    <x v="154"/>
    <x v="3"/>
    <n v="91.3"/>
    <n v="224"/>
    <n v="37.6"/>
    <n v="10.87"/>
    <n v="45.8"/>
    <n v="1.2"/>
    <x v="260"/>
    <x v="191"/>
    <n v="3.14"/>
    <n v="152.16666666666671"/>
    <n v="224"/>
    <n v="47"/>
    <n v="27.175000000000001"/>
    <n v="114.5"/>
    <n v="60"/>
    <n v="224"/>
    <x v="0"/>
    <s v="PM10"/>
  </r>
  <r>
    <x v="154"/>
    <x v="4"/>
    <n v="37.5"/>
    <n v="101.5"/>
    <n v="38.6"/>
    <n v="10.68"/>
    <n v="14.7"/>
    <n v="1.03"/>
    <x v="284"/>
    <x v="421"/>
    <n v="4.62"/>
    <n v="62.5"/>
    <n v="101.5"/>
    <n v="48.25"/>
    <n v="26.7"/>
    <n v="36.75"/>
    <n v="51.500000000000007"/>
    <n v="102"/>
    <x v="1"/>
    <s v="PM10"/>
  </r>
  <r>
    <x v="155"/>
    <x v="0"/>
    <n v="55.9"/>
    <n v="128.1"/>
    <n v="59.8"/>
    <n v="14.54"/>
    <n v="1"/>
    <n v="0.38"/>
    <x v="242"/>
    <x v="140"/>
    <n v="1.69"/>
    <n v="93.166666666666657"/>
    <n v="128.1"/>
    <n v="74.75"/>
    <n v="36.35"/>
    <n v="2.5"/>
    <n v="19"/>
    <n v="128"/>
    <x v="1"/>
    <s v="PM10"/>
  </r>
  <r>
    <x v="155"/>
    <x v="1"/>
    <n v="22.4"/>
    <n v="86.7"/>
    <n v="17"/>
    <n v="18.46"/>
    <n v="49.3"/>
    <n v="1.17"/>
    <x v="14"/>
    <x v="457"/>
    <n v="3.64"/>
    <n v="37.333333333333329"/>
    <n v="86.7"/>
    <n v="21.25"/>
    <n v="46.150000000000013"/>
    <n v="123.25"/>
    <n v="58.5"/>
    <n v="123"/>
    <x v="1"/>
    <s v="O3"/>
  </r>
  <r>
    <x v="155"/>
    <x v="2"/>
    <n v="70.099999999999994"/>
    <n v="62.4"/>
    <n v="29.7"/>
    <n v="9"/>
    <n v="25.5"/>
    <n v="0.91"/>
    <x v="95"/>
    <x v="458"/>
    <n v="0.37"/>
    <n v="116.8333333333333"/>
    <n v="62.4"/>
    <n v="37.125"/>
    <n v="22.5"/>
    <n v="63.75"/>
    <n v="45.5"/>
    <n v="117"/>
    <x v="1"/>
    <s v="PM2.5"/>
  </r>
  <r>
    <x v="155"/>
    <x v="3"/>
    <n v="65.2"/>
    <n v="84.8"/>
    <n v="47.3"/>
    <n v="9.51"/>
    <n v="80.2"/>
    <n v="1.61"/>
    <x v="42"/>
    <x v="459"/>
    <n v="2.85"/>
    <n v="108.6666666666667"/>
    <n v="84.8"/>
    <n v="59.125"/>
    <n v="23.774999999999999"/>
    <n v="200.5"/>
    <n v="80.5"/>
    <n v="200"/>
    <x v="1"/>
    <s v="O3"/>
  </r>
  <r>
    <x v="155"/>
    <x v="4"/>
    <n v="53.6"/>
    <n v="151.69999999999999"/>
    <n v="52.5"/>
    <n v="5.68"/>
    <n v="55.1"/>
    <n v="1.04"/>
    <x v="183"/>
    <x v="460"/>
    <n v="3.07"/>
    <n v="89.333333333333329"/>
    <n v="151.69999999999999"/>
    <n v="65.625"/>
    <n v="14.2"/>
    <n v="137.75"/>
    <n v="52.000000000000007"/>
    <n v="152"/>
    <x v="1"/>
    <s v="PM10"/>
  </r>
  <r>
    <x v="156"/>
    <x v="0"/>
    <n v="111.7"/>
    <n v="20.7"/>
    <n v="31.2"/>
    <n v="7.51"/>
    <n v="78.7"/>
    <n v="1.32"/>
    <x v="93"/>
    <x v="461"/>
    <n v="1.1100000000000001"/>
    <n v="186.16666666666671"/>
    <n v="20.7"/>
    <n v="39"/>
    <n v="18.774999999999999"/>
    <n v="196.75"/>
    <n v="66"/>
    <n v="197"/>
    <x v="1"/>
    <s v="O3"/>
  </r>
  <r>
    <x v="156"/>
    <x v="1"/>
    <n v="69.7"/>
    <n v="38.200000000000003"/>
    <n v="34.4"/>
    <n v="10.5"/>
    <n v="19.3"/>
    <n v="2.16"/>
    <x v="285"/>
    <x v="179"/>
    <n v="1.38"/>
    <n v="116.1666666666667"/>
    <n v="38.200000000000003"/>
    <n v="43"/>
    <n v="26.25"/>
    <n v="48.25"/>
    <n v="108"/>
    <n v="116"/>
    <x v="1"/>
    <s v="PM2.5"/>
  </r>
  <r>
    <x v="156"/>
    <x v="2"/>
    <n v="2"/>
    <n v="55.5"/>
    <n v="45.8"/>
    <n v="4.51"/>
    <n v="48.9"/>
    <n v="0.22"/>
    <x v="139"/>
    <x v="352"/>
    <n v="2.5099999999999998"/>
    <n v="3.333333333333333"/>
    <n v="55.5"/>
    <n v="57.249999999999993"/>
    <n v="11.275"/>
    <n v="122.25"/>
    <n v="11"/>
    <n v="122"/>
    <x v="1"/>
    <s v="O3"/>
  </r>
  <r>
    <x v="156"/>
    <x v="3"/>
    <n v="45.8"/>
    <n v="35"/>
    <n v="17.600000000000001"/>
    <n v="10.27"/>
    <n v="50"/>
    <n v="1.46"/>
    <x v="133"/>
    <x v="438"/>
    <n v="0.43"/>
    <n v="76.333333333333329"/>
    <n v="35"/>
    <n v="22"/>
    <n v="25.675000000000001"/>
    <n v="125"/>
    <n v="73"/>
    <n v="125"/>
    <x v="1"/>
    <s v="O3"/>
  </r>
  <r>
    <x v="156"/>
    <x v="4"/>
    <n v="45.7"/>
    <n v="104.2"/>
    <n v="74"/>
    <n v="10.06"/>
    <n v="86.2"/>
    <n v="1.37"/>
    <x v="40"/>
    <x v="462"/>
    <n v="3.28"/>
    <n v="76.166666666666671"/>
    <n v="104.2"/>
    <n v="92.5"/>
    <n v="25.15"/>
    <n v="215.5"/>
    <n v="68.5"/>
    <n v="216"/>
    <x v="0"/>
    <s v="O3"/>
  </r>
  <r>
    <x v="157"/>
    <x v="0"/>
    <n v="29.3"/>
    <n v="89.2"/>
    <n v="37.6"/>
    <n v="14.75"/>
    <n v="1"/>
    <n v="1.77"/>
    <x v="154"/>
    <x v="125"/>
    <n v="3.92"/>
    <n v="48.833333333333343"/>
    <n v="89.2"/>
    <n v="47"/>
    <n v="36.875"/>
    <n v="2.5"/>
    <n v="88.5"/>
    <n v="89"/>
    <x v="3"/>
    <s v="PM10"/>
  </r>
  <r>
    <x v="157"/>
    <x v="1"/>
    <n v="82"/>
    <n v="195.3"/>
    <n v="61"/>
    <n v="18.3"/>
    <n v="67.5"/>
    <n v="1.1100000000000001"/>
    <x v="69"/>
    <x v="420"/>
    <n v="1.56"/>
    <n v="136.66666666666671"/>
    <n v="195.3"/>
    <n v="76.25"/>
    <n v="45.75"/>
    <n v="168.75"/>
    <n v="55.500000000000007"/>
    <n v="195"/>
    <x v="1"/>
    <s v="PM10"/>
  </r>
  <r>
    <x v="157"/>
    <x v="2"/>
    <n v="30.7"/>
    <n v="77.099999999999994"/>
    <n v="2.2000000000000002"/>
    <n v="6.6"/>
    <n v="1"/>
    <n v="0.94"/>
    <x v="0"/>
    <x v="263"/>
    <n v="4.51"/>
    <n v="51.166666666666657"/>
    <n v="77.099999999999994"/>
    <n v="2.75"/>
    <n v="16.5"/>
    <n v="2.5"/>
    <n v="47"/>
    <n v="77"/>
    <x v="3"/>
    <s v="PM10"/>
  </r>
  <r>
    <x v="157"/>
    <x v="3"/>
    <n v="12.9"/>
    <n v="153.19999999999999"/>
    <n v="46.8"/>
    <n v="0.5"/>
    <n v="107.8"/>
    <n v="0.93"/>
    <x v="112"/>
    <x v="167"/>
    <n v="2.2400000000000002"/>
    <n v="21.5"/>
    <n v="153.19999999999999"/>
    <n v="58.5"/>
    <n v="1.25"/>
    <n v="269.5"/>
    <n v="46.5"/>
    <n v="270"/>
    <x v="0"/>
    <s v="O3"/>
  </r>
  <r>
    <x v="157"/>
    <x v="4"/>
    <n v="49.4"/>
    <n v="111"/>
    <n v="34.4"/>
    <n v="9.83"/>
    <n v="33.299999999999997"/>
    <n v="0.05"/>
    <x v="53"/>
    <x v="463"/>
    <n v="3.42"/>
    <n v="82.333333333333329"/>
    <n v="111"/>
    <n v="43"/>
    <n v="24.574999999999999"/>
    <n v="83.249999999999986"/>
    <n v="2.5"/>
    <n v="111"/>
    <x v="1"/>
    <s v="PM10"/>
  </r>
  <r>
    <x v="158"/>
    <x v="0"/>
    <n v="28.2"/>
    <n v="119.4"/>
    <n v="65.599999999999994"/>
    <n v="3"/>
    <n v="76.5"/>
    <n v="0.86"/>
    <x v="206"/>
    <x v="214"/>
    <n v="1.49"/>
    <n v="47"/>
    <n v="119.4"/>
    <n v="81.999999999999986"/>
    <n v="7.5"/>
    <n v="191.25"/>
    <n v="43"/>
    <n v="191"/>
    <x v="1"/>
    <s v="O3"/>
  </r>
  <r>
    <x v="158"/>
    <x v="1"/>
    <n v="80.599999999999994"/>
    <n v="93.9"/>
    <n v="28.2"/>
    <n v="5.61"/>
    <n v="48.6"/>
    <n v="2.0099999999999998"/>
    <x v="286"/>
    <x v="197"/>
    <n v="3.25"/>
    <n v="134.33333333333329"/>
    <n v="93.9"/>
    <n v="35.25"/>
    <n v="14.025"/>
    <n v="121.5"/>
    <n v="100.5"/>
    <n v="134"/>
    <x v="1"/>
    <s v="PM2.5"/>
  </r>
  <r>
    <x v="158"/>
    <x v="2"/>
    <n v="50"/>
    <n v="150.9"/>
    <n v="33.1"/>
    <n v="5.38"/>
    <n v="52.1"/>
    <n v="0.96"/>
    <x v="9"/>
    <x v="187"/>
    <n v="1.72"/>
    <n v="83.333333333333329"/>
    <n v="150.9"/>
    <n v="41.375"/>
    <n v="13.45"/>
    <n v="130.25"/>
    <n v="48"/>
    <n v="151"/>
    <x v="1"/>
    <s v="PM10"/>
  </r>
  <r>
    <x v="158"/>
    <x v="3"/>
    <n v="33.299999999999997"/>
    <n v="70.7"/>
    <n v="57.6"/>
    <n v="0.5"/>
    <n v="49.9"/>
    <n v="0.98"/>
    <x v="144"/>
    <x v="464"/>
    <n v="3.07"/>
    <n v="55.499999999999993"/>
    <n v="70.7"/>
    <n v="72.000000000000014"/>
    <n v="1.25"/>
    <n v="124.75"/>
    <n v="49"/>
    <n v="125"/>
    <x v="1"/>
    <s v="O3"/>
  </r>
  <r>
    <x v="158"/>
    <x v="4"/>
    <n v="68.400000000000006"/>
    <n v="5"/>
    <n v="63.6"/>
    <n v="3.79"/>
    <n v="62.9"/>
    <n v="1.45"/>
    <x v="112"/>
    <x v="394"/>
    <n v="2.54"/>
    <n v="114"/>
    <n v="5"/>
    <n v="79.5"/>
    <n v="9.4750000000000014"/>
    <n v="157.25"/>
    <n v="72.5"/>
    <n v="157"/>
    <x v="1"/>
    <s v="O3"/>
  </r>
  <r>
    <x v="159"/>
    <x v="0"/>
    <n v="2"/>
    <n v="174.9"/>
    <n v="27.1"/>
    <n v="3.43"/>
    <n v="34.4"/>
    <n v="1.25"/>
    <x v="16"/>
    <x v="364"/>
    <n v="0.89"/>
    <n v="3.333333333333333"/>
    <n v="174.9"/>
    <n v="33.875"/>
    <n v="8.5750000000000011"/>
    <n v="86"/>
    <n v="62.5"/>
    <n v="175"/>
    <x v="1"/>
    <s v="PM10"/>
  </r>
  <r>
    <x v="159"/>
    <x v="1"/>
    <n v="37.700000000000003"/>
    <n v="113"/>
    <n v="83"/>
    <n v="7.43"/>
    <n v="83.9"/>
    <n v="1.22"/>
    <x v="36"/>
    <x v="269"/>
    <n v="2.2999999999999998"/>
    <n v="62.833333333333343"/>
    <n v="113"/>
    <n v="103.75"/>
    <n v="18.574999999999999"/>
    <n v="209.75"/>
    <n v="61"/>
    <n v="210"/>
    <x v="0"/>
    <s v="O3"/>
  </r>
  <r>
    <x v="159"/>
    <x v="2"/>
    <n v="59.4"/>
    <n v="153.9"/>
    <n v="39.700000000000003"/>
    <n v="10.59"/>
    <n v="15.1"/>
    <n v="0.72"/>
    <x v="33"/>
    <x v="356"/>
    <n v="2.0699999999999998"/>
    <n v="98.999999999999986"/>
    <n v="153.9"/>
    <n v="49.625"/>
    <n v="26.475000000000001"/>
    <n v="37.75"/>
    <n v="36"/>
    <n v="154"/>
    <x v="1"/>
    <s v="PM10"/>
  </r>
  <r>
    <x v="159"/>
    <x v="3"/>
    <n v="65.5"/>
    <n v="51.3"/>
    <n v="36.700000000000003"/>
    <n v="9.15"/>
    <n v="1"/>
    <n v="1.98"/>
    <x v="97"/>
    <x v="465"/>
    <n v="2.69"/>
    <n v="109.1666666666667"/>
    <n v="51.3"/>
    <n v="45.875000000000007"/>
    <n v="22.875"/>
    <n v="2.5"/>
    <n v="99"/>
    <n v="109"/>
    <x v="1"/>
    <s v="PM2.5"/>
  </r>
  <r>
    <x v="159"/>
    <x v="4"/>
    <n v="53.7"/>
    <n v="101.3"/>
    <n v="57"/>
    <n v="10.33"/>
    <n v="52.2"/>
    <n v="1.29"/>
    <x v="30"/>
    <x v="466"/>
    <n v="1.22"/>
    <n v="89.500000000000014"/>
    <n v="101.3"/>
    <n v="71.25"/>
    <n v="25.824999999999999"/>
    <n v="130.5"/>
    <n v="64.5"/>
    <n v="130"/>
    <x v="1"/>
    <s v="O3"/>
  </r>
  <r>
    <x v="160"/>
    <x v="0"/>
    <n v="59.1"/>
    <n v="114"/>
    <n v="56.4"/>
    <n v="3.48"/>
    <n v="1"/>
    <n v="1.19"/>
    <x v="142"/>
    <x v="221"/>
    <n v="0.98"/>
    <n v="98.5"/>
    <n v="114"/>
    <n v="70.5"/>
    <n v="8.6999999999999993"/>
    <n v="2.5"/>
    <n v="59.5"/>
    <n v="114"/>
    <x v="1"/>
    <s v="PM10"/>
  </r>
  <r>
    <x v="160"/>
    <x v="1"/>
    <n v="94.6"/>
    <n v="262"/>
    <n v="37.4"/>
    <n v="1.55"/>
    <n v="37.299999999999997"/>
    <n v="1.21"/>
    <x v="222"/>
    <x v="308"/>
    <n v="4.37"/>
    <n v="157.66666666666671"/>
    <n v="262"/>
    <n v="46.75"/>
    <n v="3.875"/>
    <n v="93.25"/>
    <n v="60.5"/>
    <n v="262"/>
    <x v="0"/>
    <s v="PM10"/>
  </r>
  <r>
    <x v="160"/>
    <x v="2"/>
    <n v="20.2"/>
    <n v="11.9"/>
    <n v="51"/>
    <n v="0.5"/>
    <n v="33.200000000000003"/>
    <n v="2.33"/>
    <x v="177"/>
    <x v="467"/>
    <n v="2.4300000000000002"/>
    <n v="33.666666666666657"/>
    <n v="11.9"/>
    <n v="63.75"/>
    <n v="1.25"/>
    <n v="83"/>
    <n v="116.5"/>
    <n v="116"/>
    <x v="1"/>
    <s v="CO"/>
  </r>
  <r>
    <x v="160"/>
    <x v="3"/>
    <n v="46.8"/>
    <n v="103.7"/>
    <n v="46.6"/>
    <n v="2.2400000000000002"/>
    <n v="82.2"/>
    <n v="1.08"/>
    <x v="151"/>
    <x v="468"/>
    <n v="4.04"/>
    <n v="78"/>
    <n v="103.7"/>
    <n v="58.25"/>
    <n v="5.6000000000000014"/>
    <n v="205.5"/>
    <n v="54.000000000000007"/>
    <n v="206"/>
    <x v="0"/>
    <s v="O3"/>
  </r>
  <r>
    <x v="160"/>
    <x v="4"/>
    <n v="46"/>
    <n v="120.3"/>
    <n v="23.2"/>
    <n v="2.65"/>
    <n v="62.9"/>
    <n v="0.82"/>
    <x v="183"/>
    <x v="273"/>
    <n v="3.84"/>
    <n v="76.666666666666657"/>
    <n v="120.3"/>
    <n v="29"/>
    <n v="6.625"/>
    <n v="157.25"/>
    <n v="40.999999999999993"/>
    <n v="157"/>
    <x v="1"/>
    <s v="O3"/>
  </r>
  <r>
    <x v="161"/>
    <x v="0"/>
    <n v="37.799999999999997"/>
    <n v="103.9"/>
    <n v="41.7"/>
    <n v="0.5"/>
    <n v="3.7"/>
    <n v="1.29"/>
    <x v="74"/>
    <x v="469"/>
    <n v="3.66"/>
    <n v="63"/>
    <n v="103.9"/>
    <n v="52.125000000000007"/>
    <n v="1.25"/>
    <n v="9.2500000000000018"/>
    <n v="64.5"/>
    <n v="104"/>
    <x v="1"/>
    <s v="PM10"/>
  </r>
  <r>
    <x v="161"/>
    <x v="1"/>
    <n v="81.599999999999994"/>
    <n v="229.2"/>
    <n v="43.3"/>
    <n v="11.24"/>
    <n v="31.7"/>
    <n v="2.67"/>
    <x v="287"/>
    <x v="40"/>
    <n v="2.96"/>
    <n v="136"/>
    <n v="229.2"/>
    <n v="54.125"/>
    <n v="28.1"/>
    <n v="79.25"/>
    <n v="133.5"/>
    <n v="229"/>
    <x v="0"/>
    <s v="PM10"/>
  </r>
  <r>
    <x v="161"/>
    <x v="2"/>
    <n v="76.599999999999994"/>
    <n v="84.5"/>
    <n v="24.2"/>
    <n v="9.4"/>
    <n v="39.9"/>
    <n v="1"/>
    <x v="4"/>
    <x v="470"/>
    <n v="2.78"/>
    <n v="127.6666666666667"/>
    <n v="84.5"/>
    <n v="30.25"/>
    <n v="23.5"/>
    <n v="99.749999999999986"/>
    <n v="50"/>
    <n v="128"/>
    <x v="1"/>
    <s v="PM2.5"/>
  </r>
  <r>
    <x v="161"/>
    <x v="3"/>
    <n v="69.7"/>
    <n v="85.2"/>
    <n v="59"/>
    <n v="3.58"/>
    <n v="13.6"/>
    <n v="0.93"/>
    <x v="56"/>
    <x v="28"/>
    <n v="1.57"/>
    <n v="116.1666666666667"/>
    <n v="85.2"/>
    <n v="73.75"/>
    <n v="8.9499999999999993"/>
    <n v="34"/>
    <n v="46.5"/>
    <n v="116"/>
    <x v="1"/>
    <s v="PM2.5"/>
  </r>
  <r>
    <x v="161"/>
    <x v="4"/>
    <n v="88.9"/>
    <n v="209.5"/>
    <n v="38.9"/>
    <n v="12.54"/>
    <n v="14.9"/>
    <n v="1.62"/>
    <x v="160"/>
    <x v="471"/>
    <n v="2.98"/>
    <n v="148.16666666666671"/>
    <n v="209.5"/>
    <n v="48.625"/>
    <n v="31.349999999999991"/>
    <n v="37.25"/>
    <n v="81"/>
    <n v="210"/>
    <x v="0"/>
    <s v="PM10"/>
  </r>
  <r>
    <x v="162"/>
    <x v="0"/>
    <n v="2"/>
    <n v="75"/>
    <n v="29.9"/>
    <n v="2.86"/>
    <n v="49.5"/>
    <n v="0.87"/>
    <x v="4"/>
    <x v="472"/>
    <n v="1.64"/>
    <n v="3.333333333333333"/>
    <n v="75"/>
    <n v="37.375"/>
    <n v="7.15"/>
    <n v="123.75"/>
    <n v="43.5"/>
    <n v="124"/>
    <x v="1"/>
    <s v="O3"/>
  </r>
  <r>
    <x v="162"/>
    <x v="1"/>
    <n v="93.6"/>
    <n v="80.3"/>
    <n v="34.700000000000003"/>
    <n v="5.72"/>
    <n v="60.6"/>
    <n v="1.47"/>
    <x v="288"/>
    <x v="473"/>
    <n v="4.22"/>
    <n v="156"/>
    <n v="80.3"/>
    <n v="43.375000000000007"/>
    <n v="14.3"/>
    <n v="151.5"/>
    <n v="73.5"/>
    <n v="156"/>
    <x v="1"/>
    <s v="PM2.5"/>
  </r>
  <r>
    <x v="162"/>
    <x v="2"/>
    <n v="21.7"/>
    <n v="46.9"/>
    <n v="27.4"/>
    <n v="3.21"/>
    <n v="43.3"/>
    <n v="0.05"/>
    <x v="237"/>
    <x v="440"/>
    <n v="1.39"/>
    <n v="36.166666666666657"/>
    <n v="46.9"/>
    <n v="34.249999999999993"/>
    <n v="8.0249999999999986"/>
    <n v="108.25"/>
    <n v="2.5"/>
    <n v="108"/>
    <x v="1"/>
    <s v="O3"/>
  </r>
  <r>
    <x v="162"/>
    <x v="3"/>
    <n v="77.8"/>
    <n v="113.1"/>
    <n v="7.1"/>
    <n v="8.94"/>
    <n v="37.1"/>
    <n v="0.74"/>
    <x v="148"/>
    <x v="14"/>
    <n v="3.35"/>
    <n v="129.66666666666671"/>
    <n v="113.1"/>
    <n v="8.875"/>
    <n v="22.35"/>
    <n v="92.75"/>
    <n v="37"/>
    <n v="130"/>
    <x v="1"/>
    <s v="PM2.5"/>
  </r>
  <r>
    <x v="162"/>
    <x v="4"/>
    <n v="83.9"/>
    <n v="127.1"/>
    <n v="15.4"/>
    <n v="4.96"/>
    <n v="124.9"/>
    <n v="1.44"/>
    <x v="289"/>
    <x v="474"/>
    <n v="3.29"/>
    <n v="139.83333333333329"/>
    <n v="127.1"/>
    <n v="19.25"/>
    <n v="12.4"/>
    <n v="312.25"/>
    <n v="72"/>
    <n v="312"/>
    <x v="2"/>
    <s v="O3"/>
  </r>
  <r>
    <x v="163"/>
    <x v="0"/>
    <n v="63.5"/>
    <n v="108.4"/>
    <n v="9.4"/>
    <n v="7.44"/>
    <n v="80.8"/>
    <n v="0.77"/>
    <x v="178"/>
    <x v="212"/>
    <n v="1.41"/>
    <n v="105.8333333333333"/>
    <n v="108.4"/>
    <n v="11.75"/>
    <n v="18.600000000000001"/>
    <n v="202"/>
    <n v="38.5"/>
    <n v="202"/>
    <x v="0"/>
    <s v="O3"/>
  </r>
  <r>
    <x v="163"/>
    <x v="1"/>
    <n v="46.5"/>
    <n v="58.9"/>
    <n v="28.6"/>
    <n v="1.56"/>
    <n v="21.9"/>
    <n v="2.0499999999999998"/>
    <x v="290"/>
    <x v="103"/>
    <n v="1.9"/>
    <n v="77.5"/>
    <n v="58.9"/>
    <n v="35.750000000000007"/>
    <n v="3.9"/>
    <n v="54.749999999999993"/>
    <n v="102.5"/>
    <n v="102"/>
    <x v="1"/>
    <s v="CO"/>
  </r>
  <r>
    <x v="163"/>
    <x v="2"/>
    <n v="72.5"/>
    <n v="151"/>
    <n v="47.3"/>
    <n v="7.24"/>
    <n v="32.5"/>
    <n v="0.37"/>
    <x v="291"/>
    <x v="248"/>
    <n v="3.3"/>
    <n v="120.8333333333333"/>
    <n v="151"/>
    <n v="59.125"/>
    <n v="18.100000000000001"/>
    <n v="81.25"/>
    <n v="18.5"/>
    <n v="151"/>
    <x v="1"/>
    <s v="PM10"/>
  </r>
  <r>
    <x v="163"/>
    <x v="3"/>
    <n v="73.400000000000006"/>
    <n v="69.3"/>
    <n v="52.6"/>
    <n v="9.4600000000000009"/>
    <n v="83.2"/>
    <n v="0.73"/>
    <x v="204"/>
    <x v="193"/>
    <n v="2.75"/>
    <n v="122.3333333333333"/>
    <n v="69.3"/>
    <n v="65.75"/>
    <n v="23.65"/>
    <n v="208"/>
    <n v="36.5"/>
    <n v="208"/>
    <x v="0"/>
    <s v="O3"/>
  </r>
  <r>
    <x v="163"/>
    <x v="4"/>
    <n v="54.3"/>
    <n v="84.8"/>
    <n v="6"/>
    <n v="9.11"/>
    <n v="98.2"/>
    <n v="1.3"/>
    <x v="158"/>
    <x v="226"/>
    <n v="3.48"/>
    <n v="90.5"/>
    <n v="84.8"/>
    <n v="7.5"/>
    <n v="22.774999999999999"/>
    <n v="245.5"/>
    <n v="65"/>
    <n v="246"/>
    <x v="0"/>
    <s v="O3"/>
  </r>
  <r>
    <x v="164"/>
    <x v="0"/>
    <n v="80.900000000000006"/>
    <n v="132.19999999999999"/>
    <n v="35.6"/>
    <n v="3.7"/>
    <n v="38.799999999999997"/>
    <n v="1.28"/>
    <x v="11"/>
    <x v="356"/>
    <n v="3.03"/>
    <n v="134.83333333333329"/>
    <n v="132.19999999999999"/>
    <n v="44.500000000000007"/>
    <n v="9.2500000000000018"/>
    <n v="96.999999999999986"/>
    <n v="64"/>
    <n v="135"/>
    <x v="1"/>
    <s v="PM2.5"/>
  </r>
  <r>
    <x v="164"/>
    <x v="1"/>
    <n v="85"/>
    <n v="197"/>
    <n v="46.6"/>
    <n v="1.46"/>
    <n v="39.200000000000003"/>
    <n v="1.23"/>
    <x v="41"/>
    <x v="130"/>
    <n v="2.67"/>
    <n v="141.66666666666671"/>
    <n v="197"/>
    <n v="58.25"/>
    <n v="3.65"/>
    <n v="98"/>
    <n v="61.5"/>
    <n v="197"/>
    <x v="1"/>
    <s v="PM10"/>
  </r>
  <r>
    <x v="164"/>
    <x v="2"/>
    <n v="54.3"/>
    <n v="153.5"/>
    <n v="24.6"/>
    <n v="8.26"/>
    <n v="35.4"/>
    <n v="0.83"/>
    <x v="230"/>
    <x v="475"/>
    <n v="2.0499999999999998"/>
    <n v="90.5"/>
    <n v="153.5"/>
    <n v="30.75"/>
    <n v="20.65"/>
    <n v="88.5"/>
    <n v="41.499999999999993"/>
    <n v="154"/>
    <x v="1"/>
    <s v="PM10"/>
  </r>
  <r>
    <x v="164"/>
    <x v="3"/>
    <n v="64.8"/>
    <n v="6"/>
    <n v="54.9"/>
    <n v="10.61"/>
    <n v="42.4"/>
    <n v="0.85"/>
    <x v="95"/>
    <x v="62"/>
    <n v="0.38"/>
    <n v="108"/>
    <n v="6"/>
    <n v="68.624999999999986"/>
    <n v="26.524999999999999"/>
    <n v="106"/>
    <n v="42.499999999999993"/>
    <n v="108"/>
    <x v="1"/>
    <s v="PM2.5"/>
  </r>
  <r>
    <x v="164"/>
    <x v="4"/>
    <n v="73.400000000000006"/>
    <n v="57.5"/>
    <n v="39.200000000000003"/>
    <n v="5.95"/>
    <n v="32.200000000000003"/>
    <n v="1.05"/>
    <x v="54"/>
    <x v="476"/>
    <n v="0.85"/>
    <n v="122.3333333333333"/>
    <n v="57.5"/>
    <n v="49"/>
    <n v="14.875"/>
    <n v="80.5"/>
    <n v="52.500000000000007"/>
    <n v="122"/>
    <x v="1"/>
    <s v="PM2.5"/>
  </r>
  <r>
    <x v="165"/>
    <x v="0"/>
    <n v="70.099999999999994"/>
    <n v="92.4"/>
    <n v="19.899999999999999"/>
    <n v="8.2899999999999991"/>
    <n v="1.2"/>
    <n v="1.1299999999999999"/>
    <x v="34"/>
    <x v="477"/>
    <n v="1.39"/>
    <n v="116.8333333333333"/>
    <n v="92.4"/>
    <n v="24.875"/>
    <n v="20.725000000000001"/>
    <n v="3"/>
    <n v="56.499999999999993"/>
    <n v="117"/>
    <x v="1"/>
    <s v="PM2.5"/>
  </r>
  <r>
    <x v="165"/>
    <x v="1"/>
    <n v="46.5"/>
    <n v="137.6"/>
    <n v="29.5"/>
    <n v="7.71"/>
    <n v="2.7"/>
    <n v="1.58"/>
    <x v="143"/>
    <x v="62"/>
    <n v="2.61"/>
    <n v="77.5"/>
    <n v="137.6"/>
    <n v="36.875"/>
    <n v="19.274999999999999"/>
    <n v="6.7500000000000009"/>
    <n v="79"/>
    <n v="138"/>
    <x v="1"/>
    <s v="PM10"/>
  </r>
  <r>
    <x v="165"/>
    <x v="2"/>
    <n v="63.6"/>
    <n v="10"/>
    <n v="57"/>
    <n v="9.0299999999999994"/>
    <n v="26.5"/>
    <n v="1.48"/>
    <x v="137"/>
    <x v="478"/>
    <n v="3.07"/>
    <n v="106"/>
    <n v="10"/>
    <n v="71.25"/>
    <n v="22.574999999999999"/>
    <n v="66.25"/>
    <n v="74"/>
    <n v="106"/>
    <x v="1"/>
    <s v="PM2.5"/>
  </r>
  <r>
    <x v="165"/>
    <x v="3"/>
    <n v="22.5"/>
    <n v="145"/>
    <n v="19.100000000000001"/>
    <n v="2.2000000000000002"/>
    <n v="17.3"/>
    <n v="1.32"/>
    <x v="227"/>
    <x v="401"/>
    <n v="1.77"/>
    <n v="37.5"/>
    <n v="145"/>
    <n v="23.875"/>
    <n v="5.5000000000000009"/>
    <n v="43.250000000000007"/>
    <n v="66"/>
    <n v="145"/>
    <x v="1"/>
    <s v="PM10"/>
  </r>
  <r>
    <x v="165"/>
    <x v="4"/>
    <n v="52"/>
    <n v="43.2"/>
    <n v="19.3"/>
    <n v="16.329999999999998"/>
    <n v="20.3"/>
    <n v="0.89"/>
    <x v="136"/>
    <x v="206"/>
    <n v="3.75"/>
    <n v="86.666666666666671"/>
    <n v="43.2"/>
    <n v="24.125"/>
    <n v="40.825000000000003"/>
    <n v="50.75"/>
    <n v="44.5"/>
    <n v="87"/>
    <x v="3"/>
    <s v="PM2.5"/>
  </r>
  <r>
    <x v="166"/>
    <x v="0"/>
    <n v="81.400000000000006"/>
    <n v="93.5"/>
    <n v="18.600000000000001"/>
    <n v="13.22"/>
    <n v="43.3"/>
    <n v="2.06"/>
    <x v="292"/>
    <x v="191"/>
    <n v="4.8"/>
    <n v="135.66666666666671"/>
    <n v="93.5"/>
    <n v="23.25"/>
    <n v="33.049999999999997"/>
    <n v="108.25"/>
    <n v="103"/>
    <n v="136"/>
    <x v="1"/>
    <s v="PM2.5"/>
  </r>
  <r>
    <x v="166"/>
    <x v="1"/>
    <n v="49.4"/>
    <n v="106.5"/>
    <n v="50.9"/>
    <n v="5.21"/>
    <n v="40.200000000000003"/>
    <n v="1"/>
    <x v="8"/>
    <x v="479"/>
    <n v="3.05"/>
    <n v="82.333333333333329"/>
    <n v="106.5"/>
    <n v="63.625"/>
    <n v="13.025"/>
    <n v="100.5"/>
    <n v="50"/>
    <n v="106"/>
    <x v="1"/>
    <s v="PM10"/>
  </r>
  <r>
    <x v="166"/>
    <x v="2"/>
    <n v="51.3"/>
    <n v="128.1"/>
    <n v="30.2"/>
    <n v="3.14"/>
    <n v="23.7"/>
    <n v="0.91"/>
    <x v="63"/>
    <x v="480"/>
    <n v="1.88"/>
    <n v="85.499999999999986"/>
    <n v="128.1"/>
    <n v="37.75"/>
    <n v="7.8500000000000014"/>
    <n v="59.25"/>
    <n v="45.5"/>
    <n v="128"/>
    <x v="1"/>
    <s v="PM10"/>
  </r>
  <r>
    <x v="166"/>
    <x v="3"/>
    <n v="99"/>
    <n v="5"/>
    <n v="33.1"/>
    <n v="13.3"/>
    <n v="43"/>
    <n v="1.32"/>
    <x v="109"/>
    <x v="274"/>
    <n v="0.2"/>
    <n v="165"/>
    <n v="5"/>
    <n v="41.375"/>
    <n v="33.25"/>
    <n v="107.5"/>
    <n v="66"/>
    <n v="165"/>
    <x v="1"/>
    <s v="PM2.5"/>
  </r>
  <r>
    <x v="166"/>
    <x v="4"/>
    <n v="58.2"/>
    <n v="64.599999999999994"/>
    <n v="25.5"/>
    <n v="4.84"/>
    <n v="92"/>
    <n v="2.33"/>
    <x v="111"/>
    <x v="209"/>
    <n v="1.59"/>
    <n v="97"/>
    <n v="64.599999999999994"/>
    <n v="31.875"/>
    <n v="12.1"/>
    <n v="230"/>
    <n v="116.5"/>
    <n v="230"/>
    <x v="0"/>
    <s v="O3"/>
  </r>
  <r>
    <x v="167"/>
    <x v="0"/>
    <n v="68.099999999999994"/>
    <n v="208.8"/>
    <n v="36.799999999999997"/>
    <n v="0.5"/>
    <n v="65.3"/>
    <n v="1.65"/>
    <x v="293"/>
    <x v="161"/>
    <n v="3.04"/>
    <n v="113.5"/>
    <n v="208.8"/>
    <n v="46"/>
    <n v="1.25"/>
    <n v="163.25"/>
    <n v="82.499999999999986"/>
    <n v="209"/>
    <x v="0"/>
    <s v="PM10"/>
  </r>
  <r>
    <x v="167"/>
    <x v="1"/>
    <n v="57.8"/>
    <n v="72.599999999999994"/>
    <n v="65.3"/>
    <n v="5.98"/>
    <n v="3.6"/>
    <n v="0.05"/>
    <x v="202"/>
    <x v="50"/>
    <n v="2.61"/>
    <n v="96.333333333333329"/>
    <n v="72.599999999999994"/>
    <n v="81.625"/>
    <n v="14.95"/>
    <n v="9.0000000000000018"/>
    <n v="2.5"/>
    <n v="96"/>
    <x v="3"/>
    <s v="PM2.5"/>
  </r>
  <r>
    <x v="167"/>
    <x v="2"/>
    <n v="35.6"/>
    <n v="67.099999999999994"/>
    <n v="17.8"/>
    <n v="4.4400000000000004"/>
    <n v="1"/>
    <n v="0.57999999999999996"/>
    <x v="11"/>
    <x v="242"/>
    <n v="2.4500000000000002"/>
    <n v="59.333333333333343"/>
    <n v="67.099999999999994"/>
    <n v="22.25"/>
    <n v="11.1"/>
    <n v="2.5"/>
    <n v="29"/>
    <n v="67"/>
    <x v="3"/>
    <s v="PM10"/>
  </r>
  <r>
    <x v="167"/>
    <x v="3"/>
    <n v="67.099999999999994"/>
    <n v="160.80000000000001"/>
    <n v="52.9"/>
    <n v="8.2799999999999994"/>
    <n v="40.299999999999997"/>
    <n v="0.49"/>
    <x v="18"/>
    <x v="481"/>
    <n v="2.91"/>
    <n v="111.8333333333333"/>
    <n v="160.80000000000001"/>
    <n v="66.125"/>
    <n v="20.7"/>
    <n v="100.75"/>
    <n v="24.5"/>
    <n v="161"/>
    <x v="1"/>
    <s v="PM10"/>
  </r>
  <r>
    <x v="167"/>
    <x v="4"/>
    <n v="103.4"/>
    <n v="25"/>
    <n v="19.3"/>
    <n v="10.8"/>
    <n v="51.3"/>
    <n v="1.75"/>
    <x v="177"/>
    <x v="231"/>
    <n v="2.74"/>
    <n v="172.33333333333329"/>
    <n v="25"/>
    <n v="24.125"/>
    <n v="27"/>
    <n v="128.25"/>
    <n v="87.5"/>
    <n v="172"/>
    <x v="1"/>
    <s v="PM2.5"/>
  </r>
  <r>
    <x v="168"/>
    <x v="0"/>
    <n v="12.9"/>
    <n v="48.1"/>
    <n v="59.3"/>
    <n v="11.37"/>
    <n v="56.4"/>
    <n v="0.15"/>
    <x v="29"/>
    <x v="482"/>
    <n v="3.91"/>
    <n v="21.5"/>
    <n v="48.1"/>
    <n v="74.125"/>
    <n v="28.425000000000001"/>
    <n v="141"/>
    <n v="7.5"/>
    <n v="141"/>
    <x v="1"/>
    <s v="O3"/>
  </r>
  <r>
    <x v="168"/>
    <x v="1"/>
    <n v="42.5"/>
    <n v="54.9"/>
    <n v="45.6"/>
    <n v="4.8"/>
    <n v="96.4"/>
    <n v="0.76"/>
    <x v="193"/>
    <x v="483"/>
    <n v="2.46"/>
    <n v="70.833333333333329"/>
    <n v="54.9"/>
    <n v="57"/>
    <n v="12"/>
    <n v="241"/>
    <n v="38"/>
    <n v="241"/>
    <x v="0"/>
    <s v="O3"/>
  </r>
  <r>
    <x v="168"/>
    <x v="2"/>
    <n v="32.799999999999997"/>
    <n v="26"/>
    <n v="52.3"/>
    <n v="8.6199999999999992"/>
    <n v="37.299999999999997"/>
    <n v="1.53"/>
    <x v="238"/>
    <x v="37"/>
    <n v="1.25"/>
    <n v="54.666666666666657"/>
    <n v="26"/>
    <n v="65.375"/>
    <n v="21.55"/>
    <n v="93.25"/>
    <n v="76.5"/>
    <n v="93"/>
    <x v="3"/>
    <s v="O3"/>
  </r>
  <r>
    <x v="168"/>
    <x v="3"/>
    <n v="67.599999999999994"/>
    <n v="115"/>
    <n v="38.700000000000003"/>
    <n v="3.01"/>
    <n v="55.2"/>
    <n v="0.6"/>
    <x v="30"/>
    <x v="459"/>
    <n v="1.71"/>
    <n v="112.6666666666667"/>
    <n v="115"/>
    <n v="48.375"/>
    <n v="7.5249999999999986"/>
    <n v="138"/>
    <n v="30"/>
    <n v="138"/>
    <x v="1"/>
    <s v="O3"/>
  </r>
  <r>
    <x v="168"/>
    <x v="4"/>
    <n v="11.3"/>
    <n v="50"/>
    <n v="57.1"/>
    <n v="8.16"/>
    <n v="40.5"/>
    <n v="0.79"/>
    <x v="55"/>
    <x v="484"/>
    <n v="3.37"/>
    <n v="18.833333333333329"/>
    <n v="50"/>
    <n v="71.375000000000014"/>
    <n v="20.399999999999999"/>
    <n v="101.25"/>
    <n v="39.5"/>
    <n v="101"/>
    <x v="1"/>
    <s v="O3"/>
  </r>
  <r>
    <x v="169"/>
    <x v="0"/>
    <n v="35"/>
    <n v="60.8"/>
    <n v="29.7"/>
    <n v="5.63"/>
    <n v="44.6"/>
    <n v="1.23"/>
    <x v="294"/>
    <x v="176"/>
    <n v="2.0299999999999998"/>
    <n v="58.333333333333343"/>
    <n v="60.8"/>
    <n v="37.125"/>
    <n v="14.074999999999999"/>
    <n v="111.5"/>
    <n v="61.5"/>
    <n v="112"/>
    <x v="1"/>
    <s v="O3"/>
  </r>
  <r>
    <x v="169"/>
    <x v="1"/>
    <n v="105.2"/>
    <n v="55.2"/>
    <n v="48.3"/>
    <n v="15.48"/>
    <n v="9"/>
    <n v="1.44"/>
    <x v="94"/>
    <x v="193"/>
    <n v="1.54"/>
    <n v="175.33333333333329"/>
    <n v="55.2"/>
    <n v="60.375"/>
    <n v="38.700000000000003"/>
    <n v="22.5"/>
    <n v="72"/>
    <n v="175"/>
    <x v="1"/>
    <s v="PM2.5"/>
  </r>
  <r>
    <x v="169"/>
    <x v="2"/>
    <n v="28.9"/>
    <n v="215.3"/>
    <n v="47"/>
    <n v="10.27"/>
    <n v="49.7"/>
    <n v="0.18"/>
    <x v="95"/>
    <x v="236"/>
    <n v="1.48"/>
    <n v="48.166666666666657"/>
    <n v="215.3"/>
    <n v="58.75"/>
    <n v="25.675000000000001"/>
    <n v="124.25"/>
    <n v="9"/>
    <n v="215"/>
    <x v="0"/>
    <s v="PM10"/>
  </r>
  <r>
    <x v="169"/>
    <x v="3"/>
    <n v="71.2"/>
    <n v="129.80000000000001"/>
    <n v="65.599999999999994"/>
    <n v="4.7300000000000004"/>
    <n v="12.6"/>
    <n v="0.79"/>
    <x v="88"/>
    <x v="485"/>
    <n v="0.2"/>
    <n v="118.6666666666667"/>
    <n v="129.80000000000001"/>
    <n v="81.999999999999986"/>
    <n v="11.824999999999999"/>
    <n v="31.5"/>
    <n v="39.5"/>
    <n v="130"/>
    <x v="1"/>
    <s v="PM10"/>
  </r>
  <r>
    <x v="169"/>
    <x v="4"/>
    <n v="55.2"/>
    <n v="82.2"/>
    <n v="39.700000000000003"/>
    <n v="11.2"/>
    <n v="28.8"/>
    <n v="7.0000000000000007E-2"/>
    <x v="295"/>
    <x v="149"/>
    <n v="1.73"/>
    <n v="92"/>
    <n v="82.2"/>
    <n v="49.625"/>
    <n v="28"/>
    <n v="72.000000000000014"/>
    <n v="3.5"/>
    <n v="92"/>
    <x v="3"/>
    <s v="PM2.5"/>
  </r>
  <r>
    <x v="170"/>
    <x v="0"/>
    <n v="85.7"/>
    <n v="89.2"/>
    <n v="40.200000000000003"/>
    <n v="9.58"/>
    <n v="77.2"/>
    <n v="0.92"/>
    <x v="239"/>
    <x v="486"/>
    <n v="3.41"/>
    <n v="142.83333333333329"/>
    <n v="89.2"/>
    <n v="50.25"/>
    <n v="23.95"/>
    <n v="193"/>
    <n v="46"/>
    <n v="193"/>
    <x v="1"/>
    <s v="O3"/>
  </r>
  <r>
    <x v="170"/>
    <x v="1"/>
    <n v="34.799999999999997"/>
    <n v="202.3"/>
    <n v="47.8"/>
    <n v="4.6399999999999997"/>
    <n v="70.7"/>
    <n v="1.74"/>
    <x v="296"/>
    <x v="367"/>
    <n v="1.92"/>
    <n v="57.999999999999993"/>
    <n v="202.3"/>
    <n v="59.75"/>
    <n v="11.6"/>
    <n v="176.75"/>
    <n v="87"/>
    <n v="202"/>
    <x v="0"/>
    <s v="PM10"/>
  </r>
  <r>
    <x v="170"/>
    <x v="2"/>
    <n v="45.5"/>
    <n v="89.3"/>
    <n v="45.6"/>
    <n v="0.5"/>
    <n v="45.9"/>
    <n v="0.78"/>
    <x v="60"/>
    <x v="487"/>
    <n v="2.2400000000000002"/>
    <n v="75.833333333333343"/>
    <n v="89.3"/>
    <n v="57"/>
    <n v="1.25"/>
    <n v="114.75"/>
    <n v="39"/>
    <n v="115"/>
    <x v="1"/>
    <s v="O3"/>
  </r>
  <r>
    <x v="170"/>
    <x v="3"/>
    <n v="2"/>
    <n v="62.3"/>
    <n v="22"/>
    <n v="8.5299999999999994"/>
    <n v="19.899999999999999"/>
    <n v="0.86"/>
    <x v="129"/>
    <x v="488"/>
    <n v="3.58"/>
    <n v="3.333333333333333"/>
    <n v="62.3"/>
    <n v="27.5"/>
    <n v="21.324999999999999"/>
    <n v="49.749999999999993"/>
    <n v="43"/>
    <n v="62"/>
    <x v="3"/>
    <s v="PM10"/>
  </r>
  <r>
    <x v="170"/>
    <x v="4"/>
    <n v="39.6"/>
    <n v="134.30000000000001"/>
    <n v="35.5"/>
    <n v="6.18"/>
    <n v="55.3"/>
    <n v="0.74"/>
    <x v="243"/>
    <x v="489"/>
    <n v="3.74"/>
    <n v="66"/>
    <n v="134.30000000000001"/>
    <n v="44.375"/>
    <n v="15.45"/>
    <n v="138.25"/>
    <n v="37"/>
    <n v="138"/>
    <x v="1"/>
    <s v="O3"/>
  </r>
  <r>
    <x v="171"/>
    <x v="0"/>
    <n v="95.4"/>
    <n v="167.3"/>
    <n v="15.5"/>
    <n v="9.41"/>
    <n v="70.5"/>
    <n v="1.6"/>
    <x v="237"/>
    <x v="417"/>
    <n v="3.69"/>
    <n v="159"/>
    <n v="167.3"/>
    <n v="19.375"/>
    <n v="23.524999999999999"/>
    <n v="176.25"/>
    <n v="80"/>
    <n v="176"/>
    <x v="1"/>
    <s v="O3"/>
  </r>
  <r>
    <x v="171"/>
    <x v="1"/>
    <n v="37.1"/>
    <n v="102"/>
    <n v="76.5"/>
    <n v="7.76"/>
    <n v="27.3"/>
    <n v="0.67"/>
    <x v="133"/>
    <x v="83"/>
    <n v="2.2000000000000002"/>
    <n v="61.833333333333343"/>
    <n v="102"/>
    <n v="95.625"/>
    <n v="19.399999999999999"/>
    <n v="68.25"/>
    <n v="33.5"/>
    <n v="102"/>
    <x v="1"/>
    <s v="PM10"/>
  </r>
  <r>
    <x v="171"/>
    <x v="2"/>
    <n v="53.2"/>
    <n v="150.4"/>
    <n v="44.3"/>
    <n v="3.37"/>
    <n v="66"/>
    <n v="0.78"/>
    <x v="225"/>
    <x v="490"/>
    <n v="4.2300000000000004"/>
    <n v="88.666666666666671"/>
    <n v="150.4"/>
    <n v="55.374999999999993"/>
    <n v="8.4250000000000007"/>
    <n v="165"/>
    <n v="39"/>
    <n v="165"/>
    <x v="1"/>
    <s v="O3"/>
  </r>
  <r>
    <x v="171"/>
    <x v="3"/>
    <n v="52"/>
    <n v="96.6"/>
    <n v="62.2"/>
    <n v="0.67"/>
    <n v="7.9"/>
    <n v="0.18"/>
    <x v="181"/>
    <x v="90"/>
    <n v="4.3499999999999996"/>
    <n v="86.666666666666671"/>
    <n v="96.6"/>
    <n v="77.75"/>
    <n v="1.675"/>
    <n v="19.75"/>
    <n v="9"/>
    <n v="97"/>
    <x v="3"/>
    <s v="PM10"/>
  </r>
  <r>
    <x v="171"/>
    <x v="4"/>
    <n v="59.2"/>
    <n v="84.3"/>
    <n v="39.6"/>
    <n v="7.56"/>
    <n v="1"/>
    <n v="2.4900000000000002"/>
    <x v="118"/>
    <x v="188"/>
    <n v="3.74"/>
    <n v="98.666666666666671"/>
    <n v="84.3"/>
    <n v="49.5"/>
    <n v="18.899999999999999"/>
    <n v="2.5"/>
    <n v="124.5"/>
    <n v="125"/>
    <x v="1"/>
    <s v="CO"/>
  </r>
  <r>
    <x v="172"/>
    <x v="0"/>
    <n v="74.8"/>
    <n v="102.6"/>
    <n v="29.8"/>
    <n v="10.119999999999999"/>
    <n v="57.1"/>
    <n v="0.66"/>
    <x v="250"/>
    <x v="220"/>
    <n v="3.38"/>
    <n v="124.6666666666667"/>
    <n v="102.6"/>
    <n v="37.25"/>
    <n v="25.3"/>
    <n v="142.75"/>
    <n v="33"/>
    <n v="143"/>
    <x v="1"/>
    <s v="O3"/>
  </r>
  <r>
    <x v="172"/>
    <x v="1"/>
    <n v="101.8"/>
    <n v="121.3"/>
    <n v="51.3"/>
    <n v="12.05"/>
    <n v="27.3"/>
    <n v="1.23"/>
    <x v="108"/>
    <x v="157"/>
    <n v="5.28"/>
    <n v="169.66666666666671"/>
    <n v="121.3"/>
    <n v="64.125"/>
    <n v="30.125"/>
    <n v="68.25"/>
    <n v="61.5"/>
    <n v="170"/>
    <x v="1"/>
    <s v="PM2.5"/>
  </r>
  <r>
    <x v="172"/>
    <x v="2"/>
    <n v="13.5"/>
    <n v="32"/>
    <n v="54.2"/>
    <n v="8.7899999999999991"/>
    <n v="13.6"/>
    <n v="1.19"/>
    <x v="127"/>
    <x v="135"/>
    <n v="5.62"/>
    <n v="22.5"/>
    <n v="32"/>
    <n v="67.75"/>
    <n v="21.975000000000001"/>
    <n v="34"/>
    <n v="59.5"/>
    <n v="68"/>
    <x v="3"/>
    <s v="NO2"/>
  </r>
  <r>
    <x v="172"/>
    <x v="3"/>
    <n v="6.6"/>
    <n v="129.30000000000001"/>
    <n v="54.7"/>
    <n v="9.9700000000000006"/>
    <n v="34.9"/>
    <n v="0.82"/>
    <x v="146"/>
    <x v="217"/>
    <n v="3.22"/>
    <n v="11"/>
    <n v="129.30000000000001"/>
    <n v="68.375"/>
    <n v="24.925000000000001"/>
    <n v="87.25"/>
    <n v="40.999999999999993"/>
    <n v="129"/>
    <x v="1"/>
    <s v="PM10"/>
  </r>
  <r>
    <x v="172"/>
    <x v="4"/>
    <n v="80.3"/>
    <n v="51.8"/>
    <n v="35.6"/>
    <n v="2.9"/>
    <n v="33.4"/>
    <n v="1.59"/>
    <x v="31"/>
    <x v="62"/>
    <n v="3.23"/>
    <n v="133.83333333333329"/>
    <n v="51.8"/>
    <n v="44.500000000000007"/>
    <n v="7.2499999999999991"/>
    <n v="83.499999999999986"/>
    <n v="79.5"/>
    <n v="134"/>
    <x v="1"/>
    <s v="PM2.5"/>
  </r>
  <r>
    <x v="173"/>
    <x v="0"/>
    <n v="56.8"/>
    <n v="116.3"/>
    <n v="29.7"/>
    <n v="7.09"/>
    <n v="78.400000000000006"/>
    <n v="1.17"/>
    <x v="94"/>
    <x v="165"/>
    <n v="1.96"/>
    <n v="94.666666666666657"/>
    <n v="116.3"/>
    <n v="37.125"/>
    <n v="17.725000000000001"/>
    <n v="196"/>
    <n v="58.5"/>
    <n v="196"/>
    <x v="1"/>
    <s v="O3"/>
  </r>
  <r>
    <x v="173"/>
    <x v="1"/>
    <n v="62.2"/>
    <n v="191.6"/>
    <n v="18.2"/>
    <n v="6.4"/>
    <n v="54.5"/>
    <n v="0.1"/>
    <x v="4"/>
    <x v="5"/>
    <n v="1.54"/>
    <n v="103.6666666666667"/>
    <n v="191.6"/>
    <n v="22.75"/>
    <n v="16"/>
    <n v="136.25"/>
    <n v="5"/>
    <n v="192"/>
    <x v="1"/>
    <s v="PM10"/>
  </r>
  <r>
    <x v="173"/>
    <x v="2"/>
    <n v="50"/>
    <n v="83.9"/>
    <n v="25.8"/>
    <n v="7.71"/>
    <n v="78.900000000000006"/>
    <n v="1.66"/>
    <x v="286"/>
    <x v="491"/>
    <n v="2.29"/>
    <n v="83.333333333333329"/>
    <n v="83.9"/>
    <n v="32.25"/>
    <n v="19.274999999999999"/>
    <n v="197.25"/>
    <n v="82.999999999999986"/>
    <n v="197"/>
    <x v="1"/>
    <s v="O3"/>
  </r>
  <r>
    <x v="173"/>
    <x v="3"/>
    <n v="51.7"/>
    <n v="76.900000000000006"/>
    <n v="37.9"/>
    <n v="7.01"/>
    <n v="25.5"/>
    <n v="0.53"/>
    <x v="51"/>
    <x v="89"/>
    <n v="3.22"/>
    <n v="86.166666666666671"/>
    <n v="76.900000000000006"/>
    <n v="47.375"/>
    <n v="17.524999999999999"/>
    <n v="63.75"/>
    <n v="26.5"/>
    <n v="86"/>
    <x v="3"/>
    <s v="PM2.5"/>
  </r>
  <r>
    <x v="173"/>
    <x v="4"/>
    <n v="75.3"/>
    <n v="79.5"/>
    <n v="44.6"/>
    <n v="11.28"/>
    <n v="76.099999999999994"/>
    <n v="1.02"/>
    <x v="96"/>
    <x v="163"/>
    <n v="1.62"/>
    <n v="125.5"/>
    <n v="79.5"/>
    <n v="55.75"/>
    <n v="28.2"/>
    <n v="190.25"/>
    <n v="51.000000000000007"/>
    <n v="190"/>
    <x v="1"/>
    <s v="O3"/>
  </r>
  <r>
    <x v="174"/>
    <x v="0"/>
    <n v="49.9"/>
    <n v="151.5"/>
    <n v="53.2"/>
    <n v="6.12"/>
    <n v="52.3"/>
    <n v="0.65"/>
    <x v="170"/>
    <x v="194"/>
    <n v="2.17"/>
    <n v="83.166666666666671"/>
    <n v="151.5"/>
    <n v="66.5"/>
    <n v="15.3"/>
    <n v="130.75"/>
    <n v="32.5"/>
    <n v="152"/>
    <x v="1"/>
    <s v="PM10"/>
  </r>
  <r>
    <x v="174"/>
    <x v="1"/>
    <n v="49.1"/>
    <n v="116.2"/>
    <n v="36"/>
    <n v="11.29"/>
    <n v="37.6"/>
    <n v="2.16"/>
    <x v="127"/>
    <x v="379"/>
    <n v="2.58"/>
    <n v="81.833333333333343"/>
    <n v="116.2"/>
    <n v="45"/>
    <n v="28.225000000000001"/>
    <n v="94"/>
    <n v="108"/>
    <n v="116"/>
    <x v="1"/>
    <s v="PM10"/>
  </r>
  <r>
    <x v="174"/>
    <x v="2"/>
    <n v="30.8"/>
    <n v="76.3"/>
    <n v="64.599999999999994"/>
    <n v="4.91"/>
    <n v="46.6"/>
    <n v="1.1599999999999999"/>
    <x v="35"/>
    <x v="271"/>
    <n v="1.05"/>
    <n v="51.333333333333343"/>
    <n v="76.3"/>
    <n v="80.749999999999986"/>
    <n v="12.275"/>
    <n v="116.5"/>
    <n v="57.999999999999993"/>
    <n v="116"/>
    <x v="1"/>
    <s v="O3"/>
  </r>
  <r>
    <x v="174"/>
    <x v="3"/>
    <n v="26.7"/>
    <n v="5"/>
    <n v="44.7"/>
    <n v="14.62"/>
    <n v="43.7"/>
    <n v="0.28000000000000003"/>
    <x v="49"/>
    <x v="455"/>
    <n v="1.28"/>
    <n v="44.5"/>
    <n v="5"/>
    <n v="55.875"/>
    <n v="36.549999999999997"/>
    <n v="109.25"/>
    <n v="14"/>
    <n v="109"/>
    <x v="1"/>
    <s v="O3"/>
  </r>
  <r>
    <x v="174"/>
    <x v="4"/>
    <n v="75.5"/>
    <n v="148.4"/>
    <n v="19.3"/>
    <n v="10.23"/>
    <n v="86"/>
    <n v="2.06"/>
    <x v="297"/>
    <x v="36"/>
    <n v="6.39"/>
    <n v="125.8333333333333"/>
    <n v="148.4"/>
    <n v="24.125"/>
    <n v="25.574999999999999"/>
    <n v="215"/>
    <n v="103"/>
    <n v="215"/>
    <x v="0"/>
    <s v="O3"/>
  </r>
  <r>
    <x v="175"/>
    <x v="0"/>
    <n v="45.4"/>
    <n v="77.7"/>
    <n v="47.4"/>
    <n v="4.68"/>
    <n v="57.5"/>
    <n v="0.38"/>
    <x v="19"/>
    <x v="156"/>
    <n v="2.4300000000000002"/>
    <n v="75.666666666666657"/>
    <n v="77.7"/>
    <n v="59.25"/>
    <n v="11.7"/>
    <n v="143.75"/>
    <n v="19"/>
    <n v="144"/>
    <x v="1"/>
    <s v="O3"/>
  </r>
  <r>
    <x v="175"/>
    <x v="1"/>
    <n v="64.2"/>
    <n v="148.5"/>
    <n v="68.400000000000006"/>
    <n v="0.5"/>
    <n v="68.3"/>
    <n v="1.04"/>
    <x v="141"/>
    <x v="322"/>
    <n v="1.07"/>
    <n v="107"/>
    <n v="148.5"/>
    <n v="85.5"/>
    <n v="1.25"/>
    <n v="170.75"/>
    <n v="52.000000000000007"/>
    <n v="171"/>
    <x v="1"/>
    <s v="O3"/>
  </r>
  <r>
    <x v="175"/>
    <x v="2"/>
    <n v="22.5"/>
    <n v="5"/>
    <n v="25.9"/>
    <n v="11.14"/>
    <n v="35.1"/>
    <n v="0.3"/>
    <x v="36"/>
    <x v="492"/>
    <n v="1.1499999999999999"/>
    <n v="37.5"/>
    <n v="5"/>
    <n v="32.375"/>
    <n v="27.85"/>
    <n v="87.750000000000014"/>
    <n v="15"/>
    <n v="88"/>
    <x v="3"/>
    <s v="O3"/>
  </r>
  <r>
    <x v="175"/>
    <x v="3"/>
    <n v="57.3"/>
    <n v="39.700000000000003"/>
    <n v="53.8"/>
    <n v="6.12"/>
    <n v="42.1"/>
    <n v="0.83"/>
    <x v="126"/>
    <x v="458"/>
    <n v="2.9"/>
    <n v="95.5"/>
    <n v="39.700000000000003"/>
    <n v="67.249999999999986"/>
    <n v="15.3"/>
    <n v="105.25"/>
    <n v="41.499999999999993"/>
    <n v="105"/>
    <x v="1"/>
    <s v="O3"/>
  </r>
  <r>
    <x v="175"/>
    <x v="4"/>
    <n v="67.7"/>
    <n v="94.4"/>
    <n v="49.1"/>
    <n v="5.55"/>
    <n v="44.1"/>
    <n v="0.91"/>
    <x v="15"/>
    <x v="225"/>
    <n v="3.56"/>
    <n v="112.8333333333333"/>
    <n v="94.4"/>
    <n v="61.375"/>
    <n v="13.875"/>
    <n v="110.25"/>
    <n v="45.5"/>
    <n v="113"/>
    <x v="1"/>
    <s v="PM2.5"/>
  </r>
  <r>
    <x v="176"/>
    <x v="0"/>
    <n v="91.4"/>
    <n v="175"/>
    <n v="18.3"/>
    <n v="13.29"/>
    <n v="36.9"/>
    <n v="1.44"/>
    <x v="12"/>
    <x v="438"/>
    <n v="2.88"/>
    <n v="152.33333333333329"/>
    <n v="175"/>
    <n v="22.875"/>
    <n v="33.224999999999987"/>
    <n v="92.25"/>
    <n v="72"/>
    <n v="175"/>
    <x v="1"/>
    <s v="PM10"/>
  </r>
  <r>
    <x v="176"/>
    <x v="1"/>
    <n v="15.5"/>
    <n v="156.5"/>
    <n v="71.900000000000006"/>
    <n v="7.13"/>
    <n v="92.5"/>
    <n v="1.0900000000000001"/>
    <x v="236"/>
    <x v="346"/>
    <n v="5.4"/>
    <n v="25.833333333333329"/>
    <n v="156.5"/>
    <n v="89.875000000000014"/>
    <n v="17.824999999999999"/>
    <n v="231.25"/>
    <n v="54.500000000000007"/>
    <n v="231"/>
    <x v="0"/>
    <s v="O3"/>
  </r>
  <r>
    <x v="176"/>
    <x v="2"/>
    <n v="79.7"/>
    <n v="78.2"/>
    <n v="4.2"/>
    <n v="7.17"/>
    <n v="3.7"/>
    <n v="1.1100000000000001"/>
    <x v="178"/>
    <x v="22"/>
    <n v="3.85"/>
    <n v="132.83333333333329"/>
    <n v="78.2"/>
    <n v="5.25"/>
    <n v="17.925000000000001"/>
    <n v="9.2500000000000018"/>
    <n v="55.500000000000007"/>
    <n v="133"/>
    <x v="1"/>
    <s v="PM2.5"/>
  </r>
  <r>
    <x v="176"/>
    <x v="3"/>
    <n v="67.3"/>
    <n v="142.80000000000001"/>
    <n v="36.1"/>
    <n v="0.74"/>
    <n v="64.400000000000006"/>
    <n v="0.83"/>
    <x v="244"/>
    <x v="493"/>
    <n v="5.0199999999999996"/>
    <n v="112.1666666666667"/>
    <n v="142.80000000000001"/>
    <n v="45.125"/>
    <n v="1.85"/>
    <n v="161"/>
    <n v="41.499999999999993"/>
    <n v="161"/>
    <x v="1"/>
    <s v="O3"/>
  </r>
  <r>
    <x v="176"/>
    <x v="4"/>
    <n v="51.7"/>
    <n v="219.6"/>
    <n v="41.2"/>
    <n v="5.37"/>
    <n v="26.7"/>
    <n v="1.92"/>
    <x v="175"/>
    <x v="358"/>
    <n v="2.33"/>
    <n v="86.166666666666671"/>
    <n v="219.6"/>
    <n v="51.500000000000007"/>
    <n v="13.425000000000001"/>
    <n v="66.75"/>
    <n v="96"/>
    <n v="220"/>
    <x v="0"/>
    <s v="PM10"/>
  </r>
  <r>
    <x v="177"/>
    <x v="0"/>
    <n v="42.5"/>
    <n v="167.3"/>
    <n v="34.4"/>
    <n v="5.5"/>
    <n v="78.599999999999994"/>
    <n v="1.99"/>
    <x v="296"/>
    <x v="417"/>
    <n v="1.89"/>
    <n v="70.833333333333329"/>
    <n v="167.3"/>
    <n v="43"/>
    <n v="13.75"/>
    <n v="196.5"/>
    <n v="99.5"/>
    <n v="196"/>
    <x v="1"/>
    <s v="O3"/>
  </r>
  <r>
    <x v="177"/>
    <x v="1"/>
    <n v="62.4"/>
    <n v="139.30000000000001"/>
    <n v="25.2"/>
    <n v="11.62"/>
    <n v="52.7"/>
    <n v="0.17"/>
    <x v="47"/>
    <x v="193"/>
    <n v="2.41"/>
    <n v="104"/>
    <n v="139.30000000000001"/>
    <n v="31.5"/>
    <n v="29.05"/>
    <n v="131.75"/>
    <n v="8.5"/>
    <n v="139"/>
    <x v="1"/>
    <s v="PM10"/>
  </r>
  <r>
    <x v="177"/>
    <x v="2"/>
    <n v="88.7"/>
    <n v="102.1"/>
    <n v="21.4"/>
    <n v="6.92"/>
    <n v="29.6"/>
    <n v="1.06"/>
    <x v="14"/>
    <x v="494"/>
    <n v="2.4700000000000002"/>
    <n v="147.83333333333329"/>
    <n v="102.1"/>
    <n v="26.75"/>
    <n v="17.3"/>
    <n v="74.000000000000014"/>
    <n v="53.000000000000007"/>
    <n v="148"/>
    <x v="1"/>
    <s v="PM2.5"/>
  </r>
  <r>
    <x v="177"/>
    <x v="3"/>
    <n v="87.3"/>
    <n v="139.6"/>
    <n v="24.7"/>
    <n v="15.24"/>
    <n v="48.2"/>
    <n v="0.56000000000000005"/>
    <x v="228"/>
    <x v="495"/>
    <n v="2.46"/>
    <n v="145.5"/>
    <n v="139.6"/>
    <n v="30.875"/>
    <n v="38.1"/>
    <n v="120.5"/>
    <n v="28"/>
    <n v="146"/>
    <x v="1"/>
    <s v="PM2.5"/>
  </r>
  <r>
    <x v="177"/>
    <x v="4"/>
    <n v="39.5"/>
    <n v="96.5"/>
    <n v="52.2"/>
    <n v="12.66"/>
    <n v="59.7"/>
    <n v="1.1100000000000001"/>
    <x v="243"/>
    <x v="320"/>
    <n v="4.24"/>
    <n v="65.833333333333329"/>
    <n v="96.5"/>
    <n v="65.25"/>
    <n v="31.65"/>
    <n v="149.25"/>
    <n v="55.500000000000007"/>
    <n v="149"/>
    <x v="1"/>
    <s v="O3"/>
  </r>
  <r>
    <x v="178"/>
    <x v="0"/>
    <n v="47.2"/>
    <n v="134.19999999999999"/>
    <n v="39.299999999999997"/>
    <n v="7.1"/>
    <n v="35.200000000000003"/>
    <n v="1.85"/>
    <x v="33"/>
    <x v="496"/>
    <n v="5.05"/>
    <n v="78.666666666666671"/>
    <n v="134.19999999999999"/>
    <n v="49.124999999999993"/>
    <n v="17.75"/>
    <n v="88.000000000000014"/>
    <n v="92.5"/>
    <n v="134"/>
    <x v="1"/>
    <s v="PM10"/>
  </r>
  <r>
    <x v="178"/>
    <x v="1"/>
    <n v="89.3"/>
    <n v="5"/>
    <n v="33.700000000000003"/>
    <n v="0.5"/>
    <n v="20.3"/>
    <n v="0.05"/>
    <x v="53"/>
    <x v="117"/>
    <n v="2.57"/>
    <n v="148.83333333333329"/>
    <n v="5"/>
    <n v="42.125"/>
    <n v="1.25"/>
    <n v="50.75"/>
    <n v="2.5"/>
    <n v="149"/>
    <x v="1"/>
    <s v="PM2.5"/>
  </r>
  <r>
    <x v="178"/>
    <x v="2"/>
    <n v="8.5"/>
    <n v="95"/>
    <n v="27.9"/>
    <n v="11.79"/>
    <n v="71.5"/>
    <n v="1.27"/>
    <x v="20"/>
    <x v="497"/>
    <n v="0.64"/>
    <n v="14.16666666666667"/>
    <n v="95"/>
    <n v="34.874999999999993"/>
    <n v="29.475000000000001"/>
    <n v="178.75"/>
    <n v="63.5"/>
    <n v="179"/>
    <x v="1"/>
    <s v="O3"/>
  </r>
  <r>
    <x v="178"/>
    <x v="3"/>
    <n v="14.3"/>
    <n v="92"/>
    <n v="72.099999999999994"/>
    <n v="5.59"/>
    <n v="35.4"/>
    <n v="0.27"/>
    <x v="150"/>
    <x v="498"/>
    <n v="3.45"/>
    <n v="23.833333333333339"/>
    <n v="92"/>
    <n v="90.125"/>
    <n v="13.975"/>
    <n v="88.5"/>
    <n v="13.5"/>
    <n v="92"/>
    <x v="3"/>
    <s v="PM10"/>
  </r>
  <r>
    <x v="178"/>
    <x v="4"/>
    <n v="36.200000000000003"/>
    <n v="68.3"/>
    <n v="16.8"/>
    <n v="7.41"/>
    <n v="14.3"/>
    <n v="0.43"/>
    <x v="81"/>
    <x v="59"/>
    <n v="2.35"/>
    <n v="60.333333333333343"/>
    <n v="68.3"/>
    <n v="21"/>
    <n v="18.524999999999999"/>
    <n v="35.750000000000007"/>
    <n v="21.5"/>
    <n v="68"/>
    <x v="3"/>
    <s v="PM10"/>
  </r>
  <r>
    <x v="179"/>
    <x v="0"/>
    <n v="68.099999999999994"/>
    <n v="114.8"/>
    <n v="36.1"/>
    <n v="8.1999999999999993"/>
    <n v="17.5"/>
    <n v="1.1599999999999999"/>
    <x v="85"/>
    <x v="307"/>
    <n v="3.69"/>
    <n v="113.5"/>
    <n v="114.8"/>
    <n v="45.125"/>
    <n v="20.5"/>
    <n v="43.75"/>
    <n v="57.999999999999993"/>
    <n v="115"/>
    <x v="1"/>
    <s v="PM10"/>
  </r>
  <r>
    <x v="179"/>
    <x v="1"/>
    <n v="33.6"/>
    <n v="125.4"/>
    <n v="68.3"/>
    <n v="12.63"/>
    <n v="51.1"/>
    <n v="0.98"/>
    <x v="150"/>
    <x v="254"/>
    <n v="1.76"/>
    <n v="56"/>
    <n v="125.4"/>
    <n v="85.374999999999986"/>
    <n v="31.574999999999999"/>
    <n v="127.75"/>
    <n v="49"/>
    <n v="128"/>
    <x v="1"/>
    <s v="O3"/>
  </r>
  <r>
    <x v="179"/>
    <x v="2"/>
    <n v="27.5"/>
    <n v="5"/>
    <n v="36.5"/>
    <n v="5.77"/>
    <n v="65"/>
    <n v="1.08"/>
    <x v="117"/>
    <x v="499"/>
    <n v="3.87"/>
    <n v="45.833333333333329"/>
    <n v="5"/>
    <n v="45.625"/>
    <n v="14.425000000000001"/>
    <n v="162.5"/>
    <n v="54.000000000000007"/>
    <n v="162"/>
    <x v="1"/>
    <s v="O3"/>
  </r>
  <r>
    <x v="179"/>
    <x v="3"/>
    <n v="35.299999999999997"/>
    <n v="133.30000000000001"/>
    <n v="12.7"/>
    <n v="7.34"/>
    <n v="1"/>
    <n v="0.83"/>
    <x v="146"/>
    <x v="73"/>
    <n v="1.24"/>
    <n v="58.833333333333329"/>
    <n v="133.30000000000001"/>
    <n v="15.875"/>
    <n v="18.350000000000001"/>
    <n v="2.5"/>
    <n v="41.499999999999993"/>
    <n v="133"/>
    <x v="1"/>
    <s v="PM10"/>
  </r>
  <r>
    <x v="179"/>
    <x v="4"/>
    <n v="75.099999999999994"/>
    <n v="100.1"/>
    <n v="31"/>
    <n v="7.22"/>
    <n v="116.5"/>
    <n v="1.67"/>
    <x v="140"/>
    <x v="230"/>
    <n v="3.2"/>
    <n v="125.1666666666666"/>
    <n v="100.1"/>
    <n v="38.75"/>
    <n v="18.05"/>
    <n v="291.25"/>
    <n v="83.499999999999986"/>
    <n v="291"/>
    <x v="0"/>
    <s v="O3"/>
  </r>
  <r>
    <x v="180"/>
    <x v="0"/>
    <n v="2"/>
    <n v="72.900000000000006"/>
    <n v="32.6"/>
    <n v="0.5"/>
    <n v="12.7"/>
    <n v="0.05"/>
    <x v="226"/>
    <x v="217"/>
    <n v="3.83"/>
    <n v="3.333333333333333"/>
    <n v="72.900000000000006"/>
    <n v="40.75"/>
    <n v="1.25"/>
    <n v="31.75"/>
    <n v="2.5"/>
    <n v="73"/>
    <x v="3"/>
    <s v="PM10"/>
  </r>
  <r>
    <x v="180"/>
    <x v="1"/>
    <n v="72.400000000000006"/>
    <n v="62.2"/>
    <n v="6.4"/>
    <n v="0.5"/>
    <n v="10.3"/>
    <n v="0.67"/>
    <x v="101"/>
    <x v="153"/>
    <n v="2.91"/>
    <n v="120.6666666666667"/>
    <n v="62.2"/>
    <n v="8"/>
    <n v="1.25"/>
    <n v="25.75"/>
    <n v="33.5"/>
    <n v="121"/>
    <x v="1"/>
    <s v="PM2.5"/>
  </r>
  <r>
    <x v="180"/>
    <x v="2"/>
    <n v="40.299999999999997"/>
    <n v="91.7"/>
    <n v="51.5"/>
    <n v="1.6"/>
    <n v="47.9"/>
    <n v="0.91"/>
    <x v="20"/>
    <x v="201"/>
    <n v="3.55"/>
    <n v="67.166666666666671"/>
    <n v="91.7"/>
    <n v="64.375"/>
    <n v="4"/>
    <n v="119.75"/>
    <n v="45.5"/>
    <n v="120"/>
    <x v="1"/>
    <s v="O3"/>
  </r>
  <r>
    <x v="180"/>
    <x v="3"/>
    <n v="25.3"/>
    <n v="87.3"/>
    <n v="40.5"/>
    <n v="5.31"/>
    <n v="54.6"/>
    <n v="1.0900000000000001"/>
    <x v="192"/>
    <x v="500"/>
    <n v="2.35"/>
    <n v="42.166666666666657"/>
    <n v="87.3"/>
    <n v="50.625"/>
    <n v="13.275"/>
    <n v="136.5"/>
    <n v="54.500000000000007"/>
    <n v="136"/>
    <x v="1"/>
    <s v="O3"/>
  </r>
  <r>
    <x v="180"/>
    <x v="4"/>
    <n v="28.8"/>
    <n v="137.5"/>
    <n v="11.1"/>
    <n v="8.56"/>
    <n v="26.7"/>
    <n v="0.67"/>
    <x v="180"/>
    <x v="209"/>
    <n v="4.3"/>
    <n v="48"/>
    <n v="137.5"/>
    <n v="13.875"/>
    <n v="21.4"/>
    <n v="66.75"/>
    <n v="33.5"/>
    <n v="138"/>
    <x v="1"/>
    <s v="PM10"/>
  </r>
  <r>
    <x v="181"/>
    <x v="0"/>
    <n v="54.5"/>
    <n v="145"/>
    <n v="72"/>
    <n v="8.57"/>
    <n v="29.9"/>
    <n v="1.36"/>
    <x v="71"/>
    <x v="193"/>
    <n v="0.68"/>
    <n v="90.833333333333329"/>
    <n v="145"/>
    <n v="90"/>
    <n v="21.425000000000001"/>
    <n v="74.75"/>
    <n v="68"/>
    <n v="145"/>
    <x v="1"/>
    <s v="PM10"/>
  </r>
  <r>
    <x v="181"/>
    <x v="1"/>
    <n v="87.8"/>
    <n v="96.8"/>
    <n v="48.6"/>
    <n v="2.82"/>
    <n v="63.6"/>
    <n v="0.74"/>
    <x v="53"/>
    <x v="501"/>
    <n v="3.45"/>
    <n v="146.33333333333329"/>
    <n v="96.8"/>
    <n v="60.75"/>
    <n v="7.05"/>
    <n v="159"/>
    <n v="37"/>
    <n v="159"/>
    <x v="1"/>
    <s v="O3"/>
  </r>
  <r>
    <x v="181"/>
    <x v="2"/>
    <n v="45.1"/>
    <n v="10.6"/>
    <n v="79.7"/>
    <n v="12.71"/>
    <n v="55.2"/>
    <n v="0.56999999999999995"/>
    <x v="32"/>
    <x v="180"/>
    <n v="4.0199999999999996"/>
    <n v="75.166666666666671"/>
    <n v="10.6"/>
    <n v="99.625"/>
    <n v="31.775000000000009"/>
    <n v="138"/>
    <n v="28.5"/>
    <n v="138"/>
    <x v="1"/>
    <s v="O3"/>
  </r>
  <r>
    <x v="181"/>
    <x v="3"/>
    <n v="54.3"/>
    <n v="58.4"/>
    <n v="28.5"/>
    <n v="10.88"/>
    <n v="80"/>
    <n v="1.69"/>
    <x v="113"/>
    <x v="51"/>
    <n v="0.2"/>
    <n v="90.5"/>
    <n v="58.4"/>
    <n v="35.625"/>
    <n v="27.2"/>
    <n v="200"/>
    <n v="84.499999999999986"/>
    <n v="200"/>
    <x v="1"/>
    <s v="O3"/>
  </r>
  <r>
    <x v="181"/>
    <x v="4"/>
    <n v="60.6"/>
    <n v="105.5"/>
    <n v="42.1"/>
    <n v="7.28"/>
    <n v="7.5"/>
    <n v="1.35"/>
    <x v="189"/>
    <x v="450"/>
    <n v="4.1399999999999997"/>
    <n v="101"/>
    <n v="105.5"/>
    <n v="52.625000000000007"/>
    <n v="18.2"/>
    <n v="18.75"/>
    <n v="67.5"/>
    <n v="106"/>
    <x v="1"/>
    <s v="PM10"/>
  </r>
  <r>
    <x v="182"/>
    <x v="0"/>
    <n v="71.900000000000006"/>
    <n v="87.8"/>
    <n v="40.1"/>
    <n v="7.78"/>
    <n v="49.1"/>
    <n v="1.66"/>
    <x v="296"/>
    <x v="495"/>
    <n v="5.15"/>
    <n v="119.8333333333333"/>
    <n v="87.8"/>
    <n v="50.125"/>
    <n v="19.45"/>
    <n v="122.75"/>
    <n v="82.999999999999986"/>
    <n v="123"/>
    <x v="1"/>
    <s v="O3"/>
  </r>
  <r>
    <x v="182"/>
    <x v="1"/>
    <n v="62.4"/>
    <n v="5"/>
    <n v="69.7"/>
    <n v="5.3"/>
    <n v="25"/>
    <n v="0.96"/>
    <x v="51"/>
    <x v="242"/>
    <n v="0.63"/>
    <n v="104"/>
    <n v="5"/>
    <n v="87.125000000000014"/>
    <n v="13.25"/>
    <n v="62.5"/>
    <n v="48"/>
    <n v="104"/>
    <x v="1"/>
    <s v="PM2.5"/>
  </r>
  <r>
    <x v="182"/>
    <x v="2"/>
    <n v="21"/>
    <n v="106.8"/>
    <n v="43.7"/>
    <n v="8.52"/>
    <n v="19.3"/>
    <n v="0.47"/>
    <x v="23"/>
    <x v="114"/>
    <n v="4.28"/>
    <n v="35"/>
    <n v="106.8"/>
    <n v="54.625000000000007"/>
    <n v="21.3"/>
    <n v="48.25"/>
    <n v="23.5"/>
    <n v="107"/>
    <x v="1"/>
    <s v="PM10"/>
  </r>
  <r>
    <x v="182"/>
    <x v="3"/>
    <n v="2"/>
    <n v="85.4"/>
    <n v="14.7"/>
    <n v="0.5"/>
    <n v="64.2"/>
    <n v="1.22"/>
    <x v="146"/>
    <x v="252"/>
    <n v="1.92"/>
    <n v="3.333333333333333"/>
    <n v="85.4"/>
    <n v="18.375"/>
    <n v="1.25"/>
    <n v="160.5"/>
    <n v="61"/>
    <n v="160"/>
    <x v="1"/>
    <s v="O3"/>
  </r>
  <r>
    <x v="182"/>
    <x v="4"/>
    <n v="41.4"/>
    <n v="221"/>
    <n v="35.299999999999997"/>
    <n v="10.27"/>
    <n v="44.2"/>
    <n v="0.08"/>
    <x v="298"/>
    <x v="375"/>
    <n v="4.2699999999999996"/>
    <n v="68.999999999999986"/>
    <n v="221"/>
    <n v="44.125"/>
    <n v="25.675000000000001"/>
    <n v="110.5"/>
    <n v="4"/>
    <n v="221"/>
    <x v="0"/>
    <s v="PM10"/>
  </r>
  <r>
    <x v="183"/>
    <x v="0"/>
    <n v="77"/>
    <n v="160.9"/>
    <n v="23.2"/>
    <n v="14.79"/>
    <n v="18.3"/>
    <n v="1.22"/>
    <x v="177"/>
    <x v="490"/>
    <n v="4.1100000000000003"/>
    <n v="128.33333333333329"/>
    <n v="160.9"/>
    <n v="29"/>
    <n v="36.975000000000001"/>
    <n v="45.75"/>
    <n v="61"/>
    <n v="161"/>
    <x v="1"/>
    <s v="PM10"/>
  </r>
  <r>
    <x v="183"/>
    <x v="1"/>
    <n v="38.799999999999997"/>
    <n v="39"/>
    <n v="45.4"/>
    <n v="6"/>
    <n v="155.5"/>
    <n v="1.61"/>
    <x v="10"/>
    <x v="386"/>
    <n v="0.24"/>
    <n v="64.666666666666657"/>
    <n v="39"/>
    <n v="56.749999999999993"/>
    <n v="15"/>
    <n v="388.75"/>
    <n v="80.5"/>
    <n v="389"/>
    <x v="2"/>
    <s v="O3"/>
  </r>
  <r>
    <x v="183"/>
    <x v="2"/>
    <n v="22.2"/>
    <n v="96.4"/>
    <n v="55.9"/>
    <n v="10.34"/>
    <n v="43.4"/>
    <n v="0.76"/>
    <x v="100"/>
    <x v="411"/>
    <n v="4.5599999999999996"/>
    <n v="37"/>
    <n v="96.4"/>
    <n v="69.874999999999986"/>
    <n v="25.85"/>
    <n v="108.5"/>
    <n v="38"/>
    <n v="108"/>
    <x v="1"/>
    <s v="O3"/>
  </r>
  <r>
    <x v="183"/>
    <x v="3"/>
    <n v="43.5"/>
    <n v="91.9"/>
    <n v="2"/>
    <n v="5.62"/>
    <n v="60.9"/>
    <n v="0.45"/>
    <x v="134"/>
    <x v="333"/>
    <n v="0.73"/>
    <n v="72.5"/>
    <n v="91.9"/>
    <n v="2.5"/>
    <n v="14.05"/>
    <n v="152.25"/>
    <n v="22.5"/>
    <n v="152"/>
    <x v="1"/>
    <s v="O3"/>
  </r>
  <r>
    <x v="183"/>
    <x v="4"/>
    <n v="80.7"/>
    <n v="77.5"/>
    <n v="32.799999999999997"/>
    <n v="2.09"/>
    <n v="54.4"/>
    <n v="2.35"/>
    <x v="58"/>
    <x v="231"/>
    <n v="4.3600000000000003"/>
    <n v="134.5"/>
    <n v="77.5"/>
    <n v="40.999999999999993"/>
    <n v="5.2249999999999996"/>
    <n v="136"/>
    <n v="117.5"/>
    <n v="136"/>
    <x v="1"/>
    <s v="O3"/>
  </r>
  <r>
    <x v="184"/>
    <x v="0"/>
    <n v="46.5"/>
    <n v="186.3"/>
    <n v="56.2"/>
    <n v="0.5"/>
    <n v="17.100000000000001"/>
    <n v="1.63"/>
    <x v="85"/>
    <x v="246"/>
    <n v="1.74"/>
    <n v="77.5"/>
    <n v="186.3"/>
    <n v="70.25"/>
    <n v="1.25"/>
    <n v="42.75"/>
    <n v="81.499999999999986"/>
    <n v="186"/>
    <x v="1"/>
    <s v="PM10"/>
  </r>
  <r>
    <x v="184"/>
    <x v="1"/>
    <n v="2.8"/>
    <n v="114.7"/>
    <n v="89.2"/>
    <n v="12.02"/>
    <n v="118.5"/>
    <n v="1.73"/>
    <x v="87"/>
    <x v="502"/>
    <n v="2.95"/>
    <n v="4.6666666666666661"/>
    <n v="114.7"/>
    <n v="111.5"/>
    <n v="30.05"/>
    <n v="296.25"/>
    <n v="86.5"/>
    <n v="296"/>
    <x v="0"/>
    <s v="O3"/>
  </r>
  <r>
    <x v="184"/>
    <x v="2"/>
    <n v="41.3"/>
    <n v="138.30000000000001"/>
    <n v="56.3"/>
    <n v="4.26"/>
    <n v="20.9"/>
    <n v="0.98"/>
    <x v="253"/>
    <x v="503"/>
    <n v="0.79"/>
    <n v="68.833333333333329"/>
    <n v="138.30000000000001"/>
    <n v="70.375"/>
    <n v="10.65"/>
    <n v="52.25"/>
    <n v="49"/>
    <n v="138"/>
    <x v="1"/>
    <s v="PM10"/>
  </r>
  <r>
    <x v="184"/>
    <x v="3"/>
    <n v="93.9"/>
    <n v="65.2"/>
    <n v="31.8"/>
    <n v="2.79"/>
    <n v="107.5"/>
    <n v="1.08"/>
    <x v="183"/>
    <x v="222"/>
    <n v="3.42"/>
    <n v="156.5"/>
    <n v="65.2"/>
    <n v="39.75"/>
    <n v="6.9750000000000014"/>
    <n v="268.75"/>
    <n v="54.000000000000007"/>
    <n v="269"/>
    <x v="0"/>
    <s v="O3"/>
  </r>
  <r>
    <x v="184"/>
    <x v="4"/>
    <n v="47.8"/>
    <n v="150"/>
    <n v="25.1"/>
    <n v="4.87"/>
    <n v="1"/>
    <n v="0.36"/>
    <x v="207"/>
    <x v="504"/>
    <n v="3.08"/>
    <n v="79.666666666666657"/>
    <n v="150"/>
    <n v="31.375"/>
    <n v="12.175000000000001"/>
    <n v="2.5"/>
    <n v="18"/>
    <n v="150"/>
    <x v="1"/>
    <s v="PM10"/>
  </r>
  <r>
    <x v="185"/>
    <x v="0"/>
    <n v="101.1"/>
    <n v="101.6"/>
    <n v="36.9"/>
    <n v="7.62"/>
    <n v="42.4"/>
    <n v="0.99"/>
    <x v="132"/>
    <x v="42"/>
    <n v="3.35"/>
    <n v="168.5"/>
    <n v="101.6"/>
    <n v="46.125"/>
    <n v="19.05"/>
    <n v="106"/>
    <n v="49.5"/>
    <n v="168"/>
    <x v="1"/>
    <s v="PM2.5"/>
  </r>
  <r>
    <x v="185"/>
    <x v="1"/>
    <n v="90.9"/>
    <n v="143.30000000000001"/>
    <n v="25.6"/>
    <n v="1.24"/>
    <n v="54.6"/>
    <n v="1.1000000000000001"/>
    <x v="169"/>
    <x v="196"/>
    <n v="5.6"/>
    <n v="151.5"/>
    <n v="143.30000000000001"/>
    <n v="32"/>
    <n v="3.1"/>
    <n v="136.5"/>
    <n v="55.000000000000007"/>
    <n v="152"/>
    <x v="1"/>
    <s v="PM2.5"/>
  </r>
  <r>
    <x v="185"/>
    <x v="2"/>
    <n v="15.3"/>
    <n v="5"/>
    <n v="39.299999999999997"/>
    <n v="4.6500000000000004"/>
    <n v="45.5"/>
    <n v="1.18"/>
    <x v="266"/>
    <x v="307"/>
    <n v="1.83"/>
    <n v="25.5"/>
    <n v="5"/>
    <n v="49.124999999999993"/>
    <n v="11.625"/>
    <n v="113.75"/>
    <n v="59"/>
    <n v="114"/>
    <x v="1"/>
    <s v="O3"/>
  </r>
  <r>
    <x v="185"/>
    <x v="3"/>
    <n v="58.3"/>
    <n v="133"/>
    <n v="71.099999999999994"/>
    <n v="10.220000000000001"/>
    <n v="38.6"/>
    <n v="0.53"/>
    <x v="79"/>
    <x v="281"/>
    <n v="3.29"/>
    <n v="97.166666666666671"/>
    <n v="133"/>
    <n v="88.875"/>
    <n v="25.55"/>
    <n v="96.5"/>
    <n v="26.5"/>
    <n v="133"/>
    <x v="1"/>
    <s v="PM10"/>
  </r>
  <r>
    <x v="185"/>
    <x v="4"/>
    <n v="59.6"/>
    <n v="35.700000000000003"/>
    <n v="31.9"/>
    <n v="10.9"/>
    <n v="53.7"/>
    <n v="1.36"/>
    <x v="172"/>
    <x v="505"/>
    <n v="3.28"/>
    <n v="99.333333333333329"/>
    <n v="35.700000000000003"/>
    <n v="39.875"/>
    <n v="27.25"/>
    <n v="134.25"/>
    <n v="68"/>
    <n v="134"/>
    <x v="1"/>
    <s v="O3"/>
  </r>
  <r>
    <x v="186"/>
    <x v="0"/>
    <n v="44.5"/>
    <n v="59.9"/>
    <n v="46"/>
    <n v="0.5"/>
    <n v="40.700000000000003"/>
    <n v="0.99"/>
    <x v="214"/>
    <x v="165"/>
    <n v="3.47"/>
    <n v="74.166666666666671"/>
    <n v="59.9"/>
    <n v="57.5"/>
    <n v="1.25"/>
    <n v="101.75"/>
    <n v="49.5"/>
    <n v="102"/>
    <x v="1"/>
    <s v="O3"/>
  </r>
  <r>
    <x v="186"/>
    <x v="1"/>
    <n v="66.900000000000006"/>
    <n v="126.1"/>
    <n v="51.1"/>
    <n v="8.4600000000000009"/>
    <n v="88.8"/>
    <n v="1.27"/>
    <x v="299"/>
    <x v="505"/>
    <n v="2.94"/>
    <n v="111.5"/>
    <n v="126.1"/>
    <n v="63.875"/>
    <n v="21.15"/>
    <n v="222"/>
    <n v="63.5"/>
    <n v="222"/>
    <x v="0"/>
    <s v="O3"/>
  </r>
  <r>
    <x v="186"/>
    <x v="2"/>
    <n v="32.200000000000003"/>
    <n v="34"/>
    <n v="40.200000000000003"/>
    <n v="5.63"/>
    <n v="75.400000000000006"/>
    <n v="0.75"/>
    <x v="60"/>
    <x v="107"/>
    <n v="3.61"/>
    <n v="53.666666666666671"/>
    <n v="34"/>
    <n v="50.25"/>
    <n v="14.074999999999999"/>
    <n v="188.5"/>
    <n v="37.5"/>
    <n v="188"/>
    <x v="1"/>
    <s v="O3"/>
  </r>
  <r>
    <x v="186"/>
    <x v="3"/>
    <n v="52"/>
    <n v="128.5"/>
    <n v="35.4"/>
    <n v="7.34"/>
    <n v="69.099999999999994"/>
    <n v="1.26"/>
    <x v="104"/>
    <x v="493"/>
    <n v="0.2"/>
    <n v="86.666666666666671"/>
    <n v="128.5"/>
    <n v="44.25"/>
    <n v="18.350000000000001"/>
    <n v="172.75"/>
    <n v="63"/>
    <n v="173"/>
    <x v="1"/>
    <s v="O3"/>
  </r>
  <r>
    <x v="186"/>
    <x v="4"/>
    <n v="107"/>
    <n v="15.5"/>
    <n v="28.6"/>
    <n v="6.86"/>
    <n v="40"/>
    <n v="1.59"/>
    <x v="63"/>
    <x v="10"/>
    <n v="2.31"/>
    <n v="178.33333333333329"/>
    <n v="15.5"/>
    <n v="35.750000000000007"/>
    <n v="17.149999999999999"/>
    <n v="100"/>
    <n v="79.5"/>
    <n v="178"/>
    <x v="1"/>
    <s v="PM2.5"/>
  </r>
  <r>
    <x v="187"/>
    <x v="0"/>
    <n v="63.3"/>
    <n v="106.8"/>
    <n v="43.1"/>
    <n v="4.83"/>
    <n v="31.3"/>
    <n v="1.26"/>
    <x v="150"/>
    <x v="30"/>
    <n v="1.46"/>
    <n v="105.5"/>
    <n v="106.8"/>
    <n v="53.875"/>
    <n v="12.074999999999999"/>
    <n v="78.25"/>
    <n v="63"/>
    <n v="107"/>
    <x v="1"/>
    <s v="PM10"/>
  </r>
  <r>
    <x v="187"/>
    <x v="1"/>
    <n v="78.400000000000006"/>
    <n v="118"/>
    <n v="61.6"/>
    <n v="3.47"/>
    <n v="1"/>
    <n v="0.88"/>
    <x v="230"/>
    <x v="194"/>
    <n v="1.74"/>
    <n v="130.66666666666671"/>
    <n v="118"/>
    <n v="77"/>
    <n v="8.6750000000000007"/>
    <n v="2.5"/>
    <n v="44"/>
    <n v="131"/>
    <x v="1"/>
    <s v="PM2.5"/>
  </r>
  <r>
    <x v="187"/>
    <x v="2"/>
    <n v="62.5"/>
    <n v="78.099999999999994"/>
    <n v="36.5"/>
    <n v="6.68"/>
    <n v="42.6"/>
    <n v="0.9"/>
    <x v="118"/>
    <x v="506"/>
    <n v="4.18"/>
    <n v="104.1666666666667"/>
    <n v="78.099999999999994"/>
    <n v="45.625"/>
    <n v="16.7"/>
    <n v="106.5"/>
    <n v="45"/>
    <n v="106"/>
    <x v="1"/>
    <s v="O3"/>
  </r>
  <r>
    <x v="187"/>
    <x v="3"/>
    <n v="42.3"/>
    <n v="33"/>
    <n v="39"/>
    <n v="3"/>
    <n v="56.6"/>
    <n v="2.02"/>
    <x v="175"/>
    <x v="336"/>
    <n v="0.39"/>
    <n v="70.5"/>
    <n v="33"/>
    <n v="48.75"/>
    <n v="7.5"/>
    <n v="141.5"/>
    <n v="101"/>
    <n v="142"/>
    <x v="1"/>
    <s v="O3"/>
  </r>
  <r>
    <x v="187"/>
    <x v="4"/>
    <n v="64.8"/>
    <n v="58.8"/>
    <n v="28.6"/>
    <n v="2.19"/>
    <n v="64.099999999999994"/>
    <n v="1.59"/>
    <x v="300"/>
    <x v="231"/>
    <n v="4.91"/>
    <n v="108"/>
    <n v="58.8"/>
    <n v="35.750000000000007"/>
    <n v="5.4749999999999996"/>
    <n v="160.25"/>
    <n v="79.5"/>
    <n v="160"/>
    <x v="1"/>
    <s v="O3"/>
  </r>
  <r>
    <x v="188"/>
    <x v="0"/>
    <n v="34.5"/>
    <n v="5"/>
    <n v="49.8"/>
    <n v="2.2799999999999998"/>
    <n v="74.400000000000006"/>
    <n v="0.89"/>
    <x v="165"/>
    <x v="442"/>
    <n v="1.05"/>
    <n v="57.5"/>
    <n v="5"/>
    <n v="62.25"/>
    <n v="5.6999999999999993"/>
    <n v="186"/>
    <n v="44.5"/>
    <n v="186"/>
    <x v="1"/>
    <s v="O3"/>
  </r>
  <r>
    <x v="188"/>
    <x v="1"/>
    <n v="43"/>
    <n v="115.5"/>
    <n v="75.8"/>
    <n v="4.71"/>
    <n v="31.4"/>
    <n v="1.49"/>
    <x v="79"/>
    <x v="42"/>
    <n v="0.64"/>
    <n v="71.666666666666671"/>
    <n v="115.5"/>
    <n v="94.75"/>
    <n v="11.775"/>
    <n v="78.5"/>
    <n v="74.5"/>
    <n v="116"/>
    <x v="1"/>
    <s v="PM10"/>
  </r>
  <r>
    <x v="188"/>
    <x v="2"/>
    <n v="96.1"/>
    <n v="29.7"/>
    <n v="29.3"/>
    <n v="5.96"/>
    <n v="83.4"/>
    <n v="0.31"/>
    <x v="287"/>
    <x v="142"/>
    <n v="3"/>
    <n v="160.16666666666671"/>
    <n v="29.7"/>
    <n v="36.625"/>
    <n v="14.9"/>
    <n v="208.5"/>
    <n v="15.5"/>
    <n v="209"/>
    <x v="0"/>
    <s v="O3"/>
  </r>
  <r>
    <x v="188"/>
    <x v="3"/>
    <n v="24.4"/>
    <n v="123.4"/>
    <n v="24.4"/>
    <n v="11.47"/>
    <n v="15.7"/>
    <n v="0.91"/>
    <x v="66"/>
    <x v="120"/>
    <n v="3.39"/>
    <n v="40.666666666666657"/>
    <n v="123.4"/>
    <n v="30.5"/>
    <n v="28.675000000000001"/>
    <n v="39.25"/>
    <n v="45.5"/>
    <n v="123"/>
    <x v="1"/>
    <s v="PM10"/>
  </r>
  <r>
    <x v="188"/>
    <x v="4"/>
    <n v="66.900000000000006"/>
    <n v="169.4"/>
    <n v="8.3000000000000007"/>
    <n v="11.72"/>
    <n v="112.9"/>
    <n v="0.82"/>
    <x v="138"/>
    <x v="255"/>
    <n v="1.35"/>
    <n v="111.5"/>
    <n v="169.4"/>
    <n v="10.375"/>
    <n v="29.3"/>
    <n v="282.25"/>
    <n v="40.999999999999993"/>
    <n v="282"/>
    <x v="0"/>
    <s v="O3"/>
  </r>
  <r>
    <x v="189"/>
    <x v="0"/>
    <n v="46.8"/>
    <n v="168.3"/>
    <n v="26"/>
    <n v="4.5999999999999996"/>
    <n v="63.1"/>
    <n v="1.1100000000000001"/>
    <x v="14"/>
    <x v="114"/>
    <n v="3.08"/>
    <n v="78"/>
    <n v="168.3"/>
    <n v="32.5"/>
    <n v="11.5"/>
    <n v="157.75"/>
    <n v="55.500000000000007"/>
    <n v="168"/>
    <x v="1"/>
    <s v="PM10"/>
  </r>
  <r>
    <x v="189"/>
    <x v="1"/>
    <n v="47"/>
    <n v="133.9"/>
    <n v="26.5"/>
    <n v="14.44"/>
    <n v="30.2"/>
    <n v="1.88"/>
    <x v="59"/>
    <x v="108"/>
    <n v="1.91"/>
    <n v="78.333333333333343"/>
    <n v="133.9"/>
    <n v="33.125"/>
    <n v="36.1"/>
    <n v="75.5"/>
    <n v="94"/>
    <n v="134"/>
    <x v="1"/>
    <s v="PM10"/>
  </r>
  <r>
    <x v="189"/>
    <x v="2"/>
    <n v="22.4"/>
    <n v="11.6"/>
    <n v="18.2"/>
    <n v="4.8499999999999996"/>
    <n v="43"/>
    <n v="1.37"/>
    <x v="51"/>
    <x v="21"/>
    <n v="0.77"/>
    <n v="37.333333333333329"/>
    <n v="11.6"/>
    <n v="22.75"/>
    <n v="12.125"/>
    <n v="107.5"/>
    <n v="68.5"/>
    <n v="108"/>
    <x v="1"/>
    <s v="O3"/>
  </r>
  <r>
    <x v="189"/>
    <x v="3"/>
    <n v="59.5"/>
    <n v="162.4"/>
    <n v="56.3"/>
    <n v="9.24"/>
    <n v="56"/>
    <n v="1.77"/>
    <x v="133"/>
    <x v="110"/>
    <n v="2.12"/>
    <n v="99.166666666666671"/>
    <n v="162.4"/>
    <n v="70.375"/>
    <n v="23.1"/>
    <n v="140"/>
    <n v="88.5"/>
    <n v="162"/>
    <x v="1"/>
    <s v="PM10"/>
  </r>
  <r>
    <x v="189"/>
    <x v="4"/>
    <n v="16.8"/>
    <n v="69.5"/>
    <n v="39.4"/>
    <n v="7.31"/>
    <n v="97"/>
    <n v="1.1000000000000001"/>
    <x v="168"/>
    <x v="452"/>
    <n v="2.63"/>
    <n v="28"/>
    <n v="69.5"/>
    <n v="49.249999999999993"/>
    <n v="18.274999999999999"/>
    <n v="242.5"/>
    <n v="55.000000000000007"/>
    <n v="242"/>
    <x v="0"/>
    <s v="O3"/>
  </r>
  <r>
    <x v="190"/>
    <x v="0"/>
    <n v="18.5"/>
    <n v="69.400000000000006"/>
    <n v="51.1"/>
    <n v="7.39"/>
    <n v="73.099999999999994"/>
    <n v="1.2"/>
    <x v="29"/>
    <x v="507"/>
    <n v="2.39"/>
    <n v="30.833333333333339"/>
    <n v="69.400000000000006"/>
    <n v="63.875"/>
    <n v="18.475000000000001"/>
    <n v="182.75"/>
    <n v="60"/>
    <n v="183"/>
    <x v="1"/>
    <s v="O3"/>
  </r>
  <r>
    <x v="190"/>
    <x v="1"/>
    <n v="94.9"/>
    <n v="95.9"/>
    <n v="59.2"/>
    <n v="12.64"/>
    <n v="56.5"/>
    <n v="0.05"/>
    <x v="123"/>
    <x v="479"/>
    <n v="3.13"/>
    <n v="158.16666666666671"/>
    <n v="95.9"/>
    <n v="74.000000000000014"/>
    <n v="31.6"/>
    <n v="141.25"/>
    <n v="2.5"/>
    <n v="158"/>
    <x v="1"/>
    <s v="PM2.5"/>
  </r>
  <r>
    <x v="190"/>
    <x v="2"/>
    <n v="55.8"/>
    <n v="12.7"/>
    <n v="23.2"/>
    <n v="7.64"/>
    <n v="47.7"/>
    <n v="1.47"/>
    <x v="53"/>
    <x v="399"/>
    <n v="2.52"/>
    <n v="93"/>
    <n v="12.7"/>
    <n v="29"/>
    <n v="19.100000000000001"/>
    <n v="119.25"/>
    <n v="73.5"/>
    <n v="119"/>
    <x v="1"/>
    <s v="O3"/>
  </r>
  <r>
    <x v="190"/>
    <x v="3"/>
    <n v="24.3"/>
    <n v="5"/>
    <n v="42.9"/>
    <n v="7.1"/>
    <n v="24.5"/>
    <n v="0.18"/>
    <x v="189"/>
    <x v="19"/>
    <n v="3.17"/>
    <n v="40.5"/>
    <n v="5"/>
    <n v="53.625"/>
    <n v="17.75"/>
    <n v="61.25"/>
    <n v="9"/>
    <n v="61"/>
    <x v="3"/>
    <s v="O3"/>
  </r>
  <r>
    <x v="190"/>
    <x v="4"/>
    <n v="102"/>
    <n v="5"/>
    <n v="27.3"/>
    <n v="6.12"/>
    <n v="84"/>
    <n v="0.19"/>
    <x v="291"/>
    <x v="391"/>
    <n v="2.88"/>
    <n v="170"/>
    <n v="5"/>
    <n v="34.125"/>
    <n v="15.3"/>
    <n v="210"/>
    <n v="9.5"/>
    <n v="210"/>
    <x v="0"/>
    <s v="O3"/>
  </r>
  <r>
    <x v="191"/>
    <x v="0"/>
    <n v="49.7"/>
    <n v="86.3"/>
    <n v="60.7"/>
    <n v="2.44"/>
    <n v="55.9"/>
    <n v="0.89"/>
    <x v="134"/>
    <x v="62"/>
    <n v="3"/>
    <n v="82.833333333333343"/>
    <n v="86.3"/>
    <n v="75.875"/>
    <n v="6.1"/>
    <n v="139.75"/>
    <n v="44.5"/>
    <n v="140"/>
    <x v="1"/>
    <s v="O3"/>
  </r>
  <r>
    <x v="191"/>
    <x v="1"/>
    <n v="78.400000000000006"/>
    <n v="188.3"/>
    <n v="16.600000000000001"/>
    <n v="16.760000000000002"/>
    <n v="1"/>
    <n v="0.74"/>
    <x v="15"/>
    <x v="240"/>
    <n v="2.76"/>
    <n v="130.66666666666671"/>
    <n v="188.3"/>
    <n v="20.75"/>
    <n v="41.900000000000013"/>
    <n v="2.5"/>
    <n v="37"/>
    <n v="188"/>
    <x v="1"/>
    <s v="PM10"/>
  </r>
  <r>
    <x v="191"/>
    <x v="2"/>
    <n v="41.8"/>
    <n v="90.7"/>
    <n v="19.3"/>
    <n v="0.5"/>
    <n v="55.3"/>
    <n v="1.23"/>
    <x v="301"/>
    <x v="508"/>
    <n v="3.33"/>
    <n v="69.666666666666671"/>
    <n v="90.7"/>
    <n v="24.125"/>
    <n v="1.25"/>
    <n v="138.25"/>
    <n v="61.5"/>
    <n v="138"/>
    <x v="1"/>
    <s v="O3"/>
  </r>
  <r>
    <x v="191"/>
    <x v="3"/>
    <n v="41.2"/>
    <n v="153.1"/>
    <n v="52.4"/>
    <n v="7.24"/>
    <n v="31.5"/>
    <n v="1.42"/>
    <x v="296"/>
    <x v="203"/>
    <n v="0.91"/>
    <n v="68.666666666666671"/>
    <n v="153.1"/>
    <n v="65.5"/>
    <n v="18.100000000000001"/>
    <n v="78.75"/>
    <n v="71"/>
    <n v="153"/>
    <x v="1"/>
    <s v="PM10"/>
  </r>
  <r>
    <x v="191"/>
    <x v="4"/>
    <n v="45.2"/>
    <n v="185.6"/>
    <n v="59.8"/>
    <n v="2.15"/>
    <n v="11.9"/>
    <n v="1.73"/>
    <x v="54"/>
    <x v="169"/>
    <n v="2.2599999999999998"/>
    <n v="75.333333333333329"/>
    <n v="185.6"/>
    <n v="74.75"/>
    <n v="5.375"/>
    <n v="29.75"/>
    <n v="86.5"/>
    <n v="186"/>
    <x v="1"/>
    <s v="PM10"/>
  </r>
  <r>
    <x v="192"/>
    <x v="0"/>
    <n v="99.8"/>
    <n v="67.900000000000006"/>
    <n v="62.4"/>
    <n v="8.2100000000000009"/>
    <n v="53.3"/>
    <n v="0.05"/>
    <x v="182"/>
    <x v="105"/>
    <n v="2.8"/>
    <n v="166.33333333333329"/>
    <n v="67.900000000000006"/>
    <n v="78"/>
    <n v="20.524999999999999"/>
    <n v="133.25"/>
    <n v="2.5"/>
    <n v="166"/>
    <x v="1"/>
    <s v="PM2.5"/>
  </r>
  <r>
    <x v="192"/>
    <x v="1"/>
    <n v="26.2"/>
    <n v="54.7"/>
    <n v="56.2"/>
    <n v="10.81"/>
    <n v="45.7"/>
    <n v="1.67"/>
    <x v="89"/>
    <x v="377"/>
    <n v="4.4800000000000004"/>
    <n v="43.666666666666657"/>
    <n v="54.7"/>
    <n v="70.25"/>
    <n v="27.024999999999999"/>
    <n v="114.25"/>
    <n v="83.499999999999986"/>
    <n v="114"/>
    <x v="1"/>
    <s v="O3"/>
  </r>
  <r>
    <x v="192"/>
    <x v="2"/>
    <n v="47.2"/>
    <n v="97"/>
    <n v="69.3"/>
    <n v="0.76"/>
    <n v="56.9"/>
    <n v="1.67"/>
    <x v="20"/>
    <x v="471"/>
    <n v="1.32"/>
    <n v="78.666666666666671"/>
    <n v="97"/>
    <n v="86.625"/>
    <n v="1.9"/>
    <n v="142.25"/>
    <n v="83.499999999999986"/>
    <n v="142"/>
    <x v="1"/>
    <s v="O3"/>
  </r>
  <r>
    <x v="192"/>
    <x v="3"/>
    <n v="31.5"/>
    <n v="114.5"/>
    <n v="48.8"/>
    <n v="10.88"/>
    <n v="79.2"/>
    <n v="0.93"/>
    <x v="50"/>
    <x v="294"/>
    <n v="3.58"/>
    <n v="52.5"/>
    <n v="114.5"/>
    <n v="61"/>
    <n v="27.2"/>
    <n v="198"/>
    <n v="46.5"/>
    <n v="198"/>
    <x v="1"/>
    <s v="O3"/>
  </r>
  <r>
    <x v="192"/>
    <x v="4"/>
    <n v="58.3"/>
    <n v="129.1"/>
    <n v="47.1"/>
    <n v="0.5"/>
    <n v="13.1"/>
    <n v="1.1100000000000001"/>
    <x v="144"/>
    <x v="256"/>
    <n v="4.05"/>
    <n v="97.166666666666671"/>
    <n v="129.1"/>
    <n v="58.875000000000007"/>
    <n v="1.25"/>
    <n v="32.75"/>
    <n v="55.500000000000007"/>
    <n v="129"/>
    <x v="1"/>
    <s v="PM10"/>
  </r>
  <r>
    <x v="193"/>
    <x v="0"/>
    <n v="64.2"/>
    <n v="48.5"/>
    <n v="66.8"/>
    <n v="16.73"/>
    <n v="50.2"/>
    <n v="1.39"/>
    <x v="196"/>
    <x v="131"/>
    <n v="2.36"/>
    <n v="107"/>
    <n v="48.5"/>
    <n v="83.499999999999986"/>
    <n v="41.825000000000003"/>
    <n v="125.5"/>
    <n v="69.499999999999986"/>
    <n v="126"/>
    <x v="1"/>
    <s v="O3"/>
  </r>
  <r>
    <x v="193"/>
    <x v="1"/>
    <n v="59"/>
    <n v="174.3"/>
    <n v="91.9"/>
    <n v="1"/>
    <n v="46.8"/>
    <n v="0.49"/>
    <x v="301"/>
    <x v="308"/>
    <n v="0.77"/>
    <n v="98.333333333333329"/>
    <n v="174.3"/>
    <n v="114.875"/>
    <n v="2.5"/>
    <n v="117"/>
    <n v="24.5"/>
    <n v="174"/>
    <x v="1"/>
    <s v="PM10"/>
  </r>
  <r>
    <x v="193"/>
    <x v="2"/>
    <n v="60.2"/>
    <n v="170.7"/>
    <n v="44.3"/>
    <n v="6.86"/>
    <n v="47.7"/>
    <n v="1.56"/>
    <x v="112"/>
    <x v="309"/>
    <n v="1.96"/>
    <n v="100.3333333333333"/>
    <n v="170.7"/>
    <n v="55.374999999999993"/>
    <n v="17.149999999999999"/>
    <n v="119.25"/>
    <n v="78"/>
    <n v="171"/>
    <x v="1"/>
    <s v="PM10"/>
  </r>
  <r>
    <x v="193"/>
    <x v="3"/>
    <n v="20"/>
    <n v="80.2"/>
    <n v="53.7"/>
    <n v="8.67"/>
    <n v="56.1"/>
    <n v="1.03"/>
    <x v="197"/>
    <x v="93"/>
    <n v="2.13"/>
    <n v="33.333333333333343"/>
    <n v="80.2"/>
    <n v="67.125"/>
    <n v="21.675000000000001"/>
    <n v="140.25"/>
    <n v="51.500000000000007"/>
    <n v="140"/>
    <x v="1"/>
    <s v="O3"/>
  </r>
  <r>
    <x v="193"/>
    <x v="4"/>
    <n v="57.9"/>
    <n v="120.3"/>
    <n v="45.2"/>
    <n v="6.43"/>
    <n v="33.6"/>
    <n v="2.72"/>
    <x v="279"/>
    <x v="403"/>
    <n v="2.72"/>
    <n v="96.5"/>
    <n v="120.3"/>
    <n v="56.5"/>
    <n v="16.074999999999999"/>
    <n v="84"/>
    <n v="136"/>
    <n v="136"/>
    <x v="1"/>
    <s v="CO"/>
  </r>
  <r>
    <x v="194"/>
    <x v="0"/>
    <n v="42.7"/>
    <n v="103.2"/>
    <n v="46.8"/>
    <n v="0.5"/>
    <n v="1"/>
    <n v="0.75"/>
    <x v="196"/>
    <x v="416"/>
    <n v="4.2699999999999996"/>
    <n v="71.166666666666671"/>
    <n v="103.2"/>
    <n v="58.5"/>
    <n v="1.25"/>
    <n v="2.5"/>
    <n v="37.5"/>
    <n v="103"/>
    <x v="1"/>
    <s v="PM10"/>
  </r>
  <r>
    <x v="194"/>
    <x v="1"/>
    <n v="15.5"/>
    <n v="74.900000000000006"/>
    <n v="75.400000000000006"/>
    <n v="8.66"/>
    <n v="77.7"/>
    <n v="2.4300000000000002"/>
    <x v="67"/>
    <x v="100"/>
    <n v="2.17"/>
    <n v="25.833333333333329"/>
    <n v="74.900000000000006"/>
    <n v="94.25"/>
    <n v="21.65"/>
    <n v="194.25"/>
    <n v="121.5"/>
    <n v="194"/>
    <x v="1"/>
    <s v="O3"/>
  </r>
  <r>
    <x v="194"/>
    <x v="2"/>
    <n v="2"/>
    <n v="77"/>
    <n v="47.6"/>
    <n v="8.1300000000000008"/>
    <n v="52.7"/>
    <n v="0.74"/>
    <x v="110"/>
    <x v="509"/>
    <n v="1.9"/>
    <n v="3.333333333333333"/>
    <n v="77"/>
    <n v="59.500000000000007"/>
    <n v="20.324999999999999"/>
    <n v="131.75"/>
    <n v="37"/>
    <n v="132"/>
    <x v="1"/>
    <s v="O3"/>
  </r>
  <r>
    <x v="194"/>
    <x v="3"/>
    <n v="55.1"/>
    <n v="103.8"/>
    <n v="59.4"/>
    <n v="10.29"/>
    <n v="7.6"/>
    <n v="0.39"/>
    <x v="14"/>
    <x v="295"/>
    <n v="1.95"/>
    <n v="91.833333333333343"/>
    <n v="103.8"/>
    <n v="74.25"/>
    <n v="25.725000000000001"/>
    <n v="19"/>
    <n v="19.5"/>
    <n v="104"/>
    <x v="1"/>
    <s v="PM10"/>
  </r>
  <r>
    <x v="194"/>
    <x v="4"/>
    <n v="79.599999999999994"/>
    <n v="115.5"/>
    <n v="40.5"/>
    <n v="10.47"/>
    <n v="33.700000000000003"/>
    <n v="1.88"/>
    <x v="175"/>
    <x v="65"/>
    <n v="4.72"/>
    <n v="132.66666666666671"/>
    <n v="115.5"/>
    <n v="50.625"/>
    <n v="26.175000000000001"/>
    <n v="84.25"/>
    <n v="94"/>
    <n v="133"/>
    <x v="1"/>
    <s v="PM2.5"/>
  </r>
  <r>
    <x v="195"/>
    <x v="0"/>
    <n v="17.2"/>
    <n v="91.4"/>
    <n v="62.4"/>
    <n v="12.68"/>
    <n v="41.1"/>
    <n v="0.7"/>
    <x v="229"/>
    <x v="137"/>
    <n v="1.1000000000000001"/>
    <n v="28.666666666666671"/>
    <n v="91.4"/>
    <n v="78"/>
    <n v="31.7"/>
    <n v="102.75"/>
    <n v="34.999999999999993"/>
    <n v="103"/>
    <x v="1"/>
    <s v="O3"/>
  </r>
  <r>
    <x v="195"/>
    <x v="1"/>
    <n v="23.9"/>
    <n v="133.5"/>
    <n v="57.6"/>
    <n v="6.5"/>
    <n v="71.2"/>
    <n v="0.77"/>
    <x v="13"/>
    <x v="206"/>
    <n v="2.58"/>
    <n v="39.833333333333329"/>
    <n v="133.5"/>
    <n v="72.000000000000014"/>
    <n v="16.25"/>
    <n v="178"/>
    <n v="38.5"/>
    <n v="178"/>
    <x v="1"/>
    <s v="O3"/>
  </r>
  <r>
    <x v="195"/>
    <x v="2"/>
    <n v="39.299999999999997"/>
    <n v="38.4"/>
    <n v="6.6"/>
    <n v="4.13"/>
    <n v="59.3"/>
    <n v="1.48"/>
    <x v="168"/>
    <x v="35"/>
    <n v="1.1200000000000001"/>
    <n v="65.499999999999986"/>
    <n v="38.4"/>
    <n v="8.25"/>
    <n v="10.324999999999999"/>
    <n v="148.25"/>
    <n v="74"/>
    <n v="148"/>
    <x v="1"/>
    <s v="O3"/>
  </r>
  <r>
    <x v="195"/>
    <x v="3"/>
    <n v="59.9"/>
    <n v="126.5"/>
    <n v="42.4"/>
    <n v="0.5"/>
    <n v="18.3"/>
    <n v="0.95"/>
    <x v="55"/>
    <x v="0"/>
    <n v="2.67"/>
    <n v="99.833333333333329"/>
    <n v="126.5"/>
    <n v="53"/>
    <n v="1.25"/>
    <n v="45.75"/>
    <n v="47.5"/>
    <n v="126"/>
    <x v="1"/>
    <s v="PM10"/>
  </r>
  <r>
    <x v="195"/>
    <x v="4"/>
    <n v="61.5"/>
    <n v="110.1"/>
    <n v="51.7"/>
    <n v="8.42"/>
    <n v="45.8"/>
    <n v="0.91"/>
    <x v="169"/>
    <x v="510"/>
    <n v="3.32"/>
    <n v="102.5"/>
    <n v="110.1"/>
    <n v="64.625"/>
    <n v="21.05"/>
    <n v="114.5"/>
    <n v="45.5"/>
    <n v="114"/>
    <x v="1"/>
    <s v="O3"/>
  </r>
  <r>
    <x v="196"/>
    <x v="0"/>
    <n v="65.7"/>
    <n v="184.5"/>
    <n v="46.3"/>
    <n v="4.37"/>
    <n v="71.400000000000006"/>
    <n v="0.35"/>
    <x v="91"/>
    <x v="336"/>
    <n v="3.12"/>
    <n v="109.5"/>
    <n v="184.5"/>
    <n v="57.874999999999993"/>
    <n v="10.925000000000001"/>
    <n v="178.5"/>
    <n v="17.5"/>
    <n v="184"/>
    <x v="1"/>
    <s v="PM10"/>
  </r>
  <r>
    <x v="196"/>
    <x v="1"/>
    <n v="22.6"/>
    <n v="97"/>
    <n v="32.9"/>
    <n v="5.57"/>
    <n v="79.5"/>
    <n v="1.62"/>
    <x v="177"/>
    <x v="180"/>
    <n v="0.88"/>
    <n v="37.666666666666657"/>
    <n v="97"/>
    <n v="41.124999999999993"/>
    <n v="13.925000000000001"/>
    <n v="198.75"/>
    <n v="81"/>
    <n v="199"/>
    <x v="1"/>
    <s v="O3"/>
  </r>
  <r>
    <x v="196"/>
    <x v="2"/>
    <n v="78"/>
    <n v="118.2"/>
    <n v="23.5"/>
    <n v="8.81"/>
    <n v="36.299999999999997"/>
    <n v="0.78"/>
    <x v="145"/>
    <x v="496"/>
    <n v="2.09"/>
    <n v="130"/>
    <n v="118.2"/>
    <n v="29.375"/>
    <n v="22.024999999999999"/>
    <n v="90.75"/>
    <n v="39"/>
    <n v="130"/>
    <x v="1"/>
    <s v="PM2.5"/>
  </r>
  <r>
    <x v="196"/>
    <x v="3"/>
    <n v="50.9"/>
    <n v="72"/>
    <n v="46.7"/>
    <n v="13.88"/>
    <n v="21.1"/>
    <n v="0.16"/>
    <x v="302"/>
    <x v="31"/>
    <n v="1.7"/>
    <n v="84.833333333333329"/>
    <n v="72"/>
    <n v="58.375"/>
    <n v="34.700000000000003"/>
    <n v="52.750000000000007"/>
    <n v="8"/>
    <n v="85"/>
    <x v="3"/>
    <s v="PM2.5"/>
  </r>
  <r>
    <x v="196"/>
    <x v="4"/>
    <n v="58.3"/>
    <n v="112.6"/>
    <n v="11.4"/>
    <n v="0.5"/>
    <n v="52.1"/>
    <n v="1.1299999999999999"/>
    <x v="81"/>
    <x v="511"/>
    <n v="3.57"/>
    <n v="97.166666666666671"/>
    <n v="112.6"/>
    <n v="14.25"/>
    <n v="1.25"/>
    <n v="130.25"/>
    <n v="56.499999999999993"/>
    <n v="130"/>
    <x v="1"/>
    <s v="O3"/>
  </r>
  <r>
    <x v="197"/>
    <x v="0"/>
    <n v="90.3"/>
    <n v="125.7"/>
    <n v="25.8"/>
    <n v="7.56"/>
    <n v="6.7"/>
    <n v="1.69"/>
    <x v="169"/>
    <x v="512"/>
    <n v="2.14"/>
    <n v="150.5"/>
    <n v="125.7"/>
    <n v="32.25"/>
    <n v="18.899999999999999"/>
    <n v="16.75"/>
    <n v="84.499999999999986"/>
    <n v="150"/>
    <x v="1"/>
    <s v="PM2.5"/>
  </r>
  <r>
    <x v="197"/>
    <x v="1"/>
    <n v="73.900000000000006"/>
    <n v="100"/>
    <n v="39.5"/>
    <n v="1.88"/>
    <n v="67.7"/>
    <n v="0.81"/>
    <x v="212"/>
    <x v="72"/>
    <n v="3.68"/>
    <n v="123.1666666666667"/>
    <n v="100"/>
    <n v="49.375"/>
    <n v="4.6999999999999993"/>
    <n v="169.25"/>
    <n v="40.5"/>
    <n v="169"/>
    <x v="1"/>
    <s v="O3"/>
  </r>
  <r>
    <x v="197"/>
    <x v="2"/>
    <n v="36.799999999999997"/>
    <n v="170.5"/>
    <n v="40.700000000000003"/>
    <n v="7.37"/>
    <n v="35"/>
    <n v="0.88"/>
    <x v="137"/>
    <x v="4"/>
    <n v="3.14"/>
    <n v="61.333333333333329"/>
    <n v="170.5"/>
    <n v="50.875"/>
    <n v="18.425000000000001"/>
    <n v="87.5"/>
    <n v="44"/>
    <n v="170"/>
    <x v="1"/>
    <s v="PM10"/>
  </r>
  <r>
    <x v="197"/>
    <x v="3"/>
    <n v="25.5"/>
    <n v="44.4"/>
    <n v="18"/>
    <n v="14.58"/>
    <n v="53.3"/>
    <n v="1.1100000000000001"/>
    <x v="63"/>
    <x v="243"/>
    <n v="2.36"/>
    <n v="42.5"/>
    <n v="44.4"/>
    <n v="22.5"/>
    <n v="36.450000000000003"/>
    <n v="133.25"/>
    <n v="55.500000000000007"/>
    <n v="133"/>
    <x v="1"/>
    <s v="O3"/>
  </r>
  <r>
    <x v="197"/>
    <x v="4"/>
    <n v="58.5"/>
    <n v="54"/>
    <n v="42.4"/>
    <n v="5.18"/>
    <n v="22.9"/>
    <n v="1.44"/>
    <x v="303"/>
    <x v="513"/>
    <n v="3.82"/>
    <n v="97.5"/>
    <n v="54"/>
    <n v="53"/>
    <n v="12.95"/>
    <n v="57.249999999999993"/>
    <n v="72"/>
    <n v="98"/>
    <x v="3"/>
    <s v="PM2.5"/>
  </r>
  <r>
    <x v="198"/>
    <x v="0"/>
    <n v="30.9"/>
    <n v="65.099999999999994"/>
    <n v="37.299999999999997"/>
    <n v="8.66"/>
    <n v="41.6"/>
    <n v="1.34"/>
    <x v="206"/>
    <x v="193"/>
    <n v="0.44"/>
    <n v="51.5"/>
    <n v="65.099999999999994"/>
    <n v="46.625"/>
    <n v="21.65"/>
    <n v="104"/>
    <n v="67"/>
    <n v="104"/>
    <x v="1"/>
    <s v="O3"/>
  </r>
  <r>
    <x v="198"/>
    <x v="1"/>
    <n v="84.8"/>
    <n v="221"/>
    <n v="52.9"/>
    <n v="2.56"/>
    <n v="46.1"/>
    <n v="0.53"/>
    <x v="296"/>
    <x v="401"/>
    <n v="2.14"/>
    <n v="141.33333333333329"/>
    <n v="221"/>
    <n v="66.125"/>
    <n v="6.4"/>
    <n v="115.25"/>
    <n v="26.5"/>
    <n v="221"/>
    <x v="0"/>
    <s v="PM10"/>
  </r>
  <r>
    <x v="198"/>
    <x v="2"/>
    <n v="22.7"/>
    <n v="97"/>
    <n v="28.6"/>
    <n v="6.75"/>
    <n v="38.5"/>
    <n v="0.46"/>
    <x v="189"/>
    <x v="54"/>
    <n v="1.31"/>
    <n v="37.833333333333329"/>
    <n v="97"/>
    <n v="35.750000000000007"/>
    <n v="16.875"/>
    <n v="96.25"/>
    <n v="23"/>
    <n v="97"/>
    <x v="3"/>
    <s v="PM10"/>
  </r>
  <r>
    <x v="198"/>
    <x v="3"/>
    <n v="101.8"/>
    <n v="118.9"/>
    <n v="33.5"/>
    <n v="12.06"/>
    <n v="86"/>
    <n v="0.89"/>
    <x v="69"/>
    <x v="120"/>
    <n v="2.3199999999999998"/>
    <n v="169.66666666666671"/>
    <n v="118.9"/>
    <n v="41.875"/>
    <n v="30.15"/>
    <n v="215"/>
    <n v="44.5"/>
    <n v="215"/>
    <x v="0"/>
    <s v="O3"/>
  </r>
  <r>
    <x v="198"/>
    <x v="4"/>
    <n v="47.5"/>
    <n v="115.4"/>
    <n v="45.5"/>
    <n v="9.5"/>
    <n v="50.5"/>
    <n v="0.42"/>
    <x v="154"/>
    <x v="180"/>
    <n v="2.66"/>
    <n v="79.166666666666657"/>
    <n v="115.4"/>
    <n v="56.875"/>
    <n v="23.75"/>
    <n v="126.25"/>
    <n v="21"/>
    <n v="126"/>
    <x v="1"/>
    <s v="O3"/>
  </r>
  <r>
    <x v="199"/>
    <x v="0"/>
    <n v="84.2"/>
    <n v="46.2"/>
    <n v="34.799999999999997"/>
    <n v="11.74"/>
    <n v="37.4"/>
    <n v="1.36"/>
    <x v="53"/>
    <x v="78"/>
    <n v="2.23"/>
    <n v="140.33333333333329"/>
    <n v="46.2"/>
    <n v="43.5"/>
    <n v="29.35"/>
    <n v="93.5"/>
    <n v="68"/>
    <n v="140"/>
    <x v="1"/>
    <s v="PM2.5"/>
  </r>
  <r>
    <x v="199"/>
    <x v="1"/>
    <n v="80"/>
    <n v="27.3"/>
    <n v="37.700000000000003"/>
    <n v="9.48"/>
    <n v="66.7"/>
    <n v="2.1"/>
    <x v="9"/>
    <x v="514"/>
    <n v="1.71"/>
    <n v="133.33333333333329"/>
    <n v="27.3"/>
    <n v="47.125"/>
    <n v="23.7"/>
    <n v="166.75"/>
    <n v="105"/>
    <n v="167"/>
    <x v="1"/>
    <s v="O3"/>
  </r>
  <r>
    <x v="199"/>
    <x v="2"/>
    <n v="75.900000000000006"/>
    <n v="128.5"/>
    <n v="20.3"/>
    <n v="7.25"/>
    <n v="36.799999999999997"/>
    <n v="1.2"/>
    <x v="59"/>
    <x v="427"/>
    <n v="4.1399999999999997"/>
    <n v="126.5"/>
    <n v="128.5"/>
    <n v="25.375"/>
    <n v="18.125"/>
    <n v="92"/>
    <n v="60"/>
    <n v="128"/>
    <x v="1"/>
    <s v="PM10"/>
  </r>
  <r>
    <x v="199"/>
    <x v="3"/>
    <n v="45.6"/>
    <n v="135.69999999999999"/>
    <n v="32.4"/>
    <n v="13.07"/>
    <n v="23"/>
    <n v="0.67"/>
    <x v="246"/>
    <x v="275"/>
    <n v="4.42"/>
    <n v="76"/>
    <n v="135.69999999999999"/>
    <n v="40.5"/>
    <n v="32.674999999999997"/>
    <n v="57.5"/>
    <n v="33.5"/>
    <n v="136"/>
    <x v="1"/>
    <s v="PM10"/>
  </r>
  <r>
    <x v="199"/>
    <x v="4"/>
    <n v="76.3"/>
    <n v="97.4"/>
    <n v="7.7"/>
    <n v="6.95"/>
    <n v="46.8"/>
    <n v="1.67"/>
    <x v="301"/>
    <x v="203"/>
    <n v="3.96"/>
    <n v="127.1666666666667"/>
    <n v="97.4"/>
    <n v="9.625"/>
    <n v="17.375"/>
    <n v="117"/>
    <n v="83.499999999999986"/>
    <n v="127"/>
    <x v="1"/>
    <s v="PM2.5"/>
  </r>
  <r>
    <x v="200"/>
    <x v="0"/>
    <n v="76.3"/>
    <n v="169.7"/>
    <n v="50.6"/>
    <n v="0.5"/>
    <n v="41.5"/>
    <n v="0.47"/>
    <x v="68"/>
    <x v="229"/>
    <n v="2.87"/>
    <n v="127.1666666666667"/>
    <n v="169.7"/>
    <n v="63.25"/>
    <n v="1.25"/>
    <n v="103.75"/>
    <n v="23.5"/>
    <n v="170"/>
    <x v="1"/>
    <s v="PM10"/>
  </r>
  <r>
    <x v="200"/>
    <x v="1"/>
    <n v="94.4"/>
    <n v="140.5"/>
    <n v="19"/>
    <n v="0.5"/>
    <n v="54.7"/>
    <n v="1.07"/>
    <x v="156"/>
    <x v="515"/>
    <n v="1.62"/>
    <n v="157.33333333333329"/>
    <n v="140.5"/>
    <n v="23.75"/>
    <n v="1.25"/>
    <n v="136.75"/>
    <n v="53.500000000000007"/>
    <n v="157"/>
    <x v="1"/>
    <s v="PM2.5"/>
  </r>
  <r>
    <x v="200"/>
    <x v="2"/>
    <n v="41.2"/>
    <n v="121.6"/>
    <n v="37.1"/>
    <n v="12.19"/>
    <n v="13.4"/>
    <n v="1.31"/>
    <x v="52"/>
    <x v="516"/>
    <n v="1.98"/>
    <n v="68.666666666666671"/>
    <n v="121.6"/>
    <n v="46.375"/>
    <n v="30.475000000000001"/>
    <n v="33.5"/>
    <n v="65.5"/>
    <n v="122"/>
    <x v="1"/>
    <s v="PM10"/>
  </r>
  <r>
    <x v="200"/>
    <x v="3"/>
    <n v="73.7"/>
    <n v="110.2"/>
    <n v="25.1"/>
    <n v="6.35"/>
    <n v="34"/>
    <n v="1.19"/>
    <x v="57"/>
    <x v="135"/>
    <n v="2.97"/>
    <n v="122.8333333333333"/>
    <n v="110.2"/>
    <n v="31.375"/>
    <n v="15.875"/>
    <n v="85"/>
    <n v="59.5"/>
    <n v="123"/>
    <x v="1"/>
    <s v="PM2.5"/>
  </r>
  <r>
    <x v="200"/>
    <x v="4"/>
    <n v="53.7"/>
    <n v="176.7"/>
    <n v="53.2"/>
    <n v="7.01"/>
    <n v="50"/>
    <n v="1.21"/>
    <x v="95"/>
    <x v="485"/>
    <n v="2.64"/>
    <n v="89.500000000000014"/>
    <n v="176.7"/>
    <n v="66.5"/>
    <n v="17.524999999999999"/>
    <n v="125"/>
    <n v="60.5"/>
    <n v="177"/>
    <x v="1"/>
    <s v="PM10"/>
  </r>
  <r>
    <x v="201"/>
    <x v="0"/>
    <n v="14.2"/>
    <n v="181"/>
    <n v="40.299999999999997"/>
    <n v="6.47"/>
    <n v="71.8"/>
    <n v="1.34"/>
    <x v="54"/>
    <x v="20"/>
    <n v="2.1"/>
    <n v="23.666666666666661"/>
    <n v="181"/>
    <n v="50.374999999999993"/>
    <n v="16.175000000000001"/>
    <n v="179.5"/>
    <n v="67"/>
    <n v="181"/>
    <x v="1"/>
    <s v="PM10"/>
  </r>
  <r>
    <x v="201"/>
    <x v="1"/>
    <n v="7.7"/>
    <n v="78.599999999999994"/>
    <n v="41.3"/>
    <n v="7.43"/>
    <n v="3.7"/>
    <n v="1.89"/>
    <x v="30"/>
    <x v="517"/>
    <n v="2.98"/>
    <n v="12.83333333333333"/>
    <n v="78.599999999999994"/>
    <n v="51.625"/>
    <n v="18.574999999999999"/>
    <n v="9.2500000000000018"/>
    <n v="94.5"/>
    <n v="94"/>
    <x v="3"/>
    <s v="CO"/>
  </r>
  <r>
    <x v="201"/>
    <x v="2"/>
    <n v="27.6"/>
    <n v="112"/>
    <n v="28.6"/>
    <n v="2.67"/>
    <n v="51.6"/>
    <n v="1.59"/>
    <x v="151"/>
    <x v="252"/>
    <n v="1.88"/>
    <n v="46"/>
    <n v="112"/>
    <n v="35.750000000000007"/>
    <n v="6.6749999999999998"/>
    <n v="129"/>
    <n v="79.5"/>
    <n v="129"/>
    <x v="1"/>
    <s v="O3"/>
  </r>
  <r>
    <x v="201"/>
    <x v="3"/>
    <n v="9.6999999999999993"/>
    <n v="167.5"/>
    <n v="68.900000000000006"/>
    <n v="12.57"/>
    <n v="31.6"/>
    <n v="0.41"/>
    <x v="64"/>
    <x v="387"/>
    <n v="2.37"/>
    <n v="16.166666666666661"/>
    <n v="167.5"/>
    <n v="86.125"/>
    <n v="31.425000000000001"/>
    <n v="79"/>
    <n v="20.5"/>
    <n v="168"/>
    <x v="1"/>
    <s v="PM10"/>
  </r>
  <r>
    <x v="201"/>
    <x v="4"/>
    <n v="95.2"/>
    <n v="98.1"/>
    <n v="44.9"/>
    <n v="13.09"/>
    <n v="32.9"/>
    <n v="2.13"/>
    <x v="287"/>
    <x v="162"/>
    <n v="2.31"/>
    <n v="158.66666666666671"/>
    <n v="98.1"/>
    <n v="56.125"/>
    <n v="32.724999999999987"/>
    <n v="82.249999999999986"/>
    <n v="106.5"/>
    <n v="159"/>
    <x v="1"/>
    <s v="PM2.5"/>
  </r>
  <r>
    <x v="202"/>
    <x v="0"/>
    <n v="74.400000000000006"/>
    <n v="91.2"/>
    <n v="20.100000000000001"/>
    <n v="13.25"/>
    <n v="81"/>
    <n v="1.19"/>
    <x v="2"/>
    <x v="518"/>
    <n v="2.63"/>
    <n v="124"/>
    <n v="91.2"/>
    <n v="25.125"/>
    <n v="33.125"/>
    <n v="202.5"/>
    <n v="59.5"/>
    <n v="202"/>
    <x v="0"/>
    <s v="O3"/>
  </r>
  <r>
    <x v="202"/>
    <x v="1"/>
    <n v="45"/>
    <n v="99.5"/>
    <n v="65.400000000000006"/>
    <n v="11.67"/>
    <n v="93.1"/>
    <n v="0.61"/>
    <x v="260"/>
    <x v="104"/>
    <n v="3.04"/>
    <n v="75"/>
    <n v="99.5"/>
    <n v="81.75"/>
    <n v="29.175000000000001"/>
    <n v="232.75"/>
    <n v="30.5"/>
    <n v="233"/>
    <x v="0"/>
    <s v="O3"/>
  </r>
  <r>
    <x v="202"/>
    <x v="2"/>
    <n v="80.5"/>
    <n v="110.4"/>
    <n v="62.3"/>
    <n v="8.1300000000000008"/>
    <n v="63.2"/>
    <n v="0.76"/>
    <x v="123"/>
    <x v="519"/>
    <n v="4.4400000000000004"/>
    <n v="134.16666666666671"/>
    <n v="110.4"/>
    <n v="77.875"/>
    <n v="20.324999999999999"/>
    <n v="158"/>
    <n v="38"/>
    <n v="158"/>
    <x v="1"/>
    <s v="O3"/>
  </r>
  <r>
    <x v="202"/>
    <x v="3"/>
    <n v="65.5"/>
    <n v="92"/>
    <n v="58"/>
    <n v="0.5"/>
    <n v="4.4000000000000004"/>
    <n v="1.29"/>
    <x v="123"/>
    <x v="97"/>
    <n v="2.58"/>
    <n v="109.1666666666667"/>
    <n v="92"/>
    <n v="72.5"/>
    <n v="1.25"/>
    <n v="11"/>
    <n v="64.5"/>
    <n v="109"/>
    <x v="1"/>
    <s v="PM2.5"/>
  </r>
  <r>
    <x v="202"/>
    <x v="4"/>
    <n v="67.900000000000006"/>
    <n v="62.6"/>
    <n v="49.6"/>
    <n v="11.42"/>
    <n v="77.599999999999994"/>
    <n v="2.12"/>
    <x v="148"/>
    <x v="369"/>
    <n v="1.17"/>
    <n v="113.1666666666667"/>
    <n v="62.6"/>
    <n v="62"/>
    <n v="28.55"/>
    <n v="194"/>
    <n v="106"/>
    <n v="194"/>
    <x v="1"/>
    <s v="O3"/>
  </r>
  <r>
    <x v="203"/>
    <x v="0"/>
    <n v="40.5"/>
    <n v="99.7"/>
    <n v="60.7"/>
    <n v="4.55"/>
    <n v="68.900000000000006"/>
    <n v="1.1000000000000001"/>
    <x v="104"/>
    <x v="520"/>
    <n v="2.0299999999999998"/>
    <n v="67.5"/>
    <n v="99.7"/>
    <n v="75.875"/>
    <n v="11.375"/>
    <n v="172.25"/>
    <n v="55.000000000000007"/>
    <n v="172"/>
    <x v="1"/>
    <s v="O3"/>
  </r>
  <r>
    <x v="203"/>
    <x v="1"/>
    <n v="47.1"/>
    <n v="17.7"/>
    <n v="40"/>
    <n v="5.6"/>
    <n v="33.9"/>
    <n v="1.45"/>
    <x v="238"/>
    <x v="89"/>
    <n v="3.69"/>
    <n v="78.5"/>
    <n v="17.7"/>
    <n v="50"/>
    <n v="14"/>
    <n v="84.749999999999986"/>
    <n v="72.5"/>
    <n v="85"/>
    <x v="3"/>
    <s v="O3"/>
  </r>
  <r>
    <x v="203"/>
    <x v="2"/>
    <n v="58.7"/>
    <n v="77.7"/>
    <n v="27.2"/>
    <n v="7.27"/>
    <n v="51.6"/>
    <n v="1.55"/>
    <x v="168"/>
    <x v="268"/>
    <n v="2.38"/>
    <n v="97.833333333333343"/>
    <n v="77.7"/>
    <n v="34"/>
    <n v="18.175000000000001"/>
    <n v="129"/>
    <n v="77.5"/>
    <n v="129"/>
    <x v="1"/>
    <s v="O3"/>
  </r>
  <r>
    <x v="203"/>
    <x v="3"/>
    <n v="64.099999999999994"/>
    <n v="147.30000000000001"/>
    <n v="51"/>
    <n v="6.14"/>
    <n v="8.6"/>
    <n v="0.48"/>
    <x v="100"/>
    <x v="16"/>
    <n v="1.18"/>
    <n v="106.8333333333333"/>
    <n v="147.30000000000001"/>
    <n v="63.75"/>
    <n v="15.35"/>
    <n v="21.5"/>
    <n v="24"/>
    <n v="147"/>
    <x v="1"/>
    <s v="PM10"/>
  </r>
  <r>
    <x v="203"/>
    <x v="4"/>
    <n v="54"/>
    <n v="138.9"/>
    <n v="19.3"/>
    <n v="11.9"/>
    <n v="33.6"/>
    <n v="1.72"/>
    <x v="120"/>
    <x v="367"/>
    <n v="2.4500000000000002"/>
    <n v="90"/>
    <n v="138.9"/>
    <n v="24.125"/>
    <n v="29.75"/>
    <n v="84"/>
    <n v="86"/>
    <n v="139"/>
    <x v="1"/>
    <s v="PM10"/>
  </r>
  <r>
    <x v="204"/>
    <x v="0"/>
    <n v="52.6"/>
    <n v="89"/>
    <n v="37.4"/>
    <n v="8.9"/>
    <n v="41.1"/>
    <n v="1.07"/>
    <x v="304"/>
    <x v="112"/>
    <n v="2.39"/>
    <n v="87.666666666666671"/>
    <n v="89"/>
    <n v="46.75"/>
    <n v="22.25"/>
    <n v="102.75"/>
    <n v="53.500000000000007"/>
    <n v="103"/>
    <x v="1"/>
    <s v="O3"/>
  </r>
  <r>
    <x v="204"/>
    <x v="1"/>
    <n v="108.3"/>
    <n v="63.6"/>
    <n v="8.8000000000000007"/>
    <n v="11.09"/>
    <n v="60.8"/>
    <n v="0.59"/>
    <x v="305"/>
    <x v="440"/>
    <n v="4.2"/>
    <n v="180.5"/>
    <n v="63.6"/>
    <n v="11"/>
    <n v="27.725000000000001"/>
    <n v="152"/>
    <n v="29.5"/>
    <n v="180"/>
    <x v="1"/>
    <s v="PM2.5"/>
  </r>
  <r>
    <x v="204"/>
    <x v="2"/>
    <n v="2"/>
    <n v="70.3"/>
    <n v="59.5"/>
    <n v="4.2699999999999996"/>
    <n v="26.3"/>
    <n v="0.78"/>
    <x v="237"/>
    <x v="521"/>
    <n v="3.76"/>
    <n v="3.333333333333333"/>
    <n v="70.3"/>
    <n v="74.375"/>
    <n v="10.675000000000001"/>
    <n v="65.75"/>
    <n v="39"/>
    <n v="74"/>
    <x v="3"/>
    <s v="NO2"/>
  </r>
  <r>
    <x v="204"/>
    <x v="3"/>
    <n v="3.8"/>
    <n v="107.9"/>
    <n v="50.2"/>
    <n v="0.6"/>
    <n v="16.899999999999999"/>
    <n v="1.54"/>
    <x v="197"/>
    <x v="343"/>
    <n v="3.94"/>
    <n v="6.333333333333333"/>
    <n v="107.9"/>
    <n v="62.75"/>
    <n v="1.5"/>
    <n v="42.249999999999993"/>
    <n v="77"/>
    <n v="108"/>
    <x v="1"/>
    <s v="PM10"/>
  </r>
  <r>
    <x v="204"/>
    <x v="4"/>
    <n v="84.7"/>
    <n v="119.8"/>
    <n v="23.8"/>
    <n v="5.22"/>
    <n v="51.9"/>
    <n v="0.96"/>
    <x v="150"/>
    <x v="500"/>
    <n v="1.21"/>
    <n v="141.16666666666671"/>
    <n v="119.8"/>
    <n v="29.75"/>
    <n v="13.05"/>
    <n v="129.75"/>
    <n v="48"/>
    <n v="141"/>
    <x v="1"/>
    <s v="PM2.5"/>
  </r>
  <r>
    <x v="205"/>
    <x v="0"/>
    <n v="60.2"/>
    <n v="83.3"/>
    <n v="29.9"/>
    <n v="0.5"/>
    <n v="46.6"/>
    <n v="1.07"/>
    <x v="238"/>
    <x v="522"/>
    <n v="2.34"/>
    <n v="100.3333333333333"/>
    <n v="83.3"/>
    <n v="37.375"/>
    <n v="1.25"/>
    <n v="116.5"/>
    <n v="53.500000000000007"/>
    <n v="116"/>
    <x v="1"/>
    <s v="O3"/>
  </r>
  <r>
    <x v="205"/>
    <x v="1"/>
    <n v="95.3"/>
    <n v="41.3"/>
    <n v="55.7"/>
    <n v="0.5"/>
    <n v="23.8"/>
    <n v="0.47"/>
    <x v="58"/>
    <x v="295"/>
    <n v="2.48"/>
    <n v="158.83333333333329"/>
    <n v="41.3"/>
    <n v="69.625"/>
    <n v="1.25"/>
    <n v="59.500000000000007"/>
    <n v="23.5"/>
    <n v="159"/>
    <x v="1"/>
    <s v="PM2.5"/>
  </r>
  <r>
    <x v="205"/>
    <x v="2"/>
    <n v="20.399999999999999"/>
    <n v="77.5"/>
    <n v="22.6"/>
    <n v="7.54"/>
    <n v="14.5"/>
    <n v="1.52"/>
    <x v="306"/>
    <x v="176"/>
    <n v="4.51"/>
    <n v="33.999999999999993"/>
    <n v="77.5"/>
    <n v="28.25"/>
    <n v="18.850000000000001"/>
    <n v="36.25"/>
    <n v="76"/>
    <n v="78"/>
    <x v="3"/>
    <s v="PM10"/>
  </r>
  <r>
    <x v="205"/>
    <x v="3"/>
    <n v="37.6"/>
    <n v="32.9"/>
    <n v="39.5"/>
    <n v="4.5"/>
    <n v="19.100000000000001"/>
    <n v="0.43"/>
    <x v="307"/>
    <x v="51"/>
    <n v="0.2"/>
    <n v="62.666666666666657"/>
    <n v="32.9"/>
    <n v="49.375"/>
    <n v="11.25"/>
    <n v="47.75"/>
    <n v="21.5"/>
    <n v="63"/>
    <x v="3"/>
    <s v="PM2.5"/>
  </r>
  <r>
    <x v="205"/>
    <x v="4"/>
    <n v="92.2"/>
    <n v="137.9"/>
    <n v="26.1"/>
    <n v="2.93"/>
    <n v="62.5"/>
    <n v="0.93"/>
    <x v="286"/>
    <x v="523"/>
    <n v="2.48"/>
    <n v="153.66666666666671"/>
    <n v="137.9"/>
    <n v="32.625"/>
    <n v="7.3250000000000011"/>
    <n v="156.25"/>
    <n v="46.5"/>
    <n v="156"/>
    <x v="1"/>
    <s v="O3"/>
  </r>
  <r>
    <x v="206"/>
    <x v="0"/>
    <n v="96.5"/>
    <n v="181"/>
    <n v="23"/>
    <n v="12.11"/>
    <n v="27.3"/>
    <n v="7.0000000000000007E-2"/>
    <x v="81"/>
    <x v="409"/>
    <n v="1.94"/>
    <n v="160.83333333333329"/>
    <n v="181"/>
    <n v="28.75"/>
    <n v="30.274999999999999"/>
    <n v="68.25"/>
    <n v="3.5"/>
    <n v="181"/>
    <x v="1"/>
    <s v="PM10"/>
  </r>
  <r>
    <x v="206"/>
    <x v="1"/>
    <n v="50.8"/>
    <n v="188.6"/>
    <n v="47.1"/>
    <n v="3.78"/>
    <n v="71.900000000000006"/>
    <n v="1.32"/>
    <x v="308"/>
    <x v="84"/>
    <n v="2.97"/>
    <n v="84.666666666666671"/>
    <n v="188.6"/>
    <n v="58.875000000000007"/>
    <n v="9.4499999999999993"/>
    <n v="179.75"/>
    <n v="66"/>
    <n v="189"/>
    <x v="1"/>
    <s v="PM10"/>
  </r>
  <r>
    <x v="206"/>
    <x v="2"/>
    <n v="46.1"/>
    <n v="131.9"/>
    <n v="24"/>
    <n v="7.36"/>
    <n v="1"/>
    <n v="1.1000000000000001"/>
    <x v="187"/>
    <x v="524"/>
    <n v="1.59"/>
    <n v="76.833333333333343"/>
    <n v="131.9"/>
    <n v="30"/>
    <n v="18.399999999999999"/>
    <n v="2.5"/>
    <n v="55.000000000000007"/>
    <n v="132"/>
    <x v="1"/>
    <s v="PM10"/>
  </r>
  <r>
    <x v="206"/>
    <x v="3"/>
    <n v="31"/>
    <n v="102.2"/>
    <n v="19"/>
    <n v="8.08"/>
    <n v="61.2"/>
    <n v="1.22"/>
    <x v="3"/>
    <x v="488"/>
    <n v="3.62"/>
    <n v="51.666666666666657"/>
    <n v="102.2"/>
    <n v="23.75"/>
    <n v="20.2"/>
    <n v="153"/>
    <n v="61"/>
    <n v="153"/>
    <x v="1"/>
    <s v="O3"/>
  </r>
  <r>
    <x v="206"/>
    <x v="4"/>
    <n v="74.7"/>
    <n v="125.3"/>
    <n v="43.5"/>
    <n v="11.58"/>
    <n v="96.9"/>
    <n v="0.55000000000000004"/>
    <x v="152"/>
    <x v="419"/>
    <n v="2.84"/>
    <n v="124.5"/>
    <n v="125.3"/>
    <n v="54.375"/>
    <n v="28.95"/>
    <n v="242.25"/>
    <n v="27.5"/>
    <n v="242"/>
    <x v="0"/>
    <s v="O3"/>
  </r>
  <r>
    <x v="207"/>
    <x v="0"/>
    <n v="12.8"/>
    <n v="94.7"/>
    <n v="23.1"/>
    <n v="5.23"/>
    <n v="14.4"/>
    <n v="0.86"/>
    <x v="105"/>
    <x v="173"/>
    <n v="0.56000000000000005"/>
    <n v="21.333333333333339"/>
    <n v="94.7"/>
    <n v="28.875"/>
    <n v="13.074999999999999"/>
    <n v="36.000000000000007"/>
    <n v="43"/>
    <n v="95"/>
    <x v="3"/>
    <s v="PM10"/>
  </r>
  <r>
    <x v="207"/>
    <x v="1"/>
    <n v="16.600000000000001"/>
    <n v="141.69999999999999"/>
    <n v="29.1"/>
    <n v="13.37"/>
    <n v="57"/>
    <n v="1.56"/>
    <x v="250"/>
    <x v="320"/>
    <n v="1.81"/>
    <n v="27.666666666666671"/>
    <n v="141.69999999999999"/>
    <n v="36.375000000000007"/>
    <n v="33.424999999999997"/>
    <n v="142.5"/>
    <n v="78"/>
    <n v="142"/>
    <x v="1"/>
    <s v="O3"/>
  </r>
  <r>
    <x v="207"/>
    <x v="2"/>
    <n v="65.5"/>
    <n v="114.4"/>
    <n v="31.4"/>
    <n v="11.37"/>
    <n v="33"/>
    <n v="0.93"/>
    <x v="123"/>
    <x v="525"/>
    <n v="2.59"/>
    <n v="109.1666666666667"/>
    <n v="114.4"/>
    <n v="39.25"/>
    <n v="28.425000000000001"/>
    <n v="82.5"/>
    <n v="46.5"/>
    <n v="114"/>
    <x v="1"/>
    <s v="PM10"/>
  </r>
  <r>
    <x v="207"/>
    <x v="3"/>
    <n v="81.5"/>
    <n v="117.4"/>
    <n v="36.5"/>
    <n v="5.75"/>
    <n v="48.3"/>
    <n v="1.32"/>
    <x v="158"/>
    <x v="279"/>
    <n v="2.89"/>
    <n v="135.83333333333329"/>
    <n v="117.4"/>
    <n v="45.625"/>
    <n v="14.375"/>
    <n v="120.75"/>
    <n v="66"/>
    <n v="136"/>
    <x v="1"/>
    <s v="PM2.5"/>
  </r>
  <r>
    <x v="207"/>
    <x v="4"/>
    <n v="65.5"/>
    <n v="52.4"/>
    <n v="42.6"/>
    <n v="0.5"/>
    <n v="57.3"/>
    <n v="1.4"/>
    <x v="18"/>
    <x v="160"/>
    <n v="3.37"/>
    <n v="109.1666666666667"/>
    <n v="52.4"/>
    <n v="53.25"/>
    <n v="1.25"/>
    <n v="143.25"/>
    <n v="69.999999999999986"/>
    <n v="143"/>
    <x v="1"/>
    <s v="O3"/>
  </r>
  <r>
    <x v="208"/>
    <x v="0"/>
    <n v="94.5"/>
    <n v="188.4"/>
    <n v="40.9"/>
    <n v="8"/>
    <n v="77.900000000000006"/>
    <n v="0.28000000000000003"/>
    <x v="20"/>
    <x v="526"/>
    <n v="3.67"/>
    <n v="157.5"/>
    <n v="188.4"/>
    <n v="51.125"/>
    <n v="20"/>
    <n v="194.75"/>
    <n v="14"/>
    <n v="195"/>
    <x v="1"/>
    <s v="O3"/>
  </r>
  <r>
    <x v="208"/>
    <x v="1"/>
    <n v="71.099999999999994"/>
    <n v="29.7"/>
    <n v="44"/>
    <n v="5.05"/>
    <n v="60.3"/>
    <n v="0.71"/>
    <x v="128"/>
    <x v="527"/>
    <n v="3.97"/>
    <n v="118.5"/>
    <n v="29.7"/>
    <n v="55"/>
    <n v="12.625"/>
    <n v="150.75"/>
    <n v="35.5"/>
    <n v="151"/>
    <x v="1"/>
    <s v="O3"/>
  </r>
  <r>
    <x v="208"/>
    <x v="2"/>
    <n v="36.5"/>
    <n v="98.4"/>
    <n v="34.200000000000003"/>
    <n v="2.02"/>
    <n v="8.1"/>
    <n v="0.45"/>
    <x v="33"/>
    <x v="150"/>
    <n v="1.55"/>
    <n v="60.833333333333343"/>
    <n v="98.4"/>
    <n v="42.75"/>
    <n v="5.05"/>
    <n v="20.25"/>
    <n v="22.5"/>
    <n v="98"/>
    <x v="3"/>
    <s v="PM10"/>
  </r>
  <r>
    <x v="208"/>
    <x v="3"/>
    <n v="89.9"/>
    <n v="145.30000000000001"/>
    <n v="48.9"/>
    <n v="5.92"/>
    <n v="77.900000000000006"/>
    <n v="0.86"/>
    <x v="22"/>
    <x v="133"/>
    <n v="3.34"/>
    <n v="149.83333333333329"/>
    <n v="145.30000000000001"/>
    <n v="61.125"/>
    <n v="14.8"/>
    <n v="194.75"/>
    <n v="43"/>
    <n v="195"/>
    <x v="1"/>
    <s v="O3"/>
  </r>
  <r>
    <x v="208"/>
    <x v="4"/>
    <n v="69.599999999999994"/>
    <n v="80.5"/>
    <n v="30.2"/>
    <n v="9.86"/>
    <n v="63.7"/>
    <n v="0.85"/>
    <x v="293"/>
    <x v="58"/>
    <n v="3.75"/>
    <n v="116"/>
    <n v="80.5"/>
    <n v="37.75"/>
    <n v="24.65"/>
    <n v="159.25"/>
    <n v="42.499999999999993"/>
    <n v="159"/>
    <x v="1"/>
    <s v="O3"/>
  </r>
  <r>
    <x v="209"/>
    <x v="0"/>
    <n v="105"/>
    <n v="44.3"/>
    <n v="33.6"/>
    <n v="5.57"/>
    <n v="85"/>
    <n v="1.08"/>
    <x v="290"/>
    <x v="325"/>
    <n v="2.0099999999999998"/>
    <n v="175"/>
    <n v="44.3"/>
    <n v="42"/>
    <n v="13.925000000000001"/>
    <n v="212.5"/>
    <n v="54.000000000000007"/>
    <n v="212"/>
    <x v="0"/>
    <s v="O3"/>
  </r>
  <r>
    <x v="209"/>
    <x v="1"/>
    <n v="23.3"/>
    <n v="66.400000000000006"/>
    <n v="79.7"/>
    <n v="9.92"/>
    <n v="53.4"/>
    <n v="1.05"/>
    <x v="142"/>
    <x v="253"/>
    <n v="2.85"/>
    <n v="38.833333333333343"/>
    <n v="66.400000000000006"/>
    <n v="99.625"/>
    <n v="24.8"/>
    <n v="133.5"/>
    <n v="52.500000000000007"/>
    <n v="134"/>
    <x v="1"/>
    <s v="O3"/>
  </r>
  <r>
    <x v="209"/>
    <x v="2"/>
    <n v="48.2"/>
    <n v="130.80000000000001"/>
    <n v="34.6"/>
    <n v="2.36"/>
    <n v="23.5"/>
    <n v="0.05"/>
    <x v="252"/>
    <x v="471"/>
    <n v="1.5"/>
    <n v="80.333333333333343"/>
    <n v="130.80000000000001"/>
    <n v="43.250000000000007"/>
    <n v="5.8999999999999986"/>
    <n v="58.75"/>
    <n v="2.5"/>
    <n v="131"/>
    <x v="1"/>
    <s v="PM10"/>
  </r>
  <r>
    <x v="209"/>
    <x v="3"/>
    <n v="41.2"/>
    <n v="65.400000000000006"/>
    <n v="60.7"/>
    <n v="0.72"/>
    <n v="42.9"/>
    <n v="0.91"/>
    <x v="253"/>
    <x v="182"/>
    <n v="0.39"/>
    <n v="68.666666666666671"/>
    <n v="65.400000000000006"/>
    <n v="75.875"/>
    <n v="1.8"/>
    <n v="107.25"/>
    <n v="45.5"/>
    <n v="107"/>
    <x v="1"/>
    <s v="O3"/>
  </r>
  <r>
    <x v="209"/>
    <x v="4"/>
    <n v="46.2"/>
    <n v="54.3"/>
    <n v="41"/>
    <n v="13.35"/>
    <n v="1"/>
    <n v="0.63"/>
    <x v="66"/>
    <x v="210"/>
    <n v="3.89"/>
    <n v="77"/>
    <n v="54.3"/>
    <n v="51.25"/>
    <n v="33.375"/>
    <n v="2.5"/>
    <n v="31.5"/>
    <n v="77"/>
    <x v="3"/>
    <s v="PM2.5"/>
  </r>
  <r>
    <x v="210"/>
    <x v="0"/>
    <n v="50.4"/>
    <n v="133.4"/>
    <n v="29.9"/>
    <n v="8.42"/>
    <n v="68.400000000000006"/>
    <n v="0.7"/>
    <x v="58"/>
    <x v="124"/>
    <n v="3.75"/>
    <n v="83.999999999999986"/>
    <n v="133.4"/>
    <n v="37.375"/>
    <n v="21.05"/>
    <n v="171"/>
    <n v="34.999999999999993"/>
    <n v="171"/>
    <x v="1"/>
    <s v="O3"/>
  </r>
  <r>
    <x v="210"/>
    <x v="1"/>
    <n v="54"/>
    <n v="142.9"/>
    <n v="44.2"/>
    <n v="7.52"/>
    <n v="58.1"/>
    <n v="1.52"/>
    <x v="174"/>
    <x v="244"/>
    <n v="0.27"/>
    <n v="90"/>
    <n v="142.9"/>
    <n v="55.25"/>
    <n v="18.8"/>
    <n v="145.25"/>
    <n v="76"/>
    <n v="145"/>
    <x v="1"/>
    <s v="O3"/>
  </r>
  <r>
    <x v="210"/>
    <x v="2"/>
    <n v="30"/>
    <n v="86.9"/>
    <n v="40.5"/>
    <n v="12.07"/>
    <n v="1"/>
    <n v="0.68"/>
    <x v="135"/>
    <x v="528"/>
    <n v="2.83"/>
    <n v="50"/>
    <n v="86.9"/>
    <n v="50.625"/>
    <n v="30.175000000000001"/>
    <n v="2.5"/>
    <n v="34"/>
    <n v="87"/>
    <x v="3"/>
    <s v="PM10"/>
  </r>
  <r>
    <x v="210"/>
    <x v="3"/>
    <n v="86.2"/>
    <n v="101.8"/>
    <n v="52.7"/>
    <n v="8.74"/>
    <n v="29.1"/>
    <n v="0.28000000000000003"/>
    <x v="100"/>
    <x v="216"/>
    <n v="4.05"/>
    <n v="143.66666666666671"/>
    <n v="101.8"/>
    <n v="65.875"/>
    <n v="21.85"/>
    <n v="72.750000000000014"/>
    <n v="14"/>
    <n v="144"/>
    <x v="1"/>
    <s v="PM2.5"/>
  </r>
  <r>
    <x v="210"/>
    <x v="4"/>
    <n v="48.5"/>
    <n v="168.7"/>
    <n v="31.1"/>
    <n v="8.2200000000000006"/>
    <n v="49.8"/>
    <n v="1.03"/>
    <x v="81"/>
    <x v="112"/>
    <n v="1.89"/>
    <n v="80.833333333333329"/>
    <n v="168.7"/>
    <n v="38.875"/>
    <n v="20.55"/>
    <n v="124.5"/>
    <n v="51.500000000000007"/>
    <n v="169"/>
    <x v="1"/>
    <s v="PM10"/>
  </r>
  <r>
    <x v="211"/>
    <x v="0"/>
    <n v="21.8"/>
    <n v="179"/>
    <n v="54.8"/>
    <n v="7.66"/>
    <n v="93.9"/>
    <n v="0.96"/>
    <x v="117"/>
    <x v="161"/>
    <n v="1.27"/>
    <n v="36.333333333333343"/>
    <n v="179"/>
    <n v="68.499999999999986"/>
    <n v="19.149999999999999"/>
    <n v="234.75"/>
    <n v="48"/>
    <n v="235"/>
    <x v="0"/>
    <s v="O3"/>
  </r>
  <r>
    <x v="211"/>
    <x v="1"/>
    <n v="115.4"/>
    <n v="179.4"/>
    <n v="42.6"/>
    <n v="11.64"/>
    <n v="37.4"/>
    <n v="1.7"/>
    <x v="309"/>
    <x v="246"/>
    <n v="3.68"/>
    <n v="192.33333333333329"/>
    <n v="179.4"/>
    <n v="53.25"/>
    <n v="29.1"/>
    <n v="93.5"/>
    <n v="84.999999999999986"/>
    <n v="192"/>
    <x v="1"/>
    <s v="PM2.5"/>
  </r>
  <r>
    <x v="211"/>
    <x v="2"/>
    <n v="39.9"/>
    <n v="100.7"/>
    <n v="13.7"/>
    <n v="13.1"/>
    <n v="66.3"/>
    <n v="0.82"/>
    <x v="105"/>
    <x v="476"/>
    <n v="4.88"/>
    <n v="66.5"/>
    <n v="100.7"/>
    <n v="17.125"/>
    <n v="32.75"/>
    <n v="165.75"/>
    <n v="40.999999999999993"/>
    <n v="166"/>
    <x v="1"/>
    <s v="O3"/>
  </r>
  <r>
    <x v="211"/>
    <x v="3"/>
    <n v="70.900000000000006"/>
    <n v="200.2"/>
    <n v="21.2"/>
    <n v="3.12"/>
    <n v="10.3"/>
    <n v="1.17"/>
    <x v="141"/>
    <x v="31"/>
    <n v="3.47"/>
    <n v="118.1666666666667"/>
    <n v="200.2"/>
    <n v="26.5"/>
    <n v="7.8000000000000007"/>
    <n v="25.75"/>
    <n v="58.5"/>
    <n v="200"/>
    <x v="1"/>
    <s v="PM10"/>
  </r>
  <r>
    <x v="211"/>
    <x v="4"/>
    <n v="85.3"/>
    <n v="25"/>
    <n v="29.1"/>
    <n v="10.65"/>
    <n v="31.1"/>
    <n v="0.63"/>
    <x v="166"/>
    <x v="282"/>
    <n v="2.64"/>
    <n v="142.16666666666671"/>
    <n v="25"/>
    <n v="36.375000000000007"/>
    <n v="26.625"/>
    <n v="77.75"/>
    <n v="31.5"/>
    <n v="142"/>
    <x v="1"/>
    <s v="PM2.5"/>
  </r>
  <r>
    <x v="212"/>
    <x v="0"/>
    <n v="64.3"/>
    <n v="78.7"/>
    <n v="55.8"/>
    <n v="4.74"/>
    <n v="86.5"/>
    <n v="1.03"/>
    <x v="211"/>
    <x v="96"/>
    <n v="1.75"/>
    <n v="107.1666666666667"/>
    <n v="78.7"/>
    <n v="69.749999999999986"/>
    <n v="11.85"/>
    <n v="216.25"/>
    <n v="51.500000000000007"/>
    <n v="216"/>
    <x v="0"/>
    <s v="O3"/>
  </r>
  <r>
    <x v="212"/>
    <x v="1"/>
    <n v="2"/>
    <n v="141.6"/>
    <n v="46.4"/>
    <n v="10.78"/>
    <n v="42.9"/>
    <n v="0.94"/>
    <x v="310"/>
    <x v="285"/>
    <n v="3.38"/>
    <n v="3.333333333333333"/>
    <n v="141.6"/>
    <n v="57.999999999999993"/>
    <n v="26.95"/>
    <n v="107.25"/>
    <n v="47"/>
    <n v="142"/>
    <x v="1"/>
    <s v="PM10"/>
  </r>
  <r>
    <x v="212"/>
    <x v="2"/>
    <n v="32.5"/>
    <n v="75.900000000000006"/>
    <n v="29.4"/>
    <n v="3.03"/>
    <n v="51.6"/>
    <n v="1.55"/>
    <x v="77"/>
    <x v="382"/>
    <n v="1.32"/>
    <n v="54.166666666666671"/>
    <n v="75.900000000000006"/>
    <n v="36.75"/>
    <n v="7.5749999999999993"/>
    <n v="129"/>
    <n v="77.5"/>
    <n v="129"/>
    <x v="1"/>
    <s v="O3"/>
  </r>
  <r>
    <x v="212"/>
    <x v="3"/>
    <n v="60.4"/>
    <n v="199.5"/>
    <n v="29.9"/>
    <n v="4.9000000000000004"/>
    <n v="26"/>
    <n v="0.73"/>
    <x v="311"/>
    <x v="399"/>
    <n v="1.49"/>
    <n v="100.6666666666667"/>
    <n v="199.5"/>
    <n v="37.375"/>
    <n v="12.25"/>
    <n v="65"/>
    <n v="36.5"/>
    <n v="200"/>
    <x v="1"/>
    <s v="PM10"/>
  </r>
  <r>
    <x v="212"/>
    <x v="4"/>
    <n v="10.3"/>
    <n v="145.4"/>
    <n v="20.6"/>
    <n v="5.55"/>
    <n v="84.3"/>
    <n v="0.31"/>
    <x v="305"/>
    <x v="183"/>
    <n v="4.38"/>
    <n v="17.166666666666671"/>
    <n v="145.4"/>
    <n v="25.75"/>
    <n v="13.875"/>
    <n v="210.75"/>
    <n v="15.5"/>
    <n v="211"/>
    <x v="0"/>
    <s v="O3"/>
  </r>
  <r>
    <x v="213"/>
    <x v="0"/>
    <n v="11.7"/>
    <n v="132.9"/>
    <n v="52.1"/>
    <n v="0.5"/>
    <n v="69"/>
    <n v="1.59"/>
    <x v="11"/>
    <x v="293"/>
    <n v="3.86"/>
    <n v="19.5"/>
    <n v="132.9"/>
    <n v="65.125"/>
    <n v="1.25"/>
    <n v="172.5"/>
    <n v="79.5"/>
    <n v="172"/>
    <x v="1"/>
    <s v="O3"/>
  </r>
  <r>
    <x v="213"/>
    <x v="1"/>
    <n v="63.1"/>
    <n v="92.9"/>
    <n v="25.5"/>
    <n v="7.81"/>
    <n v="67.8"/>
    <n v="1.01"/>
    <x v="182"/>
    <x v="509"/>
    <n v="2.73"/>
    <n v="105.1666666666667"/>
    <n v="92.9"/>
    <n v="31.875"/>
    <n v="19.524999999999999"/>
    <n v="169.5"/>
    <n v="50.5"/>
    <n v="169"/>
    <x v="1"/>
    <s v="O3"/>
  </r>
  <r>
    <x v="213"/>
    <x v="2"/>
    <n v="36.9"/>
    <n v="130.30000000000001"/>
    <n v="57.4"/>
    <n v="0.5"/>
    <n v="48.3"/>
    <n v="0.26"/>
    <x v="171"/>
    <x v="103"/>
    <n v="3.26"/>
    <n v="61.5"/>
    <n v="130.30000000000001"/>
    <n v="71.75"/>
    <n v="1.25"/>
    <n v="120.75"/>
    <n v="13"/>
    <n v="130"/>
    <x v="1"/>
    <s v="PM10"/>
  </r>
  <r>
    <x v="213"/>
    <x v="3"/>
    <n v="36"/>
    <n v="6.1"/>
    <n v="28.8"/>
    <n v="8.0299999999999994"/>
    <n v="65.400000000000006"/>
    <n v="0.4"/>
    <x v="87"/>
    <x v="202"/>
    <n v="2.93"/>
    <n v="60"/>
    <n v="6.1"/>
    <n v="36.000000000000007"/>
    <n v="20.074999999999999"/>
    <n v="163.5"/>
    <n v="20"/>
    <n v="164"/>
    <x v="1"/>
    <s v="O3"/>
  </r>
  <r>
    <x v="213"/>
    <x v="4"/>
    <n v="39.299999999999997"/>
    <n v="115.2"/>
    <n v="55.3"/>
    <n v="1.64"/>
    <n v="25.3"/>
    <n v="1.1499999999999999"/>
    <x v="312"/>
    <x v="52"/>
    <n v="5.45"/>
    <n v="65.499999999999986"/>
    <n v="115.2"/>
    <n v="69.124999999999986"/>
    <n v="4.0999999999999996"/>
    <n v="63.25"/>
    <n v="57.499999999999993"/>
    <n v="115"/>
    <x v="1"/>
    <s v="PM10"/>
  </r>
  <r>
    <x v="214"/>
    <x v="0"/>
    <n v="110.5"/>
    <n v="105"/>
    <n v="35.9"/>
    <n v="4.18"/>
    <n v="44"/>
    <n v="0.33"/>
    <x v="83"/>
    <x v="529"/>
    <n v="1.77"/>
    <n v="184.16666666666671"/>
    <n v="105"/>
    <n v="44.875"/>
    <n v="10.45"/>
    <n v="110"/>
    <n v="16.5"/>
    <n v="184"/>
    <x v="1"/>
    <s v="PM2.5"/>
  </r>
  <r>
    <x v="214"/>
    <x v="1"/>
    <n v="52.8"/>
    <n v="17.899999999999999"/>
    <n v="52.5"/>
    <n v="9.32"/>
    <n v="52"/>
    <n v="1.07"/>
    <x v="97"/>
    <x v="530"/>
    <n v="2.4700000000000002"/>
    <n v="88"/>
    <n v="17.899999999999999"/>
    <n v="65.625"/>
    <n v="23.3"/>
    <n v="130"/>
    <n v="53.500000000000007"/>
    <n v="130"/>
    <x v="1"/>
    <s v="O3"/>
  </r>
  <r>
    <x v="214"/>
    <x v="2"/>
    <n v="52.8"/>
    <n v="101"/>
    <n v="51.3"/>
    <n v="8.65"/>
    <n v="42.6"/>
    <n v="1.6"/>
    <x v="178"/>
    <x v="531"/>
    <n v="3.23"/>
    <n v="88"/>
    <n v="101"/>
    <n v="64.125"/>
    <n v="21.625"/>
    <n v="106.5"/>
    <n v="80"/>
    <n v="106"/>
    <x v="1"/>
    <s v="O3"/>
  </r>
  <r>
    <x v="214"/>
    <x v="3"/>
    <n v="3.8"/>
    <n v="158.6"/>
    <n v="38.200000000000003"/>
    <n v="6.19"/>
    <n v="47"/>
    <n v="0.79"/>
    <x v="102"/>
    <x v="281"/>
    <n v="4.03"/>
    <n v="6.333333333333333"/>
    <n v="158.6"/>
    <n v="47.75"/>
    <n v="15.475"/>
    <n v="117.5"/>
    <n v="39.5"/>
    <n v="159"/>
    <x v="1"/>
    <s v="PM10"/>
  </r>
  <r>
    <x v="214"/>
    <x v="4"/>
    <n v="49.8"/>
    <n v="85.4"/>
    <n v="23.3"/>
    <n v="8.2200000000000006"/>
    <n v="49.1"/>
    <n v="1.26"/>
    <x v="128"/>
    <x v="362"/>
    <n v="3.75"/>
    <n v="82.999999999999986"/>
    <n v="85.4"/>
    <n v="29.125"/>
    <n v="20.55"/>
    <n v="122.75"/>
    <n v="63"/>
    <n v="123"/>
    <x v="1"/>
    <s v="O3"/>
  </r>
  <r>
    <x v="215"/>
    <x v="0"/>
    <n v="96.2"/>
    <n v="53.7"/>
    <n v="70.599999999999994"/>
    <n v="8.67"/>
    <n v="45.8"/>
    <n v="0.88"/>
    <x v="244"/>
    <x v="532"/>
    <n v="1.57"/>
    <n v="160.33333333333329"/>
    <n v="53.7"/>
    <n v="88.25"/>
    <n v="21.675000000000001"/>
    <n v="114.5"/>
    <n v="44"/>
    <n v="160"/>
    <x v="1"/>
    <s v="PM2.5"/>
  </r>
  <r>
    <x v="215"/>
    <x v="1"/>
    <n v="36.6"/>
    <n v="179.5"/>
    <n v="7.3"/>
    <n v="0.5"/>
    <n v="49.4"/>
    <n v="1.38"/>
    <x v="55"/>
    <x v="4"/>
    <n v="5.54"/>
    <n v="61.000000000000007"/>
    <n v="179.5"/>
    <n v="9.125"/>
    <n v="1.25"/>
    <n v="123.5"/>
    <n v="68.999999999999986"/>
    <n v="180"/>
    <x v="1"/>
    <s v="PM10"/>
  </r>
  <r>
    <x v="215"/>
    <x v="2"/>
    <n v="40.4"/>
    <n v="80.7"/>
    <n v="22.1"/>
    <n v="6.55"/>
    <n v="52.6"/>
    <n v="1.46"/>
    <x v="37"/>
    <x v="269"/>
    <n v="3.04"/>
    <n v="67.333333333333329"/>
    <n v="80.7"/>
    <n v="27.625"/>
    <n v="16.375"/>
    <n v="131.5"/>
    <n v="73"/>
    <n v="132"/>
    <x v="1"/>
    <s v="O3"/>
  </r>
  <r>
    <x v="215"/>
    <x v="3"/>
    <n v="62.1"/>
    <n v="96.3"/>
    <n v="44.7"/>
    <n v="3.16"/>
    <n v="78.900000000000006"/>
    <n v="1.44"/>
    <x v="90"/>
    <x v="311"/>
    <n v="1.24"/>
    <n v="103.5"/>
    <n v="96.3"/>
    <n v="55.875"/>
    <n v="7.9"/>
    <n v="197.25"/>
    <n v="72"/>
    <n v="197"/>
    <x v="1"/>
    <s v="O3"/>
  </r>
  <r>
    <x v="215"/>
    <x v="4"/>
    <n v="70.7"/>
    <n v="37.799999999999997"/>
    <n v="33.799999999999997"/>
    <n v="9.0399999999999991"/>
    <n v="42.2"/>
    <n v="1.19"/>
    <x v="64"/>
    <x v="122"/>
    <n v="2.2599999999999998"/>
    <n v="117.8333333333333"/>
    <n v="37.799999999999997"/>
    <n v="42.249999999999993"/>
    <n v="22.6"/>
    <n v="105.5"/>
    <n v="59.5"/>
    <n v="118"/>
    <x v="1"/>
    <s v="PM2.5"/>
  </r>
  <r>
    <x v="216"/>
    <x v="0"/>
    <n v="46.2"/>
    <n v="123.5"/>
    <n v="43.3"/>
    <n v="7.47"/>
    <n v="24.4"/>
    <n v="0.94"/>
    <x v="213"/>
    <x v="533"/>
    <n v="1.94"/>
    <n v="77"/>
    <n v="123.5"/>
    <n v="54.125"/>
    <n v="18.675000000000001"/>
    <n v="61"/>
    <n v="47"/>
    <n v="124"/>
    <x v="1"/>
    <s v="PM10"/>
  </r>
  <r>
    <x v="216"/>
    <x v="1"/>
    <n v="71.599999999999994"/>
    <n v="43.4"/>
    <n v="68.099999999999994"/>
    <n v="14.35"/>
    <n v="11.1"/>
    <n v="2.0099999999999998"/>
    <x v="53"/>
    <x v="534"/>
    <n v="1.9"/>
    <n v="119.3333333333333"/>
    <n v="43.4"/>
    <n v="85.124999999999986"/>
    <n v="35.875"/>
    <n v="27.75"/>
    <n v="100.5"/>
    <n v="119"/>
    <x v="1"/>
    <s v="PM2.5"/>
  </r>
  <r>
    <x v="216"/>
    <x v="2"/>
    <n v="66.599999999999994"/>
    <n v="109.7"/>
    <n v="21.8"/>
    <n v="1.65"/>
    <n v="3.3"/>
    <n v="1"/>
    <x v="191"/>
    <x v="260"/>
    <n v="2.36"/>
    <n v="111"/>
    <n v="109.7"/>
    <n v="27.25"/>
    <n v="4.125"/>
    <n v="8.25"/>
    <n v="50"/>
    <n v="111"/>
    <x v="1"/>
    <s v="PM2.5"/>
  </r>
  <r>
    <x v="216"/>
    <x v="3"/>
    <n v="20.2"/>
    <n v="63.3"/>
    <n v="54.4"/>
    <n v="4.46"/>
    <n v="43.6"/>
    <n v="0.44"/>
    <x v="69"/>
    <x v="478"/>
    <n v="3.76"/>
    <n v="33.666666666666657"/>
    <n v="63.3"/>
    <n v="68"/>
    <n v="11.15"/>
    <n v="109"/>
    <n v="22"/>
    <n v="109"/>
    <x v="1"/>
    <s v="O3"/>
  </r>
  <r>
    <x v="216"/>
    <x v="4"/>
    <n v="73.2"/>
    <n v="79.400000000000006"/>
    <n v="37.4"/>
    <n v="4.62"/>
    <n v="5"/>
    <n v="0.6"/>
    <x v="196"/>
    <x v="535"/>
    <n v="3.18"/>
    <n v="122"/>
    <n v="79.400000000000006"/>
    <n v="46.75"/>
    <n v="11.55"/>
    <n v="12.5"/>
    <n v="30"/>
    <n v="122"/>
    <x v="1"/>
    <s v="PM2.5"/>
  </r>
  <r>
    <x v="217"/>
    <x v="0"/>
    <n v="46.9"/>
    <n v="161.9"/>
    <n v="42.6"/>
    <n v="10.59"/>
    <n v="1"/>
    <n v="0.05"/>
    <x v="142"/>
    <x v="536"/>
    <n v="2.25"/>
    <n v="78.166666666666657"/>
    <n v="161.9"/>
    <n v="53.25"/>
    <n v="26.475000000000001"/>
    <n v="2.5"/>
    <n v="2.5"/>
    <n v="162"/>
    <x v="1"/>
    <s v="PM10"/>
  </r>
  <r>
    <x v="217"/>
    <x v="1"/>
    <n v="50.9"/>
    <n v="215.2"/>
    <n v="53"/>
    <n v="8.83"/>
    <n v="76.2"/>
    <n v="1.42"/>
    <x v="15"/>
    <x v="236"/>
    <n v="1.17"/>
    <n v="84.833333333333329"/>
    <n v="215.2"/>
    <n v="66.25"/>
    <n v="22.074999999999999"/>
    <n v="190.5"/>
    <n v="71"/>
    <n v="215"/>
    <x v="0"/>
    <s v="PM10"/>
  </r>
  <r>
    <x v="217"/>
    <x v="2"/>
    <n v="53"/>
    <n v="20.6"/>
    <n v="37.299999999999997"/>
    <n v="6.81"/>
    <n v="77.8"/>
    <n v="0.2"/>
    <x v="216"/>
    <x v="3"/>
    <n v="2.9"/>
    <n v="88.333333333333329"/>
    <n v="20.6"/>
    <n v="46.625"/>
    <n v="17.024999999999999"/>
    <n v="194.5"/>
    <n v="10"/>
    <n v="194"/>
    <x v="1"/>
    <s v="O3"/>
  </r>
  <r>
    <x v="217"/>
    <x v="3"/>
    <n v="52.3"/>
    <n v="50.1"/>
    <n v="26.5"/>
    <n v="11.38"/>
    <n v="38.700000000000003"/>
    <n v="1.1399999999999999"/>
    <x v="32"/>
    <x v="46"/>
    <n v="3.62"/>
    <n v="87.166666666666657"/>
    <n v="50.1"/>
    <n v="33.125"/>
    <n v="28.45"/>
    <n v="96.75"/>
    <n v="56.999999999999993"/>
    <n v="97"/>
    <x v="3"/>
    <s v="O3"/>
  </r>
  <r>
    <x v="217"/>
    <x v="4"/>
    <n v="66.099999999999994"/>
    <n v="227.3"/>
    <n v="21.7"/>
    <n v="10.66"/>
    <n v="7.9"/>
    <n v="1.1399999999999999"/>
    <x v="313"/>
    <x v="537"/>
    <n v="2.75"/>
    <n v="110.1666666666667"/>
    <n v="227.3"/>
    <n v="27.125"/>
    <n v="26.65"/>
    <n v="19.75"/>
    <n v="56.999999999999993"/>
    <n v="227"/>
    <x v="0"/>
    <s v="PM10"/>
  </r>
  <r>
    <x v="218"/>
    <x v="0"/>
    <n v="39.700000000000003"/>
    <n v="71.7"/>
    <n v="48.5"/>
    <n v="12.52"/>
    <n v="42.2"/>
    <n v="1.22"/>
    <x v="31"/>
    <x v="245"/>
    <n v="1.19"/>
    <n v="66.166666666666671"/>
    <n v="71.7"/>
    <n v="60.625"/>
    <n v="31.3"/>
    <n v="105.5"/>
    <n v="61"/>
    <n v="106"/>
    <x v="1"/>
    <s v="O3"/>
  </r>
  <r>
    <x v="218"/>
    <x v="1"/>
    <n v="93.3"/>
    <n v="137.69999999999999"/>
    <n v="52.9"/>
    <n v="3.97"/>
    <n v="35.6"/>
    <n v="1.0900000000000001"/>
    <x v="305"/>
    <x v="538"/>
    <n v="1.78"/>
    <n v="155.5"/>
    <n v="137.69999999999999"/>
    <n v="66.125"/>
    <n v="9.9249999999999989"/>
    <n v="89.000000000000014"/>
    <n v="54.500000000000007"/>
    <n v="156"/>
    <x v="1"/>
    <s v="PM2.5"/>
  </r>
  <r>
    <x v="218"/>
    <x v="2"/>
    <n v="57.5"/>
    <n v="61.4"/>
    <n v="18.7"/>
    <n v="2.98"/>
    <n v="27.2"/>
    <n v="0.75"/>
    <x v="232"/>
    <x v="469"/>
    <n v="3.73"/>
    <n v="95.833333333333343"/>
    <n v="61.4"/>
    <n v="23.375"/>
    <n v="7.45"/>
    <n v="68"/>
    <n v="37.5"/>
    <n v="96"/>
    <x v="3"/>
    <s v="PM2.5"/>
  </r>
  <r>
    <x v="218"/>
    <x v="3"/>
    <n v="76"/>
    <n v="48.1"/>
    <n v="16.399999999999999"/>
    <n v="1.97"/>
    <n v="73.400000000000006"/>
    <n v="0.7"/>
    <x v="2"/>
    <x v="452"/>
    <n v="2.21"/>
    <n v="126.6666666666667"/>
    <n v="48.1"/>
    <n v="20.5"/>
    <n v="4.9249999999999998"/>
    <n v="183.5"/>
    <n v="34.999999999999993"/>
    <n v="184"/>
    <x v="1"/>
    <s v="O3"/>
  </r>
  <r>
    <x v="218"/>
    <x v="4"/>
    <n v="59.9"/>
    <n v="118.9"/>
    <n v="25"/>
    <n v="10.06"/>
    <n v="26.4"/>
    <n v="0.97"/>
    <x v="173"/>
    <x v="273"/>
    <n v="2.3199999999999998"/>
    <n v="99.833333333333329"/>
    <n v="118.9"/>
    <n v="31.25"/>
    <n v="25.15"/>
    <n v="66"/>
    <n v="48.5"/>
    <n v="119"/>
    <x v="1"/>
    <s v="PM10"/>
  </r>
  <r>
    <x v="219"/>
    <x v="0"/>
    <n v="71.5"/>
    <n v="63.1"/>
    <n v="34.299999999999997"/>
    <n v="9.92"/>
    <n v="105.1"/>
    <n v="1.44"/>
    <x v="77"/>
    <x v="539"/>
    <n v="1.21"/>
    <n v="119.1666666666667"/>
    <n v="63.1"/>
    <n v="42.875"/>
    <n v="24.8"/>
    <n v="262.75"/>
    <n v="72"/>
    <n v="263"/>
    <x v="0"/>
    <s v="O3"/>
  </r>
  <r>
    <x v="219"/>
    <x v="1"/>
    <n v="63.5"/>
    <n v="118.2"/>
    <n v="51.4"/>
    <n v="8.58"/>
    <n v="61.9"/>
    <n v="1.01"/>
    <x v="276"/>
    <x v="518"/>
    <n v="2.12"/>
    <n v="105.8333333333333"/>
    <n v="118.2"/>
    <n v="64.25"/>
    <n v="21.45"/>
    <n v="154.75"/>
    <n v="50.5"/>
    <n v="155"/>
    <x v="1"/>
    <s v="O3"/>
  </r>
  <r>
    <x v="219"/>
    <x v="2"/>
    <n v="77.3"/>
    <n v="105.7"/>
    <n v="33.9"/>
    <n v="13.29"/>
    <n v="5.7"/>
    <n v="0.41"/>
    <x v="176"/>
    <x v="25"/>
    <n v="2.21"/>
    <n v="128.83333333333329"/>
    <n v="105.7"/>
    <n v="42.374999999999993"/>
    <n v="33.224999999999987"/>
    <n v="14.25"/>
    <n v="20.5"/>
    <n v="129"/>
    <x v="1"/>
    <s v="PM2.5"/>
  </r>
  <r>
    <x v="219"/>
    <x v="3"/>
    <n v="19.2"/>
    <n v="117.5"/>
    <n v="44.7"/>
    <n v="2.02"/>
    <n v="36.5"/>
    <n v="0.8"/>
    <x v="157"/>
    <x v="540"/>
    <n v="4"/>
    <n v="32"/>
    <n v="117.5"/>
    <n v="55.875"/>
    <n v="5.05"/>
    <n v="91.25"/>
    <n v="40"/>
    <n v="118"/>
    <x v="1"/>
    <s v="PM10"/>
  </r>
  <r>
    <x v="219"/>
    <x v="4"/>
    <n v="77"/>
    <n v="86.4"/>
    <n v="35.799999999999997"/>
    <n v="6.44"/>
    <n v="22.6"/>
    <n v="0.82"/>
    <x v="25"/>
    <x v="118"/>
    <n v="4.1399999999999997"/>
    <n v="128.33333333333329"/>
    <n v="86.4"/>
    <n v="44.75"/>
    <n v="16.100000000000001"/>
    <n v="56.5"/>
    <n v="40.999999999999993"/>
    <n v="128"/>
    <x v="1"/>
    <s v="PM2.5"/>
  </r>
  <r>
    <x v="220"/>
    <x v="0"/>
    <n v="81"/>
    <n v="130.80000000000001"/>
    <n v="20.8"/>
    <n v="7.17"/>
    <n v="73.900000000000006"/>
    <n v="0.41"/>
    <x v="296"/>
    <x v="62"/>
    <n v="3.77"/>
    <n v="135"/>
    <n v="130.80000000000001"/>
    <n v="26"/>
    <n v="17.925000000000001"/>
    <n v="184.75"/>
    <n v="20.5"/>
    <n v="185"/>
    <x v="1"/>
    <s v="O3"/>
  </r>
  <r>
    <x v="220"/>
    <x v="1"/>
    <n v="102.4"/>
    <n v="133.1"/>
    <n v="64.400000000000006"/>
    <n v="4.41"/>
    <n v="74.900000000000006"/>
    <n v="1.59"/>
    <x v="142"/>
    <x v="541"/>
    <n v="1.85"/>
    <n v="170.66666666666671"/>
    <n v="133.1"/>
    <n v="80.5"/>
    <n v="11.025"/>
    <n v="187.25"/>
    <n v="79.5"/>
    <n v="187"/>
    <x v="1"/>
    <s v="O3"/>
  </r>
  <r>
    <x v="220"/>
    <x v="2"/>
    <n v="41.3"/>
    <n v="95.6"/>
    <n v="18.5"/>
    <n v="6.94"/>
    <n v="1"/>
    <n v="1.39"/>
    <x v="52"/>
    <x v="73"/>
    <n v="1.5"/>
    <n v="68.833333333333329"/>
    <n v="95.6"/>
    <n v="23.125"/>
    <n v="17.350000000000001"/>
    <n v="2.5"/>
    <n v="69.499999999999986"/>
    <n v="96"/>
    <x v="3"/>
    <s v="PM10"/>
  </r>
  <r>
    <x v="220"/>
    <x v="3"/>
    <n v="42.4"/>
    <n v="129"/>
    <n v="44.8"/>
    <n v="3.58"/>
    <n v="18.8"/>
    <n v="1.28"/>
    <x v="33"/>
    <x v="70"/>
    <n v="2.65"/>
    <n v="70.666666666666671"/>
    <n v="129"/>
    <n v="55.999999999999993"/>
    <n v="8.9499999999999993"/>
    <n v="47"/>
    <n v="64"/>
    <n v="129"/>
    <x v="1"/>
    <s v="PM10"/>
  </r>
  <r>
    <x v="220"/>
    <x v="4"/>
    <n v="61"/>
    <n v="150.9"/>
    <n v="17.399999999999999"/>
    <n v="0.5"/>
    <n v="28.4"/>
    <n v="2.0099999999999998"/>
    <x v="252"/>
    <x v="542"/>
    <n v="2.77"/>
    <n v="101.6666666666667"/>
    <n v="150.9"/>
    <n v="21.75"/>
    <n v="1.25"/>
    <n v="71"/>
    <n v="100.5"/>
    <n v="151"/>
    <x v="1"/>
    <s v="PM10"/>
  </r>
  <r>
    <x v="221"/>
    <x v="0"/>
    <n v="6"/>
    <n v="5"/>
    <n v="30.1"/>
    <n v="6.45"/>
    <n v="83.4"/>
    <n v="1.58"/>
    <x v="102"/>
    <x v="379"/>
    <n v="1.35"/>
    <n v="10"/>
    <n v="5"/>
    <n v="37.625"/>
    <n v="16.125"/>
    <n v="208.5"/>
    <n v="79"/>
    <n v="209"/>
    <x v="0"/>
    <s v="O3"/>
  </r>
  <r>
    <x v="221"/>
    <x v="1"/>
    <n v="67.599999999999994"/>
    <n v="161.80000000000001"/>
    <n v="52.8"/>
    <n v="2.83"/>
    <n v="70.3"/>
    <n v="1.46"/>
    <x v="64"/>
    <x v="143"/>
    <n v="3.33"/>
    <n v="112.6666666666667"/>
    <n v="161.80000000000001"/>
    <n v="66"/>
    <n v="7.0750000000000002"/>
    <n v="175.75"/>
    <n v="73"/>
    <n v="176"/>
    <x v="1"/>
    <s v="O3"/>
  </r>
  <r>
    <x v="221"/>
    <x v="2"/>
    <n v="40.299999999999997"/>
    <n v="163.69999999999999"/>
    <n v="41.8"/>
    <n v="4.2300000000000004"/>
    <n v="37.799999999999997"/>
    <n v="0.94"/>
    <x v="33"/>
    <x v="300"/>
    <n v="3.34"/>
    <n v="67.166666666666671"/>
    <n v="163.69999999999999"/>
    <n v="52.25"/>
    <n v="10.574999999999999"/>
    <n v="94.499999999999986"/>
    <n v="47"/>
    <n v="164"/>
    <x v="1"/>
    <s v="PM10"/>
  </r>
  <r>
    <x v="221"/>
    <x v="3"/>
    <n v="68.3"/>
    <n v="125"/>
    <n v="60.2"/>
    <n v="4.2300000000000004"/>
    <n v="81.900000000000006"/>
    <n v="0.53"/>
    <x v="98"/>
    <x v="543"/>
    <n v="1.97"/>
    <n v="113.8333333333333"/>
    <n v="125"/>
    <n v="75.25"/>
    <n v="10.574999999999999"/>
    <n v="204.75"/>
    <n v="26.5"/>
    <n v="205"/>
    <x v="0"/>
    <s v="O3"/>
  </r>
  <r>
    <x v="221"/>
    <x v="4"/>
    <n v="39.5"/>
    <n v="133.4"/>
    <n v="43.9"/>
    <n v="1.79"/>
    <n v="33.200000000000003"/>
    <n v="0.86"/>
    <x v="3"/>
    <x v="123"/>
    <n v="2.08"/>
    <n v="65.833333333333329"/>
    <n v="133.4"/>
    <n v="54.875"/>
    <n v="4.4749999999999996"/>
    <n v="83"/>
    <n v="43"/>
    <n v="133"/>
    <x v="1"/>
    <s v="PM10"/>
  </r>
  <r>
    <x v="222"/>
    <x v="0"/>
    <n v="94.8"/>
    <n v="121"/>
    <n v="53.6"/>
    <n v="0.5"/>
    <n v="80.3"/>
    <n v="1.82"/>
    <x v="302"/>
    <x v="128"/>
    <n v="3.09"/>
    <n v="158"/>
    <n v="121"/>
    <n v="67"/>
    <n v="1.25"/>
    <n v="200.75"/>
    <n v="91"/>
    <n v="201"/>
    <x v="0"/>
    <s v="O3"/>
  </r>
  <r>
    <x v="222"/>
    <x v="1"/>
    <n v="79.3"/>
    <n v="79.3"/>
    <n v="38.9"/>
    <n v="5.01"/>
    <n v="53.5"/>
    <n v="1.92"/>
    <x v="230"/>
    <x v="436"/>
    <n v="1.56"/>
    <n v="132.16666666666671"/>
    <n v="79.3"/>
    <n v="48.625"/>
    <n v="12.525"/>
    <n v="133.75"/>
    <n v="96"/>
    <n v="134"/>
    <x v="1"/>
    <s v="O3"/>
  </r>
  <r>
    <x v="222"/>
    <x v="2"/>
    <n v="26.3"/>
    <n v="128.5"/>
    <n v="48.2"/>
    <n v="9.32"/>
    <n v="6.7"/>
    <n v="0.7"/>
    <x v="253"/>
    <x v="517"/>
    <n v="1.21"/>
    <n v="43.833333333333343"/>
    <n v="128.5"/>
    <n v="60.250000000000007"/>
    <n v="23.3"/>
    <n v="16.75"/>
    <n v="34.999999999999993"/>
    <n v="128"/>
    <x v="1"/>
    <s v="PM10"/>
  </r>
  <r>
    <x v="222"/>
    <x v="3"/>
    <n v="59"/>
    <n v="61.7"/>
    <n v="64.7"/>
    <n v="12.58"/>
    <n v="55.1"/>
    <n v="1.61"/>
    <x v="275"/>
    <x v="0"/>
    <n v="4.2699999999999996"/>
    <n v="98.333333333333329"/>
    <n v="61.7"/>
    <n v="80.875"/>
    <n v="31.45"/>
    <n v="137.75"/>
    <n v="80.5"/>
    <n v="138"/>
    <x v="1"/>
    <s v="O3"/>
  </r>
  <r>
    <x v="222"/>
    <x v="4"/>
    <n v="59.3"/>
    <n v="92.1"/>
    <n v="9.6"/>
    <n v="6.67"/>
    <n v="66.599999999999994"/>
    <n v="1.56"/>
    <x v="171"/>
    <x v="268"/>
    <n v="0.63"/>
    <n v="98.833333333333329"/>
    <n v="92.1"/>
    <n v="12"/>
    <n v="16.675000000000001"/>
    <n v="166.5"/>
    <n v="78"/>
    <n v="166"/>
    <x v="1"/>
    <s v="O3"/>
  </r>
  <r>
    <x v="223"/>
    <x v="0"/>
    <n v="41.5"/>
    <n v="93.6"/>
    <n v="35.6"/>
    <n v="10.210000000000001"/>
    <n v="103.1"/>
    <n v="1.17"/>
    <x v="96"/>
    <x v="255"/>
    <n v="2.65"/>
    <n v="69.166666666666671"/>
    <n v="93.6"/>
    <n v="44.500000000000007"/>
    <n v="25.524999999999999"/>
    <n v="257.75"/>
    <n v="58.5"/>
    <n v="258"/>
    <x v="0"/>
    <s v="O3"/>
  </r>
  <r>
    <x v="223"/>
    <x v="1"/>
    <n v="35.200000000000003"/>
    <n v="127.2"/>
    <n v="54"/>
    <n v="9.0500000000000007"/>
    <n v="64.3"/>
    <n v="1.46"/>
    <x v="3"/>
    <x v="106"/>
    <n v="1.69"/>
    <n v="58.666666666666671"/>
    <n v="127.2"/>
    <n v="67.5"/>
    <n v="22.625"/>
    <n v="160.75"/>
    <n v="73"/>
    <n v="161"/>
    <x v="1"/>
    <s v="O3"/>
  </r>
  <r>
    <x v="223"/>
    <x v="2"/>
    <n v="20.6"/>
    <n v="40.799999999999997"/>
    <n v="40.799999999999997"/>
    <n v="5.23"/>
    <n v="1"/>
    <n v="1.1299999999999999"/>
    <x v="180"/>
    <x v="136"/>
    <n v="2.79"/>
    <n v="34.333333333333343"/>
    <n v="40.799999999999997"/>
    <n v="51"/>
    <n v="13.074999999999999"/>
    <n v="2.5"/>
    <n v="56.499999999999993"/>
    <n v="56"/>
    <x v="3"/>
    <s v="CO"/>
  </r>
  <r>
    <x v="223"/>
    <x v="3"/>
    <n v="69.3"/>
    <n v="181.5"/>
    <n v="14.2"/>
    <n v="6.19"/>
    <n v="33.1"/>
    <n v="1.17"/>
    <x v="111"/>
    <x v="544"/>
    <n v="1.97"/>
    <n v="115.5"/>
    <n v="181.5"/>
    <n v="17.75"/>
    <n v="15.475"/>
    <n v="82.75"/>
    <n v="58.5"/>
    <n v="182"/>
    <x v="1"/>
    <s v="PM10"/>
  </r>
  <r>
    <x v="223"/>
    <x v="4"/>
    <n v="23.3"/>
    <n v="157.80000000000001"/>
    <n v="47.7"/>
    <n v="11.08"/>
    <n v="35.5"/>
    <n v="0.71"/>
    <x v="64"/>
    <x v="7"/>
    <n v="1.75"/>
    <n v="38.833333333333343"/>
    <n v="157.80000000000001"/>
    <n v="59.625000000000007"/>
    <n v="27.7"/>
    <n v="88.75"/>
    <n v="35.5"/>
    <n v="158"/>
    <x v="1"/>
    <s v="PM10"/>
  </r>
  <r>
    <x v="224"/>
    <x v="0"/>
    <n v="106.2"/>
    <n v="38.200000000000003"/>
    <n v="46.4"/>
    <n v="14.57"/>
    <n v="63.2"/>
    <n v="1.2"/>
    <x v="156"/>
    <x v="223"/>
    <n v="3.42"/>
    <n v="177"/>
    <n v="38.200000000000003"/>
    <n v="57.999999999999993"/>
    <n v="36.424999999999997"/>
    <n v="158"/>
    <n v="60"/>
    <n v="177"/>
    <x v="1"/>
    <s v="PM2.5"/>
  </r>
  <r>
    <x v="224"/>
    <x v="1"/>
    <n v="105.2"/>
    <n v="93.7"/>
    <n v="22.2"/>
    <n v="0.5"/>
    <n v="19.399999999999999"/>
    <n v="1.1299999999999999"/>
    <x v="272"/>
    <x v="254"/>
    <n v="2.87"/>
    <n v="175.33333333333329"/>
    <n v="93.7"/>
    <n v="27.75"/>
    <n v="1.25"/>
    <n v="48.499999999999993"/>
    <n v="56.499999999999993"/>
    <n v="175"/>
    <x v="1"/>
    <s v="PM2.5"/>
  </r>
  <r>
    <x v="224"/>
    <x v="2"/>
    <n v="36.5"/>
    <n v="64.599999999999994"/>
    <n v="55.6"/>
    <n v="6.84"/>
    <n v="1"/>
    <n v="0.6"/>
    <x v="183"/>
    <x v="180"/>
    <n v="3.18"/>
    <n v="60.833333333333343"/>
    <n v="64.599999999999994"/>
    <n v="69.5"/>
    <n v="17.100000000000001"/>
    <n v="2.5"/>
    <n v="30"/>
    <n v="70"/>
    <x v="3"/>
    <s v="NO2"/>
  </r>
  <r>
    <x v="224"/>
    <x v="3"/>
    <n v="45.4"/>
    <n v="92.3"/>
    <n v="57"/>
    <n v="3.61"/>
    <n v="86.6"/>
    <n v="0.64"/>
    <x v="169"/>
    <x v="413"/>
    <n v="2.65"/>
    <n v="75.666666666666657"/>
    <n v="92.3"/>
    <n v="71.25"/>
    <n v="9.0250000000000004"/>
    <n v="216.5"/>
    <n v="32"/>
    <n v="216"/>
    <x v="0"/>
    <s v="O3"/>
  </r>
  <r>
    <x v="224"/>
    <x v="4"/>
    <n v="64.5"/>
    <n v="128.5"/>
    <n v="26.3"/>
    <n v="2.1"/>
    <n v="112.8"/>
    <n v="0.8"/>
    <x v="170"/>
    <x v="15"/>
    <n v="2.66"/>
    <n v="107.5"/>
    <n v="128.5"/>
    <n v="32.875"/>
    <n v="5.25"/>
    <n v="282"/>
    <n v="40"/>
    <n v="282"/>
    <x v="0"/>
    <s v="O3"/>
  </r>
  <r>
    <x v="225"/>
    <x v="0"/>
    <n v="51.7"/>
    <n v="136.5"/>
    <n v="2"/>
    <n v="8.1199999999999992"/>
    <n v="12.9"/>
    <n v="1.28"/>
    <x v="251"/>
    <x v="271"/>
    <n v="2.17"/>
    <n v="86.166666666666671"/>
    <n v="136.5"/>
    <n v="2.5"/>
    <n v="20.3"/>
    <n v="32.25"/>
    <n v="64"/>
    <n v="136"/>
    <x v="1"/>
    <s v="PM10"/>
  </r>
  <r>
    <x v="225"/>
    <x v="1"/>
    <n v="28.4"/>
    <n v="91.5"/>
    <n v="21.1"/>
    <n v="0.5"/>
    <n v="81.8"/>
    <n v="0.42"/>
    <x v="208"/>
    <x v="142"/>
    <n v="1.76"/>
    <n v="47.333333333333329"/>
    <n v="91.5"/>
    <n v="26.375"/>
    <n v="1.25"/>
    <n v="204.5"/>
    <n v="21"/>
    <n v="204"/>
    <x v="0"/>
    <s v="O3"/>
  </r>
  <r>
    <x v="225"/>
    <x v="2"/>
    <n v="26.8"/>
    <n v="101.5"/>
    <n v="51.2"/>
    <n v="1.64"/>
    <n v="34.4"/>
    <n v="0.12"/>
    <x v="105"/>
    <x v="528"/>
    <n v="1.47"/>
    <n v="44.666666666666657"/>
    <n v="101.5"/>
    <n v="64"/>
    <n v="4.0999999999999996"/>
    <n v="86"/>
    <n v="6"/>
    <n v="102"/>
    <x v="1"/>
    <s v="PM10"/>
  </r>
  <r>
    <x v="225"/>
    <x v="3"/>
    <n v="37"/>
    <n v="28.4"/>
    <n v="37.200000000000003"/>
    <n v="10.62"/>
    <n v="12.6"/>
    <n v="0.66"/>
    <x v="171"/>
    <x v="494"/>
    <n v="0.71"/>
    <n v="61.666666666666671"/>
    <n v="28.4"/>
    <n v="46.500000000000007"/>
    <n v="26.55"/>
    <n v="31.5"/>
    <n v="33"/>
    <n v="62"/>
    <x v="3"/>
    <s v="PM2.5"/>
  </r>
  <r>
    <x v="225"/>
    <x v="4"/>
    <n v="48.3"/>
    <n v="120.5"/>
    <n v="37.799999999999997"/>
    <n v="0.5"/>
    <n v="57.8"/>
    <n v="1.86"/>
    <x v="31"/>
    <x v="49"/>
    <n v="2.38"/>
    <n v="80.5"/>
    <n v="120.5"/>
    <n v="47.249999999999993"/>
    <n v="1.25"/>
    <n v="144.5"/>
    <n v="93"/>
    <n v="144"/>
    <x v="1"/>
    <s v="O3"/>
  </r>
  <r>
    <x v="226"/>
    <x v="0"/>
    <n v="104"/>
    <n v="160.6"/>
    <n v="53.2"/>
    <n v="9"/>
    <n v="27"/>
    <n v="0.99"/>
    <x v="83"/>
    <x v="364"/>
    <n v="4.3099999999999996"/>
    <n v="173.33333333333329"/>
    <n v="160.6"/>
    <n v="66.5"/>
    <n v="22.5"/>
    <n v="67.5"/>
    <n v="49.5"/>
    <n v="173"/>
    <x v="1"/>
    <s v="PM2.5"/>
  </r>
  <r>
    <x v="226"/>
    <x v="1"/>
    <n v="93.6"/>
    <n v="34.799999999999997"/>
    <n v="49.5"/>
    <n v="11.68"/>
    <n v="69.3"/>
    <n v="0.82"/>
    <x v="314"/>
    <x v="545"/>
    <n v="1.2"/>
    <n v="156"/>
    <n v="34.799999999999997"/>
    <n v="61.875"/>
    <n v="29.2"/>
    <n v="173.25"/>
    <n v="40.999999999999993"/>
    <n v="173"/>
    <x v="1"/>
    <s v="O3"/>
  </r>
  <r>
    <x v="226"/>
    <x v="2"/>
    <n v="50.9"/>
    <n v="187.7"/>
    <n v="21.5"/>
    <n v="5.07"/>
    <n v="63.6"/>
    <n v="0.9"/>
    <x v="20"/>
    <x v="513"/>
    <n v="2.83"/>
    <n v="84.833333333333329"/>
    <n v="187.7"/>
    <n v="26.875"/>
    <n v="12.675000000000001"/>
    <n v="159"/>
    <n v="45"/>
    <n v="188"/>
    <x v="1"/>
    <s v="PM10"/>
  </r>
  <r>
    <x v="226"/>
    <x v="3"/>
    <n v="72.7"/>
    <n v="158"/>
    <n v="40.9"/>
    <n v="7.57"/>
    <n v="45.4"/>
    <n v="1.19"/>
    <x v="276"/>
    <x v="245"/>
    <n v="3.94"/>
    <n v="121.1666666666667"/>
    <n v="158"/>
    <n v="51.125"/>
    <n v="18.925000000000001"/>
    <n v="113.5"/>
    <n v="59.5"/>
    <n v="158"/>
    <x v="1"/>
    <s v="PM10"/>
  </r>
  <r>
    <x v="226"/>
    <x v="4"/>
    <n v="92.8"/>
    <n v="26"/>
    <n v="39.799999999999997"/>
    <n v="4.01"/>
    <n v="35.4"/>
    <n v="1.27"/>
    <x v="211"/>
    <x v="309"/>
    <n v="0.7"/>
    <n v="154.66666666666671"/>
    <n v="26"/>
    <n v="49.749999999999993"/>
    <n v="10.025"/>
    <n v="88.5"/>
    <n v="63.5"/>
    <n v="155"/>
    <x v="1"/>
    <s v="PM2.5"/>
  </r>
  <r>
    <x v="227"/>
    <x v="0"/>
    <n v="28.6"/>
    <n v="159.9"/>
    <n v="2"/>
    <n v="12.82"/>
    <n v="61"/>
    <n v="1.83"/>
    <x v="68"/>
    <x v="546"/>
    <n v="3.02"/>
    <n v="47.666666666666671"/>
    <n v="159.9"/>
    <n v="2.5"/>
    <n v="32.049999999999997"/>
    <n v="152.5"/>
    <n v="91.5"/>
    <n v="160"/>
    <x v="1"/>
    <s v="PM10"/>
  </r>
  <r>
    <x v="227"/>
    <x v="1"/>
    <n v="98.2"/>
    <n v="175.5"/>
    <n v="31.7"/>
    <n v="8.43"/>
    <n v="33.299999999999997"/>
    <n v="0.71"/>
    <x v="229"/>
    <x v="547"/>
    <n v="1.43"/>
    <n v="163.66666666666671"/>
    <n v="175.5"/>
    <n v="39.625"/>
    <n v="21.074999999999999"/>
    <n v="83.249999999999986"/>
    <n v="35.5"/>
    <n v="176"/>
    <x v="1"/>
    <s v="PM10"/>
  </r>
  <r>
    <x v="227"/>
    <x v="2"/>
    <n v="20.399999999999999"/>
    <n v="23.2"/>
    <n v="36.4"/>
    <n v="10.49"/>
    <n v="33.6"/>
    <n v="0.23"/>
    <x v="236"/>
    <x v="447"/>
    <n v="1.72"/>
    <n v="33.999999999999993"/>
    <n v="23.2"/>
    <n v="45.5"/>
    <n v="26.225000000000001"/>
    <n v="84"/>
    <n v="11.5"/>
    <n v="84"/>
    <x v="3"/>
    <s v="O3"/>
  </r>
  <r>
    <x v="227"/>
    <x v="3"/>
    <n v="36.5"/>
    <n v="120.8"/>
    <n v="61.9"/>
    <n v="4.32"/>
    <n v="6.7"/>
    <n v="1.26"/>
    <x v="139"/>
    <x v="213"/>
    <n v="1.83"/>
    <n v="60.833333333333343"/>
    <n v="120.8"/>
    <n v="77.375"/>
    <n v="10.8"/>
    <n v="16.75"/>
    <n v="63"/>
    <n v="121"/>
    <x v="1"/>
    <s v="PM10"/>
  </r>
  <r>
    <x v="227"/>
    <x v="4"/>
    <n v="79.099999999999994"/>
    <n v="133.5"/>
    <n v="26.1"/>
    <n v="7.26"/>
    <n v="6.8"/>
    <n v="1.42"/>
    <x v="137"/>
    <x v="452"/>
    <n v="2.96"/>
    <n v="131.83333333333329"/>
    <n v="133.5"/>
    <n v="32.625"/>
    <n v="18.149999999999999"/>
    <n v="17"/>
    <n v="71"/>
    <n v="134"/>
    <x v="1"/>
    <s v="PM10"/>
  </r>
  <r>
    <x v="228"/>
    <x v="0"/>
    <n v="56.3"/>
    <n v="159.80000000000001"/>
    <n v="52.3"/>
    <n v="6.64"/>
    <n v="68"/>
    <n v="1.33"/>
    <x v="81"/>
    <x v="422"/>
    <n v="2.3199999999999998"/>
    <n v="93.833333333333329"/>
    <n v="159.80000000000001"/>
    <n v="65.375"/>
    <n v="16.600000000000001"/>
    <n v="170"/>
    <n v="66.5"/>
    <n v="170"/>
    <x v="1"/>
    <s v="O3"/>
  </r>
  <r>
    <x v="228"/>
    <x v="1"/>
    <n v="75.2"/>
    <n v="98"/>
    <n v="37.200000000000003"/>
    <n v="17.84"/>
    <n v="79.400000000000006"/>
    <n v="0.74"/>
    <x v="191"/>
    <x v="462"/>
    <n v="2.97"/>
    <n v="125.3333333333333"/>
    <n v="98"/>
    <n v="46.500000000000007"/>
    <n v="44.6"/>
    <n v="198.5"/>
    <n v="37"/>
    <n v="198"/>
    <x v="1"/>
    <s v="O3"/>
  </r>
  <r>
    <x v="228"/>
    <x v="2"/>
    <n v="48.7"/>
    <n v="145.4"/>
    <n v="39.5"/>
    <n v="5.84"/>
    <n v="62.8"/>
    <n v="1.02"/>
    <x v="108"/>
    <x v="356"/>
    <n v="2.39"/>
    <n v="81.166666666666671"/>
    <n v="145.4"/>
    <n v="49.375"/>
    <n v="14.6"/>
    <n v="157"/>
    <n v="51.000000000000007"/>
    <n v="157"/>
    <x v="1"/>
    <s v="O3"/>
  </r>
  <r>
    <x v="228"/>
    <x v="3"/>
    <n v="48.2"/>
    <n v="67.8"/>
    <n v="24"/>
    <n v="2.41"/>
    <n v="5.2"/>
    <n v="0.54"/>
    <x v="104"/>
    <x v="382"/>
    <n v="2.17"/>
    <n v="80.333333333333343"/>
    <n v="67.8"/>
    <n v="30"/>
    <n v="6.0250000000000004"/>
    <n v="13"/>
    <n v="27"/>
    <n v="80"/>
    <x v="3"/>
    <s v="PM2.5"/>
  </r>
  <r>
    <x v="228"/>
    <x v="4"/>
    <n v="2"/>
    <n v="188.7"/>
    <n v="58.7"/>
    <n v="9"/>
    <n v="96.5"/>
    <n v="0.54"/>
    <x v="203"/>
    <x v="265"/>
    <n v="3.29"/>
    <n v="3.333333333333333"/>
    <n v="188.7"/>
    <n v="73.375000000000014"/>
    <n v="22.5"/>
    <n v="241.25"/>
    <n v="27"/>
    <n v="241"/>
    <x v="0"/>
    <s v="O3"/>
  </r>
  <r>
    <x v="229"/>
    <x v="0"/>
    <n v="20"/>
    <n v="111.2"/>
    <n v="48.5"/>
    <n v="6.65"/>
    <n v="66.5"/>
    <n v="1.1599999999999999"/>
    <x v="120"/>
    <x v="145"/>
    <n v="3.47"/>
    <n v="33.333333333333343"/>
    <n v="111.2"/>
    <n v="60.625"/>
    <n v="16.625"/>
    <n v="166.25"/>
    <n v="57.999999999999993"/>
    <n v="166"/>
    <x v="1"/>
    <s v="O3"/>
  </r>
  <r>
    <x v="229"/>
    <x v="1"/>
    <n v="40.4"/>
    <n v="174.9"/>
    <n v="69.5"/>
    <n v="0.5"/>
    <n v="85.4"/>
    <n v="2.44"/>
    <x v="157"/>
    <x v="239"/>
    <n v="3.74"/>
    <n v="67.333333333333329"/>
    <n v="174.9"/>
    <n v="86.875"/>
    <n v="1.25"/>
    <n v="213.5"/>
    <n v="122"/>
    <n v="214"/>
    <x v="0"/>
    <s v="O3"/>
  </r>
  <r>
    <x v="229"/>
    <x v="2"/>
    <n v="39.299999999999997"/>
    <n v="99.5"/>
    <n v="14.2"/>
    <n v="6.61"/>
    <n v="49.8"/>
    <n v="1.1499999999999999"/>
    <x v="152"/>
    <x v="186"/>
    <n v="1.86"/>
    <n v="65.499999999999986"/>
    <n v="99.5"/>
    <n v="17.75"/>
    <n v="16.524999999999999"/>
    <n v="124.5"/>
    <n v="57.499999999999993"/>
    <n v="124"/>
    <x v="1"/>
    <s v="O3"/>
  </r>
  <r>
    <x v="229"/>
    <x v="3"/>
    <n v="93.5"/>
    <n v="88.8"/>
    <n v="39.200000000000003"/>
    <n v="6.13"/>
    <n v="19.5"/>
    <n v="1.74"/>
    <x v="120"/>
    <x v="461"/>
    <n v="1.96"/>
    <n v="155.83333333333329"/>
    <n v="88.8"/>
    <n v="49"/>
    <n v="15.324999999999999"/>
    <n v="48.75"/>
    <n v="87"/>
    <n v="156"/>
    <x v="1"/>
    <s v="PM2.5"/>
  </r>
  <r>
    <x v="229"/>
    <x v="4"/>
    <n v="2"/>
    <n v="71.2"/>
    <n v="22.6"/>
    <n v="9.76"/>
    <n v="25.5"/>
    <n v="1.52"/>
    <x v="258"/>
    <x v="458"/>
    <n v="2.74"/>
    <n v="3.333333333333333"/>
    <n v="71.2"/>
    <n v="28.25"/>
    <n v="24.4"/>
    <n v="63.75"/>
    <n v="76"/>
    <n v="76"/>
    <x v="3"/>
    <s v="CO"/>
  </r>
  <r>
    <x v="230"/>
    <x v="0"/>
    <n v="59.1"/>
    <n v="26.2"/>
    <n v="38.9"/>
    <n v="3.4"/>
    <n v="66"/>
    <n v="2.52"/>
    <x v="171"/>
    <x v="8"/>
    <n v="2.0699999999999998"/>
    <n v="98.5"/>
    <n v="26.2"/>
    <n v="48.625"/>
    <n v="8.5"/>
    <n v="165"/>
    <n v="126"/>
    <n v="165"/>
    <x v="1"/>
    <s v="O3"/>
  </r>
  <r>
    <x v="230"/>
    <x v="1"/>
    <n v="63.7"/>
    <n v="125.2"/>
    <n v="30.4"/>
    <n v="9.23"/>
    <n v="11.2"/>
    <n v="0.63"/>
    <x v="296"/>
    <x v="153"/>
    <n v="3.15"/>
    <n v="106.1666666666667"/>
    <n v="125.2"/>
    <n v="38"/>
    <n v="23.074999999999999"/>
    <n v="28"/>
    <n v="31.5"/>
    <n v="125"/>
    <x v="1"/>
    <s v="PM10"/>
  </r>
  <r>
    <x v="230"/>
    <x v="2"/>
    <n v="14.4"/>
    <n v="171.7"/>
    <n v="22.4"/>
    <n v="5.23"/>
    <n v="45.9"/>
    <n v="0.65"/>
    <x v="185"/>
    <x v="491"/>
    <n v="3.65"/>
    <n v="24"/>
    <n v="171.7"/>
    <n v="28"/>
    <n v="13.074999999999999"/>
    <n v="114.75"/>
    <n v="32.5"/>
    <n v="172"/>
    <x v="1"/>
    <s v="PM10"/>
  </r>
  <r>
    <x v="230"/>
    <x v="3"/>
    <n v="67"/>
    <n v="87.8"/>
    <n v="33.700000000000003"/>
    <n v="15.8"/>
    <n v="63.7"/>
    <n v="0.52"/>
    <x v="109"/>
    <x v="279"/>
    <n v="2.34"/>
    <n v="111.6666666666667"/>
    <n v="87.8"/>
    <n v="42.125"/>
    <n v="39.5"/>
    <n v="159.25"/>
    <n v="26"/>
    <n v="159"/>
    <x v="1"/>
    <s v="O3"/>
  </r>
  <r>
    <x v="230"/>
    <x v="4"/>
    <n v="20.3"/>
    <n v="83.9"/>
    <n v="71.5"/>
    <n v="9.59"/>
    <n v="1"/>
    <n v="1.7"/>
    <x v="86"/>
    <x v="76"/>
    <n v="3.86"/>
    <n v="33.833333333333343"/>
    <n v="83.9"/>
    <n v="89.375"/>
    <n v="23.975000000000001"/>
    <n v="2.5"/>
    <n v="84.999999999999986"/>
    <n v="89"/>
    <x v="3"/>
    <s v="NO2"/>
  </r>
  <r>
    <x v="231"/>
    <x v="0"/>
    <n v="31.5"/>
    <n v="84.4"/>
    <n v="69"/>
    <n v="6.11"/>
    <n v="1"/>
    <n v="1.07"/>
    <x v="56"/>
    <x v="548"/>
    <n v="2.52"/>
    <n v="52.5"/>
    <n v="84.4"/>
    <n v="86.25"/>
    <n v="15.275"/>
    <n v="2.5"/>
    <n v="53.500000000000007"/>
    <n v="86"/>
    <x v="3"/>
    <s v="NO2"/>
  </r>
  <r>
    <x v="231"/>
    <x v="1"/>
    <n v="47.4"/>
    <n v="182.7"/>
    <n v="47.4"/>
    <n v="4.25"/>
    <n v="86.1"/>
    <n v="1.32"/>
    <x v="213"/>
    <x v="161"/>
    <n v="1.22"/>
    <n v="79"/>
    <n v="182.7"/>
    <n v="59.25"/>
    <n v="10.625"/>
    <n v="215.25"/>
    <n v="66"/>
    <n v="215"/>
    <x v="0"/>
    <s v="O3"/>
  </r>
  <r>
    <x v="231"/>
    <x v="2"/>
    <n v="33.6"/>
    <n v="91.4"/>
    <n v="31.2"/>
    <n v="10.92"/>
    <n v="43.2"/>
    <n v="1.3"/>
    <x v="123"/>
    <x v="469"/>
    <n v="2.98"/>
    <n v="56"/>
    <n v="91.4"/>
    <n v="39"/>
    <n v="27.3"/>
    <n v="108"/>
    <n v="65"/>
    <n v="108"/>
    <x v="1"/>
    <s v="O3"/>
  </r>
  <r>
    <x v="231"/>
    <x v="3"/>
    <n v="48.3"/>
    <n v="95.4"/>
    <n v="20.7"/>
    <n v="8.43"/>
    <n v="39"/>
    <n v="0.72"/>
    <x v="315"/>
    <x v="101"/>
    <n v="1.99"/>
    <n v="80.5"/>
    <n v="95.4"/>
    <n v="25.875"/>
    <n v="21.074999999999999"/>
    <n v="97.5"/>
    <n v="36"/>
    <n v="98"/>
    <x v="3"/>
    <s v="O3"/>
  </r>
  <r>
    <x v="231"/>
    <x v="4"/>
    <n v="79.900000000000006"/>
    <n v="122.3"/>
    <n v="38.799999999999997"/>
    <n v="8.14"/>
    <n v="48.9"/>
    <n v="0.26"/>
    <x v="260"/>
    <x v="549"/>
    <n v="2.21"/>
    <n v="133.16666666666671"/>
    <n v="122.3"/>
    <n v="48.499999999999993"/>
    <n v="20.350000000000001"/>
    <n v="122.25"/>
    <n v="13"/>
    <n v="133"/>
    <x v="1"/>
    <s v="PM2.5"/>
  </r>
  <r>
    <x v="232"/>
    <x v="0"/>
    <n v="46.4"/>
    <n v="80.5"/>
    <n v="39.799999999999997"/>
    <n v="4.68"/>
    <n v="60"/>
    <n v="1.21"/>
    <x v="126"/>
    <x v="396"/>
    <n v="2.09"/>
    <n v="77.333333333333343"/>
    <n v="80.5"/>
    <n v="49.749999999999993"/>
    <n v="11.7"/>
    <n v="150"/>
    <n v="60.5"/>
    <n v="150"/>
    <x v="1"/>
    <s v="O3"/>
  </r>
  <r>
    <x v="232"/>
    <x v="1"/>
    <n v="53.2"/>
    <n v="147.30000000000001"/>
    <n v="29.1"/>
    <n v="12.58"/>
    <n v="87.1"/>
    <n v="0.61"/>
    <x v="36"/>
    <x v="148"/>
    <n v="5.66"/>
    <n v="88.666666666666671"/>
    <n v="147.30000000000001"/>
    <n v="36.375000000000007"/>
    <n v="31.45"/>
    <n v="217.75"/>
    <n v="30.5"/>
    <n v="218"/>
    <x v="0"/>
    <s v="O3"/>
  </r>
  <r>
    <x v="232"/>
    <x v="2"/>
    <n v="35.799999999999997"/>
    <n v="167.7"/>
    <n v="14.9"/>
    <n v="2.3199999999999998"/>
    <n v="21.7"/>
    <n v="0.53"/>
    <x v="25"/>
    <x v="71"/>
    <n v="1.52"/>
    <n v="59.666666666666657"/>
    <n v="167.7"/>
    <n v="18.625"/>
    <n v="5.8"/>
    <n v="54.25"/>
    <n v="26.5"/>
    <n v="168"/>
    <x v="1"/>
    <s v="PM10"/>
  </r>
  <r>
    <x v="232"/>
    <x v="3"/>
    <n v="75.8"/>
    <n v="154.69999999999999"/>
    <n v="51.2"/>
    <n v="8.5"/>
    <n v="42.3"/>
    <n v="0.72"/>
    <x v="17"/>
    <x v="7"/>
    <n v="1.0900000000000001"/>
    <n v="126.3333333333333"/>
    <n v="154.69999999999999"/>
    <n v="64"/>
    <n v="21.25"/>
    <n v="105.75"/>
    <n v="36"/>
    <n v="155"/>
    <x v="1"/>
    <s v="PM10"/>
  </r>
  <r>
    <x v="232"/>
    <x v="4"/>
    <n v="26.6"/>
    <n v="166.5"/>
    <n v="73.099999999999994"/>
    <n v="8.77"/>
    <n v="74.400000000000006"/>
    <n v="0.93"/>
    <x v="90"/>
    <x v="242"/>
    <n v="3.68"/>
    <n v="44.333333333333343"/>
    <n v="166.5"/>
    <n v="91.375"/>
    <n v="21.925000000000001"/>
    <n v="186"/>
    <n v="46.5"/>
    <n v="186"/>
    <x v="1"/>
    <s v="O3"/>
  </r>
  <r>
    <x v="233"/>
    <x v="0"/>
    <n v="57.2"/>
    <n v="97"/>
    <n v="59.1"/>
    <n v="2.83"/>
    <n v="23.8"/>
    <n v="0.55000000000000004"/>
    <x v="169"/>
    <x v="237"/>
    <n v="1.68"/>
    <n v="95.333333333333343"/>
    <n v="97"/>
    <n v="73.875"/>
    <n v="7.0750000000000002"/>
    <n v="59.500000000000007"/>
    <n v="27.5"/>
    <n v="97"/>
    <x v="3"/>
    <s v="PM10"/>
  </r>
  <r>
    <x v="233"/>
    <x v="1"/>
    <n v="38.799999999999997"/>
    <n v="104.4"/>
    <n v="15.3"/>
    <n v="8.44"/>
    <n v="89"/>
    <n v="1.28"/>
    <x v="129"/>
    <x v="526"/>
    <n v="3.43"/>
    <n v="64.666666666666657"/>
    <n v="104.4"/>
    <n v="19.125"/>
    <n v="21.1"/>
    <n v="222.5"/>
    <n v="64"/>
    <n v="222"/>
    <x v="0"/>
    <s v="O3"/>
  </r>
  <r>
    <x v="233"/>
    <x v="2"/>
    <n v="47.3"/>
    <n v="92.2"/>
    <n v="45.8"/>
    <n v="4.59"/>
    <n v="1"/>
    <n v="1.1399999999999999"/>
    <x v="54"/>
    <x v="550"/>
    <n v="2.5"/>
    <n v="78.833333333333329"/>
    <n v="92.2"/>
    <n v="57.249999999999993"/>
    <n v="11.475"/>
    <n v="2.5"/>
    <n v="56.999999999999993"/>
    <n v="92"/>
    <x v="3"/>
    <s v="PM10"/>
  </r>
  <r>
    <x v="233"/>
    <x v="3"/>
    <n v="45.7"/>
    <n v="28.2"/>
    <n v="38.6"/>
    <n v="10.26"/>
    <n v="11.8"/>
    <n v="1.57"/>
    <x v="99"/>
    <x v="551"/>
    <n v="2.0099999999999998"/>
    <n v="76.166666666666671"/>
    <n v="28.2"/>
    <n v="48.25"/>
    <n v="25.65"/>
    <n v="29.5"/>
    <n v="78.5"/>
    <n v="78"/>
    <x v="3"/>
    <s v="CO"/>
  </r>
  <r>
    <x v="233"/>
    <x v="4"/>
    <n v="56.6"/>
    <n v="5.7"/>
    <n v="38.5"/>
    <n v="8.0500000000000007"/>
    <n v="41.6"/>
    <n v="0.76"/>
    <x v="154"/>
    <x v="552"/>
    <n v="3.04"/>
    <n v="94.333333333333343"/>
    <n v="5.7"/>
    <n v="48.125"/>
    <n v="20.125"/>
    <n v="104"/>
    <n v="38"/>
    <n v="104"/>
    <x v="1"/>
    <s v="O3"/>
  </r>
  <r>
    <x v="234"/>
    <x v="0"/>
    <n v="97.7"/>
    <n v="81.3"/>
    <n v="33.4"/>
    <n v="11.11"/>
    <n v="1"/>
    <n v="0.43"/>
    <x v="315"/>
    <x v="278"/>
    <n v="0.32"/>
    <n v="162.83333333333329"/>
    <n v="81.3"/>
    <n v="41.749999999999993"/>
    <n v="27.774999999999999"/>
    <n v="2.5"/>
    <n v="21.5"/>
    <n v="163"/>
    <x v="1"/>
    <s v="PM2.5"/>
  </r>
  <r>
    <x v="234"/>
    <x v="1"/>
    <n v="116.1"/>
    <n v="36.4"/>
    <n v="48.7"/>
    <n v="8.35"/>
    <n v="1"/>
    <n v="1.04"/>
    <x v="146"/>
    <x v="553"/>
    <n v="3.58"/>
    <n v="193.5"/>
    <n v="36.4"/>
    <n v="60.875000000000007"/>
    <n v="20.875"/>
    <n v="2.5"/>
    <n v="52.000000000000007"/>
    <n v="193"/>
    <x v="1"/>
    <s v="PM2.5"/>
  </r>
  <r>
    <x v="234"/>
    <x v="2"/>
    <n v="36.799999999999997"/>
    <n v="123.7"/>
    <n v="23.7"/>
    <n v="0.72"/>
    <n v="7.2"/>
    <n v="0.25"/>
    <x v="166"/>
    <x v="397"/>
    <n v="2.83"/>
    <n v="61.333333333333329"/>
    <n v="123.7"/>
    <n v="29.625"/>
    <n v="1.8"/>
    <n v="18"/>
    <n v="12.5"/>
    <n v="124"/>
    <x v="1"/>
    <s v="PM10"/>
  </r>
  <r>
    <x v="234"/>
    <x v="3"/>
    <n v="41.6"/>
    <n v="91.1"/>
    <n v="57.8"/>
    <n v="4.6500000000000004"/>
    <n v="55.3"/>
    <n v="0.98"/>
    <x v="101"/>
    <x v="62"/>
    <n v="0.77"/>
    <n v="69.333333333333329"/>
    <n v="91.1"/>
    <n v="72.25"/>
    <n v="11.625"/>
    <n v="138.25"/>
    <n v="49"/>
    <n v="138"/>
    <x v="1"/>
    <s v="O3"/>
  </r>
  <r>
    <x v="234"/>
    <x v="4"/>
    <n v="86.8"/>
    <n v="140.30000000000001"/>
    <n v="31.2"/>
    <n v="14.21"/>
    <n v="1"/>
    <n v="0.78"/>
    <x v="159"/>
    <x v="403"/>
    <n v="1.66"/>
    <n v="144.66666666666671"/>
    <n v="140.30000000000001"/>
    <n v="39"/>
    <n v="35.524999999999999"/>
    <n v="2.5"/>
    <n v="39"/>
    <n v="145"/>
    <x v="1"/>
    <s v="PM2.5"/>
  </r>
  <r>
    <x v="235"/>
    <x v="0"/>
    <n v="67.2"/>
    <n v="100.1"/>
    <n v="32.6"/>
    <n v="9.15"/>
    <n v="38.299999999999997"/>
    <n v="0.5"/>
    <x v="316"/>
    <x v="59"/>
    <n v="0.2"/>
    <n v="112"/>
    <n v="100.1"/>
    <n v="40.75"/>
    <n v="22.875"/>
    <n v="95.749999999999986"/>
    <n v="25"/>
    <n v="112"/>
    <x v="1"/>
    <s v="PM2.5"/>
  </r>
  <r>
    <x v="235"/>
    <x v="1"/>
    <n v="34.700000000000003"/>
    <n v="44"/>
    <n v="61.5"/>
    <n v="9.61"/>
    <n v="62.5"/>
    <n v="0.98"/>
    <x v="97"/>
    <x v="72"/>
    <n v="2.4"/>
    <n v="57.833333333333343"/>
    <n v="44"/>
    <n v="76.875"/>
    <n v="24.024999999999999"/>
    <n v="156.25"/>
    <n v="49"/>
    <n v="156"/>
    <x v="1"/>
    <s v="O3"/>
  </r>
  <r>
    <x v="235"/>
    <x v="2"/>
    <n v="64.599999999999994"/>
    <n v="106.5"/>
    <n v="41.8"/>
    <n v="7.98"/>
    <n v="59"/>
    <n v="1.04"/>
    <x v="317"/>
    <x v="91"/>
    <n v="1.7"/>
    <n v="107.6666666666667"/>
    <n v="106.5"/>
    <n v="52.25"/>
    <n v="19.95"/>
    <n v="147.5"/>
    <n v="52.000000000000007"/>
    <n v="148"/>
    <x v="1"/>
    <s v="O3"/>
  </r>
  <r>
    <x v="235"/>
    <x v="3"/>
    <n v="27.5"/>
    <n v="39.1"/>
    <n v="38.9"/>
    <n v="0.5"/>
    <n v="51.6"/>
    <n v="0.91"/>
    <x v="161"/>
    <x v="405"/>
    <n v="2.2599999999999998"/>
    <n v="45.833333333333329"/>
    <n v="39.1"/>
    <n v="48.625"/>
    <n v="1.25"/>
    <n v="129"/>
    <n v="45.5"/>
    <n v="129"/>
    <x v="1"/>
    <s v="O3"/>
  </r>
  <r>
    <x v="235"/>
    <x v="4"/>
    <n v="82.4"/>
    <n v="178.6"/>
    <n v="27.6"/>
    <n v="7.84"/>
    <n v="52.1"/>
    <n v="1.25"/>
    <x v="137"/>
    <x v="156"/>
    <n v="0.73"/>
    <n v="137.33333333333329"/>
    <n v="178.6"/>
    <n v="34.5"/>
    <n v="19.600000000000001"/>
    <n v="130.25"/>
    <n v="62.5"/>
    <n v="179"/>
    <x v="1"/>
    <s v="PM10"/>
  </r>
  <r>
    <x v="236"/>
    <x v="0"/>
    <n v="43.6"/>
    <n v="135.1"/>
    <n v="49.8"/>
    <n v="13.58"/>
    <n v="80.400000000000006"/>
    <n v="0.95"/>
    <x v="115"/>
    <x v="554"/>
    <n v="3.62"/>
    <n v="72.666666666666671"/>
    <n v="135.1"/>
    <n v="62.25"/>
    <n v="33.950000000000003"/>
    <n v="201"/>
    <n v="47.5"/>
    <n v="201"/>
    <x v="0"/>
    <s v="O3"/>
  </r>
  <r>
    <x v="236"/>
    <x v="1"/>
    <n v="114.3"/>
    <n v="192.9"/>
    <n v="47.1"/>
    <n v="6.34"/>
    <n v="2.2000000000000002"/>
    <n v="1.39"/>
    <x v="237"/>
    <x v="506"/>
    <n v="1.07"/>
    <n v="190.5"/>
    <n v="192.9"/>
    <n v="58.875000000000007"/>
    <n v="15.85"/>
    <n v="5.5000000000000009"/>
    <n v="69.499999999999986"/>
    <n v="193"/>
    <x v="1"/>
    <s v="PM10"/>
  </r>
  <r>
    <x v="236"/>
    <x v="2"/>
    <n v="35.1"/>
    <n v="89.9"/>
    <n v="38.4"/>
    <n v="3.8"/>
    <n v="63.4"/>
    <n v="0.82"/>
    <x v="175"/>
    <x v="555"/>
    <n v="4.8600000000000003"/>
    <n v="58.5"/>
    <n v="89.9"/>
    <n v="48"/>
    <n v="9.5"/>
    <n v="158.5"/>
    <n v="40.999999999999993"/>
    <n v="158"/>
    <x v="1"/>
    <s v="O3"/>
  </r>
  <r>
    <x v="236"/>
    <x v="3"/>
    <n v="56"/>
    <n v="78.599999999999994"/>
    <n v="11.6"/>
    <n v="5.52"/>
    <n v="45.9"/>
    <n v="0.77"/>
    <x v="306"/>
    <x v="484"/>
    <n v="4.25"/>
    <n v="93.333333333333343"/>
    <n v="78.599999999999994"/>
    <n v="14.5"/>
    <n v="13.8"/>
    <n v="114.75"/>
    <n v="38.5"/>
    <n v="115"/>
    <x v="1"/>
    <s v="O3"/>
  </r>
  <r>
    <x v="236"/>
    <x v="4"/>
    <n v="90.7"/>
    <n v="58.8"/>
    <n v="51.4"/>
    <n v="1.85"/>
    <n v="82.6"/>
    <n v="1.19"/>
    <x v="150"/>
    <x v="470"/>
    <n v="3.81"/>
    <n v="151.16666666666671"/>
    <n v="58.8"/>
    <n v="64.25"/>
    <n v="4.6250000000000009"/>
    <n v="206.5"/>
    <n v="59.5"/>
    <n v="206"/>
    <x v="0"/>
    <s v="O3"/>
  </r>
  <r>
    <x v="237"/>
    <x v="0"/>
    <n v="55"/>
    <n v="157.4"/>
    <n v="58.2"/>
    <n v="7.66"/>
    <n v="28.7"/>
    <n v="1.53"/>
    <x v="16"/>
    <x v="556"/>
    <n v="1.4"/>
    <n v="91.666666666666657"/>
    <n v="157.4"/>
    <n v="72.750000000000014"/>
    <n v="19.149999999999999"/>
    <n v="71.75"/>
    <n v="76.5"/>
    <n v="157"/>
    <x v="1"/>
    <s v="PM10"/>
  </r>
  <r>
    <x v="237"/>
    <x v="1"/>
    <n v="15.7"/>
    <n v="89.4"/>
    <n v="67.099999999999994"/>
    <n v="8.89"/>
    <n v="33.4"/>
    <n v="1.68"/>
    <x v="4"/>
    <x v="173"/>
    <n v="2.2799999999999998"/>
    <n v="26.166666666666661"/>
    <n v="89.4"/>
    <n v="83.874999999999986"/>
    <n v="22.225000000000001"/>
    <n v="83.499999999999986"/>
    <n v="83.999999999999986"/>
    <n v="89"/>
    <x v="3"/>
    <s v="PM10"/>
  </r>
  <r>
    <x v="237"/>
    <x v="2"/>
    <n v="63.4"/>
    <n v="19.3"/>
    <n v="21.3"/>
    <n v="0.5"/>
    <n v="31.8"/>
    <n v="1.46"/>
    <x v="23"/>
    <x v="48"/>
    <n v="3.55"/>
    <n v="105.6666666666667"/>
    <n v="19.3"/>
    <n v="26.625"/>
    <n v="1.25"/>
    <n v="79.5"/>
    <n v="73"/>
    <n v="106"/>
    <x v="1"/>
    <s v="PM2.5"/>
  </r>
  <r>
    <x v="237"/>
    <x v="3"/>
    <n v="73.599999999999994"/>
    <n v="91.7"/>
    <n v="47"/>
    <n v="2.09"/>
    <n v="74.400000000000006"/>
    <n v="1.99"/>
    <x v="118"/>
    <x v="557"/>
    <n v="1.83"/>
    <n v="122.6666666666667"/>
    <n v="91.7"/>
    <n v="58.75"/>
    <n v="5.2249999999999996"/>
    <n v="186"/>
    <n v="99.5"/>
    <n v="186"/>
    <x v="1"/>
    <s v="O3"/>
  </r>
  <r>
    <x v="237"/>
    <x v="4"/>
    <n v="69"/>
    <n v="83.3"/>
    <n v="62"/>
    <n v="9.6300000000000008"/>
    <n v="24.6"/>
    <n v="1.07"/>
    <x v="12"/>
    <x v="6"/>
    <n v="2.33"/>
    <n v="115"/>
    <n v="83.3"/>
    <n v="77.5"/>
    <n v="24.074999999999999"/>
    <n v="61.500000000000007"/>
    <n v="53.500000000000007"/>
    <n v="115"/>
    <x v="1"/>
    <s v="PM2.5"/>
  </r>
  <r>
    <x v="238"/>
    <x v="0"/>
    <n v="87.6"/>
    <n v="227.2"/>
    <n v="15.1"/>
    <n v="0.5"/>
    <n v="39"/>
    <n v="0.27"/>
    <x v="52"/>
    <x v="558"/>
    <n v="4.29"/>
    <n v="146"/>
    <n v="227.2"/>
    <n v="18.875"/>
    <n v="1.25"/>
    <n v="97.5"/>
    <n v="13.5"/>
    <n v="227"/>
    <x v="0"/>
    <s v="PM10"/>
  </r>
  <r>
    <x v="238"/>
    <x v="1"/>
    <n v="66"/>
    <n v="108.4"/>
    <n v="5.4"/>
    <n v="8.1300000000000008"/>
    <n v="52.2"/>
    <n v="1.58"/>
    <x v="40"/>
    <x v="452"/>
    <n v="0.73"/>
    <n v="110"/>
    <n v="108.4"/>
    <n v="6.7500000000000009"/>
    <n v="20.324999999999999"/>
    <n v="130.5"/>
    <n v="79"/>
    <n v="130"/>
    <x v="1"/>
    <s v="O3"/>
  </r>
  <r>
    <x v="238"/>
    <x v="2"/>
    <n v="2"/>
    <n v="40.700000000000003"/>
    <n v="10.3"/>
    <n v="7.36"/>
    <n v="25.7"/>
    <n v="0.67"/>
    <x v="61"/>
    <x v="154"/>
    <n v="4.3099999999999996"/>
    <n v="3.333333333333333"/>
    <n v="40.700000000000003"/>
    <n v="12.875"/>
    <n v="18.399999999999999"/>
    <n v="64.25"/>
    <n v="33.5"/>
    <n v="64"/>
    <x v="3"/>
    <s v="O3"/>
  </r>
  <r>
    <x v="238"/>
    <x v="3"/>
    <n v="24"/>
    <n v="76.2"/>
    <n v="12.7"/>
    <n v="10.29"/>
    <n v="43.6"/>
    <n v="0.56000000000000005"/>
    <x v="9"/>
    <x v="481"/>
    <n v="2.41"/>
    <n v="40"/>
    <n v="76.2"/>
    <n v="15.875"/>
    <n v="25.725000000000001"/>
    <n v="109"/>
    <n v="28"/>
    <n v="109"/>
    <x v="1"/>
    <s v="O3"/>
  </r>
  <r>
    <x v="238"/>
    <x v="4"/>
    <n v="48"/>
    <n v="55.9"/>
    <n v="6.3"/>
    <n v="6.34"/>
    <n v="53"/>
    <n v="1.64"/>
    <x v="292"/>
    <x v="461"/>
    <n v="2.2999999999999998"/>
    <n v="80"/>
    <n v="55.9"/>
    <n v="7.875"/>
    <n v="15.85"/>
    <n v="132.5"/>
    <n v="81.999999999999986"/>
    <n v="132"/>
    <x v="1"/>
    <s v="O3"/>
  </r>
  <r>
    <x v="239"/>
    <x v="0"/>
    <n v="55.1"/>
    <n v="102.4"/>
    <n v="39.200000000000003"/>
    <n v="9.24"/>
    <n v="20"/>
    <n v="1.62"/>
    <x v="145"/>
    <x v="121"/>
    <n v="4.42"/>
    <n v="91.833333333333343"/>
    <n v="102.4"/>
    <n v="49"/>
    <n v="23.1"/>
    <n v="50"/>
    <n v="81"/>
    <n v="102"/>
    <x v="1"/>
    <s v="PM10"/>
  </r>
  <r>
    <x v="239"/>
    <x v="1"/>
    <n v="106.7"/>
    <n v="176"/>
    <n v="2"/>
    <n v="15.89"/>
    <n v="74.8"/>
    <n v="2.4"/>
    <x v="221"/>
    <x v="88"/>
    <n v="3.55"/>
    <n v="177.83333333333329"/>
    <n v="176"/>
    <n v="2.5"/>
    <n v="39.725000000000001"/>
    <n v="187"/>
    <n v="120"/>
    <n v="187"/>
    <x v="1"/>
    <s v="O3"/>
  </r>
  <r>
    <x v="239"/>
    <x v="2"/>
    <n v="76.400000000000006"/>
    <n v="182.1"/>
    <n v="37.5"/>
    <n v="0.5"/>
    <n v="30.7"/>
    <n v="1.0900000000000001"/>
    <x v="275"/>
    <x v="331"/>
    <n v="0.54"/>
    <n v="127.3333333333334"/>
    <n v="182.1"/>
    <n v="46.875"/>
    <n v="1.25"/>
    <n v="76.75"/>
    <n v="54.500000000000007"/>
    <n v="182"/>
    <x v="1"/>
    <s v="PM10"/>
  </r>
  <r>
    <x v="239"/>
    <x v="3"/>
    <n v="30.2"/>
    <n v="134.80000000000001"/>
    <n v="61.3"/>
    <n v="10.07"/>
    <n v="66.400000000000006"/>
    <n v="0.92"/>
    <x v="318"/>
    <x v="478"/>
    <n v="2.19"/>
    <n v="50.333333333333343"/>
    <n v="134.80000000000001"/>
    <n v="76.625"/>
    <n v="25.175000000000001"/>
    <n v="166"/>
    <n v="46"/>
    <n v="166"/>
    <x v="1"/>
    <s v="O3"/>
  </r>
  <r>
    <x v="239"/>
    <x v="4"/>
    <n v="39.700000000000003"/>
    <n v="108.5"/>
    <n v="47.4"/>
    <n v="10.79"/>
    <n v="36.4"/>
    <n v="0.05"/>
    <x v="36"/>
    <x v="25"/>
    <n v="4.47"/>
    <n v="66.166666666666671"/>
    <n v="108.5"/>
    <n v="59.25"/>
    <n v="26.975000000000001"/>
    <n v="91"/>
    <n v="2.5"/>
    <n v="108"/>
    <x v="1"/>
    <s v="PM10"/>
  </r>
  <r>
    <x v="240"/>
    <x v="0"/>
    <n v="39.5"/>
    <n v="138.69999999999999"/>
    <n v="46.7"/>
    <n v="7.56"/>
    <n v="72.8"/>
    <n v="0.74"/>
    <x v="79"/>
    <x v="559"/>
    <n v="1.73"/>
    <n v="65.833333333333329"/>
    <n v="138.69999999999999"/>
    <n v="58.375"/>
    <n v="18.899999999999999"/>
    <n v="182"/>
    <n v="37"/>
    <n v="182"/>
    <x v="1"/>
    <s v="O3"/>
  </r>
  <r>
    <x v="240"/>
    <x v="1"/>
    <n v="75.2"/>
    <n v="77.2"/>
    <n v="49.5"/>
    <n v="7.5"/>
    <n v="56.7"/>
    <n v="0.92"/>
    <x v="260"/>
    <x v="173"/>
    <n v="2.74"/>
    <n v="125.3333333333333"/>
    <n v="77.2"/>
    <n v="61.875"/>
    <n v="18.75"/>
    <n v="141.75"/>
    <n v="46"/>
    <n v="142"/>
    <x v="1"/>
    <s v="O3"/>
  </r>
  <r>
    <x v="240"/>
    <x v="2"/>
    <n v="45.5"/>
    <n v="169"/>
    <n v="19.100000000000001"/>
    <n v="5.84"/>
    <n v="1"/>
    <n v="1.08"/>
    <x v="237"/>
    <x v="140"/>
    <n v="2.0499999999999998"/>
    <n v="75.833333333333343"/>
    <n v="169"/>
    <n v="23.875"/>
    <n v="14.6"/>
    <n v="2.5"/>
    <n v="54.000000000000007"/>
    <n v="169"/>
    <x v="1"/>
    <s v="PM10"/>
  </r>
  <r>
    <x v="240"/>
    <x v="3"/>
    <n v="54.7"/>
    <n v="69.5"/>
    <n v="26.5"/>
    <n v="12.14"/>
    <n v="47.1"/>
    <n v="0.69"/>
    <x v="137"/>
    <x v="560"/>
    <n v="2.2200000000000002"/>
    <n v="91.166666666666671"/>
    <n v="69.5"/>
    <n v="33.125"/>
    <n v="30.35"/>
    <n v="117.75"/>
    <n v="34.499999999999993"/>
    <n v="118"/>
    <x v="1"/>
    <s v="O3"/>
  </r>
  <r>
    <x v="240"/>
    <x v="4"/>
    <n v="34.6"/>
    <n v="69.400000000000006"/>
    <n v="29.9"/>
    <n v="4.42"/>
    <n v="8.8000000000000007"/>
    <n v="0.46"/>
    <x v="4"/>
    <x v="13"/>
    <n v="2.54"/>
    <n v="57.666666666666671"/>
    <n v="69.400000000000006"/>
    <n v="37.375"/>
    <n v="11.05"/>
    <n v="22"/>
    <n v="23"/>
    <n v="69"/>
    <x v="3"/>
    <s v="PM10"/>
  </r>
  <r>
    <x v="241"/>
    <x v="0"/>
    <n v="49.5"/>
    <n v="180.5"/>
    <n v="65.2"/>
    <n v="6.06"/>
    <n v="27.9"/>
    <n v="0.63"/>
    <x v="173"/>
    <x v="58"/>
    <n v="2.04"/>
    <n v="82.5"/>
    <n v="180.5"/>
    <n v="81.5"/>
    <n v="15.15"/>
    <n v="69.749999999999986"/>
    <n v="31.5"/>
    <n v="180"/>
    <x v="1"/>
    <s v="PM10"/>
  </r>
  <r>
    <x v="241"/>
    <x v="1"/>
    <n v="35.6"/>
    <n v="73.8"/>
    <n v="51.4"/>
    <n v="1.42"/>
    <n v="81.099999999999994"/>
    <n v="0.88"/>
    <x v="53"/>
    <x v="435"/>
    <n v="2.4900000000000002"/>
    <n v="59.333333333333343"/>
    <n v="73.8"/>
    <n v="64.25"/>
    <n v="3.55"/>
    <n v="202.75"/>
    <n v="44"/>
    <n v="203"/>
    <x v="0"/>
    <s v="O3"/>
  </r>
  <r>
    <x v="241"/>
    <x v="2"/>
    <n v="38.1"/>
    <n v="88.9"/>
    <n v="56.6"/>
    <n v="6.76"/>
    <n v="19.100000000000001"/>
    <n v="0.59"/>
    <x v="165"/>
    <x v="561"/>
    <n v="2.84"/>
    <n v="63.5"/>
    <n v="88.9"/>
    <n v="70.750000000000014"/>
    <n v="16.899999999999999"/>
    <n v="47.75"/>
    <n v="29.5"/>
    <n v="89"/>
    <x v="3"/>
    <s v="PM10"/>
  </r>
  <r>
    <x v="241"/>
    <x v="3"/>
    <n v="64.5"/>
    <n v="125.3"/>
    <n v="58.7"/>
    <n v="0.5"/>
    <n v="56.7"/>
    <n v="1.43"/>
    <x v="90"/>
    <x v="21"/>
    <n v="1.48"/>
    <n v="107.5"/>
    <n v="125.3"/>
    <n v="73.375000000000014"/>
    <n v="1.25"/>
    <n v="141.75"/>
    <n v="71.5"/>
    <n v="142"/>
    <x v="1"/>
    <s v="O3"/>
  </r>
  <r>
    <x v="241"/>
    <x v="4"/>
    <n v="33.6"/>
    <n v="80.2"/>
    <n v="43.9"/>
    <n v="10.85"/>
    <n v="73.7"/>
    <n v="0.61"/>
    <x v="60"/>
    <x v="541"/>
    <n v="3.78"/>
    <n v="56"/>
    <n v="80.2"/>
    <n v="54.875"/>
    <n v="27.125"/>
    <n v="184.25"/>
    <n v="30.5"/>
    <n v="184"/>
    <x v="1"/>
    <s v="O3"/>
  </r>
  <r>
    <x v="242"/>
    <x v="0"/>
    <n v="57.5"/>
    <n v="136.5"/>
    <n v="40.9"/>
    <n v="9.77"/>
    <n v="36.299999999999997"/>
    <n v="1.25"/>
    <x v="195"/>
    <x v="225"/>
    <n v="1.69"/>
    <n v="95.833333333333343"/>
    <n v="136.5"/>
    <n v="51.125"/>
    <n v="24.425000000000001"/>
    <n v="90.75"/>
    <n v="62.5"/>
    <n v="136"/>
    <x v="1"/>
    <s v="PM10"/>
  </r>
  <r>
    <x v="242"/>
    <x v="1"/>
    <n v="48.8"/>
    <n v="64.400000000000006"/>
    <n v="34.299999999999997"/>
    <n v="0.5"/>
    <n v="67.099999999999994"/>
    <n v="1.1499999999999999"/>
    <x v="319"/>
    <x v="562"/>
    <n v="2.9"/>
    <n v="81.333333333333329"/>
    <n v="64.400000000000006"/>
    <n v="42.875"/>
    <n v="1.25"/>
    <n v="167.75"/>
    <n v="57.499999999999993"/>
    <n v="168"/>
    <x v="1"/>
    <s v="O3"/>
  </r>
  <r>
    <x v="242"/>
    <x v="2"/>
    <n v="33.200000000000003"/>
    <n v="59.4"/>
    <n v="33.1"/>
    <n v="7.39"/>
    <n v="3.9"/>
    <n v="1.1599999999999999"/>
    <x v="94"/>
    <x v="196"/>
    <n v="2.46"/>
    <n v="55.333333333333343"/>
    <n v="59.4"/>
    <n v="41.375"/>
    <n v="18.475000000000001"/>
    <n v="9.75"/>
    <n v="57.999999999999993"/>
    <n v="59"/>
    <x v="3"/>
    <s v="PM10"/>
  </r>
  <r>
    <x v="242"/>
    <x v="3"/>
    <n v="35.4"/>
    <n v="46.9"/>
    <n v="31.4"/>
    <n v="12.9"/>
    <n v="6"/>
    <n v="1.77"/>
    <x v="137"/>
    <x v="528"/>
    <n v="1.2"/>
    <n v="59"/>
    <n v="46.9"/>
    <n v="39.25"/>
    <n v="32.25"/>
    <n v="15"/>
    <n v="88.5"/>
    <n v="88"/>
    <x v="3"/>
    <s v="CO"/>
  </r>
  <r>
    <x v="242"/>
    <x v="4"/>
    <n v="32.4"/>
    <n v="79"/>
    <n v="21.2"/>
    <n v="6.12"/>
    <n v="32.799999999999997"/>
    <n v="2.0299999999999998"/>
    <x v="89"/>
    <x v="390"/>
    <n v="3.3"/>
    <n v="54"/>
    <n v="79"/>
    <n v="26.5"/>
    <n v="15.3"/>
    <n v="81.999999999999986"/>
    <n v="101.5"/>
    <n v="102"/>
    <x v="1"/>
    <s v="CO"/>
  </r>
  <r>
    <x v="243"/>
    <x v="0"/>
    <n v="25.7"/>
    <n v="148.30000000000001"/>
    <n v="34.1"/>
    <n v="0.5"/>
    <n v="65"/>
    <n v="0.49"/>
    <x v="251"/>
    <x v="204"/>
    <n v="2.08"/>
    <n v="42.833333333333343"/>
    <n v="148.30000000000001"/>
    <n v="42.625"/>
    <n v="1.25"/>
    <n v="162.5"/>
    <n v="24.5"/>
    <n v="162"/>
    <x v="1"/>
    <s v="O3"/>
  </r>
  <r>
    <x v="243"/>
    <x v="1"/>
    <n v="87.5"/>
    <n v="192.6"/>
    <n v="32.1"/>
    <n v="11.97"/>
    <n v="26.4"/>
    <n v="2.54"/>
    <x v="67"/>
    <x v="476"/>
    <n v="3.51"/>
    <n v="145.83333333333329"/>
    <n v="192.6"/>
    <n v="40.125"/>
    <n v="29.925000000000001"/>
    <n v="66"/>
    <n v="127"/>
    <n v="193"/>
    <x v="1"/>
    <s v="PM10"/>
  </r>
  <r>
    <x v="243"/>
    <x v="2"/>
    <n v="52.8"/>
    <n v="60.6"/>
    <n v="31.9"/>
    <n v="0.5"/>
    <n v="43.3"/>
    <n v="1.07"/>
    <x v="108"/>
    <x v="154"/>
    <n v="0.98"/>
    <n v="88"/>
    <n v="60.6"/>
    <n v="39.875"/>
    <n v="1.25"/>
    <n v="108.25"/>
    <n v="53.500000000000007"/>
    <n v="108"/>
    <x v="1"/>
    <s v="O3"/>
  </r>
  <r>
    <x v="243"/>
    <x v="3"/>
    <n v="30"/>
    <n v="110"/>
    <n v="40.6"/>
    <n v="5.72"/>
    <n v="55.9"/>
    <n v="0.47"/>
    <x v="158"/>
    <x v="14"/>
    <n v="2.95"/>
    <n v="50"/>
    <n v="110"/>
    <n v="50.75"/>
    <n v="14.3"/>
    <n v="139.75"/>
    <n v="23.5"/>
    <n v="140"/>
    <x v="1"/>
    <s v="O3"/>
  </r>
  <r>
    <x v="243"/>
    <x v="4"/>
    <n v="48"/>
    <n v="202.3"/>
    <n v="48.3"/>
    <n v="2.78"/>
    <n v="50.8"/>
    <n v="1.45"/>
    <x v="122"/>
    <x v="426"/>
    <n v="3.46"/>
    <n v="80"/>
    <n v="202.3"/>
    <n v="60.375"/>
    <n v="6.9499999999999993"/>
    <n v="127"/>
    <n v="72.5"/>
    <n v="202"/>
    <x v="0"/>
    <s v="PM10"/>
  </r>
  <r>
    <x v="244"/>
    <x v="0"/>
    <n v="2"/>
    <n v="158.69999999999999"/>
    <n v="42.4"/>
    <n v="12.29"/>
    <n v="73.099999999999994"/>
    <n v="1.51"/>
    <x v="320"/>
    <x v="324"/>
    <n v="3.25"/>
    <n v="3.333333333333333"/>
    <n v="158.69999999999999"/>
    <n v="53"/>
    <n v="30.725000000000001"/>
    <n v="182.75"/>
    <n v="75.5"/>
    <n v="183"/>
    <x v="1"/>
    <s v="O3"/>
  </r>
  <r>
    <x v="244"/>
    <x v="1"/>
    <n v="105.2"/>
    <n v="142.69999999999999"/>
    <n v="75.7"/>
    <n v="6.28"/>
    <n v="36.799999999999997"/>
    <n v="0.52"/>
    <x v="148"/>
    <x v="535"/>
    <n v="3.92"/>
    <n v="175.33333333333329"/>
    <n v="142.69999999999999"/>
    <n v="94.625"/>
    <n v="15.7"/>
    <n v="92"/>
    <n v="26"/>
    <n v="175"/>
    <x v="1"/>
    <s v="PM2.5"/>
  </r>
  <r>
    <x v="244"/>
    <x v="2"/>
    <n v="79.5"/>
    <n v="97.8"/>
    <n v="20.399999999999999"/>
    <n v="9.66"/>
    <n v="64.400000000000006"/>
    <n v="1.57"/>
    <x v="86"/>
    <x v="38"/>
    <n v="1.94"/>
    <n v="132.5"/>
    <n v="97.8"/>
    <n v="25.5"/>
    <n v="24.15"/>
    <n v="161"/>
    <n v="78.5"/>
    <n v="161"/>
    <x v="1"/>
    <s v="O3"/>
  </r>
  <r>
    <x v="244"/>
    <x v="3"/>
    <n v="37.9"/>
    <n v="116.6"/>
    <n v="43.4"/>
    <n v="9.0299999999999994"/>
    <n v="36.799999999999997"/>
    <n v="1.1200000000000001"/>
    <x v="230"/>
    <x v="563"/>
    <n v="2.59"/>
    <n v="63.166666666666657"/>
    <n v="116.6"/>
    <n v="54.25"/>
    <n v="22.574999999999999"/>
    <n v="92"/>
    <n v="56.000000000000007"/>
    <n v="117"/>
    <x v="1"/>
    <s v="PM10"/>
  </r>
  <r>
    <x v="244"/>
    <x v="4"/>
    <n v="60.2"/>
    <n v="82.7"/>
    <n v="20.2"/>
    <n v="15.99"/>
    <n v="59.3"/>
    <n v="0.25"/>
    <x v="113"/>
    <x v="252"/>
    <n v="3.15"/>
    <n v="100.3333333333333"/>
    <n v="82.7"/>
    <n v="25.25"/>
    <n v="39.975000000000001"/>
    <n v="148.25"/>
    <n v="12.5"/>
    <n v="148"/>
    <x v="1"/>
    <s v="O3"/>
  </r>
  <r>
    <x v="245"/>
    <x v="0"/>
    <n v="124.1"/>
    <n v="153"/>
    <n v="19.2"/>
    <n v="11.3"/>
    <n v="53"/>
    <n v="0.96"/>
    <x v="191"/>
    <x v="55"/>
    <n v="3.69"/>
    <n v="206.83333333333329"/>
    <n v="153"/>
    <n v="24"/>
    <n v="28.25"/>
    <n v="132.5"/>
    <n v="48"/>
    <n v="207"/>
    <x v="0"/>
    <s v="PM2.5"/>
  </r>
  <r>
    <x v="245"/>
    <x v="1"/>
    <n v="42.1"/>
    <n v="76.099999999999994"/>
    <n v="53.4"/>
    <n v="12.71"/>
    <n v="55.1"/>
    <n v="0.94"/>
    <x v="23"/>
    <x v="564"/>
    <n v="2.23"/>
    <n v="70.166666666666671"/>
    <n v="76.099999999999994"/>
    <n v="66.75"/>
    <n v="31.775000000000009"/>
    <n v="137.75"/>
    <n v="47"/>
    <n v="138"/>
    <x v="1"/>
    <s v="O3"/>
  </r>
  <r>
    <x v="245"/>
    <x v="2"/>
    <n v="87.6"/>
    <n v="113.8"/>
    <n v="59.1"/>
    <n v="14.51"/>
    <n v="24"/>
    <n v="1.03"/>
    <x v="232"/>
    <x v="459"/>
    <n v="0.49"/>
    <n v="146"/>
    <n v="113.8"/>
    <n v="73.875"/>
    <n v="36.274999999999999"/>
    <n v="60"/>
    <n v="51.500000000000007"/>
    <n v="146"/>
    <x v="1"/>
    <s v="PM2.5"/>
  </r>
  <r>
    <x v="245"/>
    <x v="3"/>
    <n v="71.599999999999994"/>
    <n v="120"/>
    <n v="61.5"/>
    <n v="4.28"/>
    <n v="19"/>
    <n v="0.79"/>
    <x v="79"/>
    <x v="217"/>
    <n v="1.08"/>
    <n v="119.3333333333333"/>
    <n v="120"/>
    <n v="76.875"/>
    <n v="10.7"/>
    <n v="47.5"/>
    <n v="39.5"/>
    <n v="120"/>
    <x v="1"/>
    <s v="PM10"/>
  </r>
  <r>
    <x v="245"/>
    <x v="4"/>
    <n v="45.5"/>
    <n v="13.9"/>
    <n v="71.7"/>
    <n v="15.79"/>
    <n v="35"/>
    <n v="1.1200000000000001"/>
    <x v="247"/>
    <x v="565"/>
    <n v="3.49"/>
    <n v="75.833333333333343"/>
    <n v="13.9"/>
    <n v="89.625000000000014"/>
    <n v="39.474999999999987"/>
    <n v="87.5"/>
    <n v="56.000000000000007"/>
    <n v="90"/>
    <x v="3"/>
    <s v="NO2"/>
  </r>
  <r>
    <x v="246"/>
    <x v="0"/>
    <n v="44.9"/>
    <n v="26.3"/>
    <n v="26.1"/>
    <n v="9.6199999999999992"/>
    <n v="27.2"/>
    <n v="1.51"/>
    <x v="66"/>
    <x v="386"/>
    <n v="1.0900000000000001"/>
    <n v="74.833333333333329"/>
    <n v="26.3"/>
    <n v="32.625"/>
    <n v="24.05"/>
    <n v="68"/>
    <n v="75.5"/>
    <n v="76"/>
    <x v="3"/>
    <s v="CO"/>
  </r>
  <r>
    <x v="246"/>
    <x v="1"/>
    <n v="133.6"/>
    <n v="216.7"/>
    <n v="99.5"/>
    <n v="13.37"/>
    <n v="36.6"/>
    <n v="2.4900000000000002"/>
    <x v="22"/>
    <x v="66"/>
    <n v="2.4500000000000002"/>
    <n v="222.66666666666671"/>
    <n v="216.7"/>
    <n v="124.375"/>
    <n v="33.424999999999997"/>
    <n v="91.5"/>
    <n v="124.5"/>
    <n v="223"/>
    <x v="0"/>
    <s v="PM2.5"/>
  </r>
  <r>
    <x v="246"/>
    <x v="2"/>
    <n v="2"/>
    <n v="205.5"/>
    <n v="52.1"/>
    <n v="9.17"/>
    <n v="36.5"/>
    <n v="1.23"/>
    <x v="216"/>
    <x v="50"/>
    <n v="0.93"/>
    <n v="3.333333333333333"/>
    <n v="205.5"/>
    <n v="65.125"/>
    <n v="22.925000000000001"/>
    <n v="91.25"/>
    <n v="61.5"/>
    <n v="206"/>
    <x v="0"/>
    <s v="PM10"/>
  </r>
  <r>
    <x v="246"/>
    <x v="3"/>
    <n v="65.599999999999994"/>
    <n v="153.69999999999999"/>
    <n v="41"/>
    <n v="9.85"/>
    <n v="15.2"/>
    <n v="0.62"/>
    <x v="148"/>
    <x v="241"/>
    <n v="0.25"/>
    <n v="109.3333333333333"/>
    <n v="153.69999999999999"/>
    <n v="51.25"/>
    <n v="24.625"/>
    <n v="38"/>
    <n v="31"/>
    <n v="154"/>
    <x v="1"/>
    <s v="PM10"/>
  </r>
  <r>
    <x v="246"/>
    <x v="4"/>
    <n v="83.2"/>
    <n v="96.1"/>
    <n v="45.3"/>
    <n v="1.43"/>
    <n v="20.6"/>
    <n v="1.96"/>
    <x v="300"/>
    <x v="210"/>
    <n v="2.86"/>
    <n v="138.66666666666671"/>
    <n v="96.1"/>
    <n v="56.624999999999993"/>
    <n v="3.5750000000000002"/>
    <n v="51.500000000000007"/>
    <n v="98"/>
    <n v="139"/>
    <x v="1"/>
    <s v="PM2.5"/>
  </r>
  <r>
    <x v="247"/>
    <x v="0"/>
    <n v="85.9"/>
    <n v="168.4"/>
    <n v="50"/>
    <n v="15.48"/>
    <n v="73.900000000000006"/>
    <n v="1.67"/>
    <x v="276"/>
    <x v="65"/>
    <n v="2.88"/>
    <n v="143.16666666666671"/>
    <n v="168.4"/>
    <n v="62.5"/>
    <n v="38.700000000000003"/>
    <n v="184.75"/>
    <n v="83.499999999999986"/>
    <n v="185"/>
    <x v="1"/>
    <s v="O3"/>
  </r>
  <r>
    <x v="247"/>
    <x v="1"/>
    <n v="114.8"/>
    <n v="217.5"/>
    <n v="30.8"/>
    <n v="3.21"/>
    <n v="28.1"/>
    <n v="2.23"/>
    <x v="218"/>
    <x v="112"/>
    <n v="2.94"/>
    <n v="191.33333333333329"/>
    <n v="217.5"/>
    <n v="38.5"/>
    <n v="8.0249999999999986"/>
    <n v="70.25"/>
    <n v="111.5"/>
    <n v="218"/>
    <x v="0"/>
    <s v="PM10"/>
  </r>
  <r>
    <x v="247"/>
    <x v="2"/>
    <n v="90.1"/>
    <n v="124.3"/>
    <n v="17.2"/>
    <n v="3.04"/>
    <n v="9.9"/>
    <n v="0.83"/>
    <x v="208"/>
    <x v="272"/>
    <n v="4.26"/>
    <n v="150.16666666666671"/>
    <n v="124.3"/>
    <n v="21.5"/>
    <n v="7.6"/>
    <n v="24.75"/>
    <n v="41.499999999999993"/>
    <n v="150"/>
    <x v="1"/>
    <s v="PM2.5"/>
  </r>
  <r>
    <x v="247"/>
    <x v="3"/>
    <n v="20.2"/>
    <n v="200.8"/>
    <n v="68.7"/>
    <n v="12.49"/>
    <n v="22.7"/>
    <n v="1.41"/>
    <x v="1"/>
    <x v="519"/>
    <n v="2.41"/>
    <n v="33.666666666666657"/>
    <n v="200.8"/>
    <n v="85.875"/>
    <n v="31.225000000000001"/>
    <n v="56.749999999999993"/>
    <n v="70.5"/>
    <n v="201"/>
    <x v="0"/>
    <s v="PM10"/>
  </r>
  <r>
    <x v="247"/>
    <x v="4"/>
    <n v="52.5"/>
    <n v="51.2"/>
    <n v="2"/>
    <n v="3.09"/>
    <n v="74.599999999999994"/>
    <n v="1.05"/>
    <x v="104"/>
    <x v="65"/>
    <n v="5.17"/>
    <n v="87.5"/>
    <n v="51.2"/>
    <n v="2.5"/>
    <n v="7.7249999999999996"/>
    <n v="186.5"/>
    <n v="52.500000000000007"/>
    <n v="186"/>
    <x v="1"/>
    <s v="O3"/>
  </r>
  <r>
    <x v="248"/>
    <x v="0"/>
    <n v="114.7"/>
    <n v="70.900000000000006"/>
    <n v="7.1"/>
    <n v="22.77"/>
    <n v="111.2"/>
    <n v="1.51"/>
    <x v="1"/>
    <x v="457"/>
    <n v="2.37"/>
    <n v="191.16666666666671"/>
    <n v="70.900000000000006"/>
    <n v="8.875"/>
    <n v="56.924999999999997"/>
    <n v="278"/>
    <n v="75.5"/>
    <n v="278"/>
    <x v="0"/>
    <s v="O3"/>
  </r>
  <r>
    <x v="248"/>
    <x v="1"/>
    <n v="70.8"/>
    <n v="217.1"/>
    <n v="64.599999999999994"/>
    <n v="2.59"/>
    <n v="39.9"/>
    <n v="2"/>
    <x v="118"/>
    <x v="10"/>
    <n v="3.62"/>
    <n v="118"/>
    <n v="217.1"/>
    <n v="80.749999999999986"/>
    <n v="6.4749999999999996"/>
    <n v="99.749999999999986"/>
    <n v="100"/>
    <n v="217"/>
    <x v="0"/>
    <s v="PM10"/>
  </r>
  <r>
    <x v="248"/>
    <x v="2"/>
    <n v="46.7"/>
    <n v="124.2"/>
    <n v="2"/>
    <n v="5.46"/>
    <n v="56.1"/>
    <n v="0.92"/>
    <x v="149"/>
    <x v="116"/>
    <n v="3.7"/>
    <n v="77.833333333333343"/>
    <n v="124.2"/>
    <n v="2.5"/>
    <n v="13.65"/>
    <n v="140.25"/>
    <n v="46"/>
    <n v="140"/>
    <x v="1"/>
    <s v="O3"/>
  </r>
  <r>
    <x v="248"/>
    <x v="3"/>
    <n v="76.5"/>
    <n v="169.5"/>
    <n v="10.5"/>
    <n v="7.2"/>
    <n v="33"/>
    <n v="1.03"/>
    <x v="227"/>
    <x v="294"/>
    <n v="3.52"/>
    <n v="127.5"/>
    <n v="169.5"/>
    <n v="13.125"/>
    <n v="18"/>
    <n v="82.5"/>
    <n v="51.500000000000007"/>
    <n v="170"/>
    <x v="1"/>
    <s v="PM10"/>
  </r>
  <r>
    <x v="248"/>
    <x v="4"/>
    <n v="2.9"/>
    <n v="249.3"/>
    <n v="60.1"/>
    <n v="8.57"/>
    <n v="68.900000000000006"/>
    <n v="0.36"/>
    <x v="198"/>
    <x v="422"/>
    <n v="4.6399999999999997"/>
    <n v="4.8333333333333339"/>
    <n v="249.3"/>
    <n v="75.125"/>
    <n v="21.425000000000001"/>
    <n v="172.25"/>
    <n v="18"/>
    <n v="249"/>
    <x v="0"/>
    <s v="PM10"/>
  </r>
  <r>
    <x v="249"/>
    <x v="0"/>
    <n v="67.400000000000006"/>
    <n v="169.1"/>
    <n v="38.200000000000003"/>
    <n v="12"/>
    <n v="94.2"/>
    <n v="2.0699999999999998"/>
    <x v="56"/>
    <x v="241"/>
    <n v="3.19"/>
    <n v="112.3333333333333"/>
    <n v="169.1"/>
    <n v="47.75"/>
    <n v="30"/>
    <n v="235.5"/>
    <n v="103.5"/>
    <n v="236"/>
    <x v="0"/>
    <s v="O3"/>
  </r>
  <r>
    <x v="249"/>
    <x v="1"/>
    <n v="94"/>
    <n v="233.4"/>
    <n v="83.9"/>
    <n v="9.2100000000000009"/>
    <n v="70.099999999999994"/>
    <n v="1.21"/>
    <x v="47"/>
    <x v="566"/>
    <n v="2.41"/>
    <n v="156.66666666666671"/>
    <n v="233.4"/>
    <n v="104.875"/>
    <n v="23.024999999999999"/>
    <n v="175.25"/>
    <n v="60.5"/>
    <n v="233"/>
    <x v="0"/>
    <s v="PM10"/>
  </r>
  <r>
    <x v="249"/>
    <x v="2"/>
    <n v="9.6"/>
    <n v="163"/>
    <n v="2"/>
    <n v="20.5"/>
    <n v="73.7"/>
    <n v="0.99"/>
    <x v="123"/>
    <x v="330"/>
    <n v="1.79"/>
    <n v="16"/>
    <n v="163"/>
    <n v="2.5"/>
    <n v="51.25"/>
    <n v="184.25"/>
    <n v="49.5"/>
    <n v="184"/>
    <x v="1"/>
    <s v="O3"/>
  </r>
  <r>
    <x v="249"/>
    <x v="3"/>
    <n v="65.8"/>
    <n v="111.4"/>
    <n v="43.1"/>
    <n v="8.91"/>
    <n v="7.2"/>
    <n v="1.22"/>
    <x v="85"/>
    <x v="103"/>
    <n v="2.2400000000000002"/>
    <n v="109.6666666666667"/>
    <n v="111.4"/>
    <n v="53.875"/>
    <n v="22.274999999999999"/>
    <n v="18"/>
    <n v="61"/>
    <n v="111"/>
    <x v="1"/>
    <s v="PM10"/>
  </r>
  <r>
    <x v="249"/>
    <x v="4"/>
    <n v="103.5"/>
    <n v="108.7"/>
    <n v="54.5"/>
    <n v="15.94"/>
    <n v="41.8"/>
    <n v="1.46"/>
    <x v="30"/>
    <x v="233"/>
    <n v="2.69"/>
    <n v="172.5"/>
    <n v="108.7"/>
    <n v="68.125"/>
    <n v="39.849999999999987"/>
    <n v="104.5"/>
    <n v="73"/>
    <n v="172"/>
    <x v="1"/>
    <s v="PM2.5"/>
  </r>
  <r>
    <x v="250"/>
    <x v="0"/>
    <n v="113.3"/>
    <n v="130.9"/>
    <n v="32"/>
    <n v="13.11"/>
    <n v="37.200000000000003"/>
    <n v="1.81"/>
    <x v="321"/>
    <x v="213"/>
    <n v="1.95"/>
    <n v="188.83333333333329"/>
    <n v="130.9"/>
    <n v="40"/>
    <n v="32.774999999999999"/>
    <n v="93.000000000000014"/>
    <n v="90.5"/>
    <n v="189"/>
    <x v="1"/>
    <s v="PM2.5"/>
  </r>
  <r>
    <x v="250"/>
    <x v="1"/>
    <n v="35.1"/>
    <n v="108.5"/>
    <n v="41.9"/>
    <n v="9.6999999999999993"/>
    <n v="7.3"/>
    <n v="1.74"/>
    <x v="248"/>
    <x v="360"/>
    <n v="3.47"/>
    <n v="58.5"/>
    <n v="108.5"/>
    <n v="52.375"/>
    <n v="24.25"/>
    <n v="18.25"/>
    <n v="87"/>
    <n v="108"/>
    <x v="1"/>
    <s v="PM10"/>
  </r>
  <r>
    <x v="250"/>
    <x v="2"/>
    <n v="88.2"/>
    <n v="184.5"/>
    <n v="78.3"/>
    <n v="5.23"/>
    <n v="20.9"/>
    <n v="1.59"/>
    <x v="164"/>
    <x v="567"/>
    <n v="4.7699999999999996"/>
    <n v="147"/>
    <n v="184.5"/>
    <n v="97.874999999999986"/>
    <n v="13.074999999999999"/>
    <n v="52.25"/>
    <n v="79.5"/>
    <n v="184"/>
    <x v="1"/>
    <s v="PM10"/>
  </r>
  <r>
    <x v="250"/>
    <x v="3"/>
    <n v="60.3"/>
    <n v="145.6"/>
    <n v="25.4"/>
    <n v="18.68"/>
    <n v="31.6"/>
    <n v="1.02"/>
    <x v="260"/>
    <x v="273"/>
    <n v="1.62"/>
    <n v="100.5"/>
    <n v="145.6"/>
    <n v="31.75"/>
    <n v="46.7"/>
    <n v="79"/>
    <n v="51.000000000000007"/>
    <n v="146"/>
    <x v="1"/>
    <s v="PM10"/>
  </r>
  <r>
    <x v="250"/>
    <x v="4"/>
    <n v="48.7"/>
    <n v="41.9"/>
    <n v="32.200000000000003"/>
    <n v="19.52"/>
    <n v="64.2"/>
    <n v="1.93"/>
    <x v="255"/>
    <x v="542"/>
    <n v="0.87"/>
    <n v="81.166666666666671"/>
    <n v="41.9"/>
    <n v="40.25"/>
    <n v="48.8"/>
    <n v="160.5"/>
    <n v="96.5"/>
    <n v="160"/>
    <x v="1"/>
    <s v="O3"/>
  </r>
  <r>
    <x v="251"/>
    <x v="0"/>
    <n v="26.6"/>
    <n v="82.5"/>
    <n v="40.9"/>
    <n v="7.47"/>
    <n v="33.1"/>
    <n v="1.53"/>
    <x v="300"/>
    <x v="291"/>
    <n v="0.2"/>
    <n v="44.333333333333343"/>
    <n v="82.5"/>
    <n v="51.125"/>
    <n v="18.675000000000001"/>
    <n v="82.75"/>
    <n v="76.5"/>
    <n v="83"/>
    <x v="3"/>
    <s v="O3"/>
  </r>
  <r>
    <x v="251"/>
    <x v="1"/>
    <n v="37.799999999999997"/>
    <n v="108.8"/>
    <n v="50.1"/>
    <n v="2.94"/>
    <n v="34.700000000000003"/>
    <n v="0.65"/>
    <x v="78"/>
    <x v="380"/>
    <n v="1.48"/>
    <n v="63"/>
    <n v="108.8"/>
    <n v="62.625"/>
    <n v="7.35"/>
    <n v="86.750000000000014"/>
    <n v="32.5"/>
    <n v="109"/>
    <x v="1"/>
    <s v="PM10"/>
  </r>
  <r>
    <x v="251"/>
    <x v="2"/>
    <n v="19.7"/>
    <n v="105.3"/>
    <n v="26.3"/>
    <n v="11.91"/>
    <n v="47.6"/>
    <n v="1.1000000000000001"/>
    <x v="94"/>
    <x v="568"/>
    <n v="3.33"/>
    <n v="32.833333333333343"/>
    <n v="105.3"/>
    <n v="32.875"/>
    <n v="29.774999999999999"/>
    <n v="119"/>
    <n v="55.000000000000007"/>
    <n v="119"/>
    <x v="1"/>
    <s v="O3"/>
  </r>
  <r>
    <x v="251"/>
    <x v="3"/>
    <n v="64.3"/>
    <n v="216.2"/>
    <n v="54.2"/>
    <n v="12.57"/>
    <n v="43.3"/>
    <n v="1.61"/>
    <x v="94"/>
    <x v="455"/>
    <n v="2.92"/>
    <n v="107.1666666666667"/>
    <n v="216.2"/>
    <n v="67.75"/>
    <n v="31.425000000000001"/>
    <n v="108.25"/>
    <n v="80.5"/>
    <n v="216"/>
    <x v="0"/>
    <s v="PM10"/>
  </r>
  <r>
    <x v="251"/>
    <x v="4"/>
    <n v="77.3"/>
    <n v="165.5"/>
    <n v="73.7"/>
    <n v="0.96"/>
    <n v="17.2"/>
    <n v="1.47"/>
    <x v="33"/>
    <x v="62"/>
    <n v="3.62"/>
    <n v="128.83333333333329"/>
    <n v="165.5"/>
    <n v="92.125"/>
    <n v="2.4"/>
    <n v="43"/>
    <n v="73.5"/>
    <n v="166"/>
    <x v="1"/>
    <s v="PM10"/>
  </r>
  <r>
    <x v="252"/>
    <x v="0"/>
    <n v="66.3"/>
    <n v="102.4"/>
    <n v="40.700000000000003"/>
    <n v="9.3699999999999992"/>
    <n v="49.2"/>
    <n v="1.06"/>
    <x v="25"/>
    <x v="407"/>
    <n v="4.16"/>
    <n v="110.5"/>
    <n v="102.4"/>
    <n v="50.875"/>
    <n v="23.425000000000001"/>
    <n v="123"/>
    <n v="53.000000000000007"/>
    <n v="123"/>
    <x v="1"/>
    <s v="O3"/>
  </r>
  <r>
    <x v="252"/>
    <x v="1"/>
    <n v="84.5"/>
    <n v="49.4"/>
    <n v="69.7"/>
    <n v="19.71"/>
    <n v="92.8"/>
    <n v="2.0499999999999998"/>
    <x v="88"/>
    <x v="67"/>
    <n v="3.25"/>
    <n v="140.83333333333329"/>
    <n v="49.4"/>
    <n v="87.125000000000014"/>
    <n v="49.274999999999999"/>
    <n v="232"/>
    <n v="102.5"/>
    <n v="232"/>
    <x v="0"/>
    <s v="O3"/>
  </r>
  <r>
    <x v="252"/>
    <x v="2"/>
    <n v="37.6"/>
    <n v="130.69999999999999"/>
    <n v="68"/>
    <n v="4.8"/>
    <n v="17.5"/>
    <n v="1.2"/>
    <x v="59"/>
    <x v="260"/>
    <n v="1.96"/>
    <n v="62.666666666666657"/>
    <n v="130.69999999999999"/>
    <n v="85"/>
    <n v="12"/>
    <n v="43.75"/>
    <n v="60"/>
    <n v="131"/>
    <x v="1"/>
    <s v="PM10"/>
  </r>
  <r>
    <x v="252"/>
    <x v="3"/>
    <n v="111.6"/>
    <n v="42.6"/>
    <n v="70.099999999999994"/>
    <n v="4.18"/>
    <n v="1"/>
    <n v="1.34"/>
    <x v="137"/>
    <x v="314"/>
    <n v="0.48"/>
    <n v="186"/>
    <n v="42.6"/>
    <n v="87.625"/>
    <n v="10.45"/>
    <n v="2.5"/>
    <n v="67"/>
    <n v="186"/>
    <x v="1"/>
    <s v="PM2.5"/>
  </r>
  <r>
    <x v="252"/>
    <x v="4"/>
    <n v="65.7"/>
    <n v="196.4"/>
    <n v="62.4"/>
    <n v="9.11"/>
    <n v="57.2"/>
    <n v="1.3"/>
    <x v="34"/>
    <x v="536"/>
    <n v="2.76"/>
    <n v="109.5"/>
    <n v="196.4"/>
    <n v="78"/>
    <n v="22.774999999999999"/>
    <n v="143"/>
    <n v="65"/>
    <n v="196"/>
    <x v="1"/>
    <s v="PM10"/>
  </r>
  <r>
    <x v="253"/>
    <x v="0"/>
    <n v="63.5"/>
    <n v="196.7"/>
    <n v="69.2"/>
    <n v="12.68"/>
    <n v="37.9"/>
    <n v="0.43"/>
    <x v="178"/>
    <x v="131"/>
    <n v="0.2"/>
    <n v="105.8333333333333"/>
    <n v="196.7"/>
    <n v="86.500000000000014"/>
    <n v="31.7"/>
    <n v="94.75"/>
    <n v="21.5"/>
    <n v="197"/>
    <x v="1"/>
    <s v="PM10"/>
  </r>
  <r>
    <x v="253"/>
    <x v="1"/>
    <n v="43.7"/>
    <n v="98.2"/>
    <n v="59.2"/>
    <n v="4.9800000000000004"/>
    <n v="48.8"/>
    <n v="1.34"/>
    <x v="101"/>
    <x v="554"/>
    <n v="1.73"/>
    <n v="72.833333333333329"/>
    <n v="98.2"/>
    <n v="74.000000000000014"/>
    <n v="12.45"/>
    <n v="122"/>
    <n v="67"/>
    <n v="122"/>
    <x v="1"/>
    <s v="O3"/>
  </r>
  <r>
    <x v="253"/>
    <x v="2"/>
    <n v="26.2"/>
    <n v="135.69999999999999"/>
    <n v="53.6"/>
    <n v="3.94"/>
    <n v="74.099999999999994"/>
    <n v="0.96"/>
    <x v="246"/>
    <x v="273"/>
    <n v="0.2"/>
    <n v="43.666666666666657"/>
    <n v="135.69999999999999"/>
    <n v="67"/>
    <n v="9.85"/>
    <n v="185.25"/>
    <n v="48"/>
    <n v="185"/>
    <x v="1"/>
    <s v="O3"/>
  </r>
  <r>
    <x v="253"/>
    <x v="3"/>
    <n v="72.099999999999994"/>
    <n v="134.9"/>
    <n v="45.7"/>
    <n v="4.79"/>
    <n v="39.1"/>
    <n v="0.89"/>
    <x v="107"/>
    <x v="569"/>
    <n v="2.72"/>
    <n v="120.1666666666667"/>
    <n v="134.9"/>
    <n v="57.125"/>
    <n v="11.975"/>
    <n v="97.75"/>
    <n v="44.5"/>
    <n v="135"/>
    <x v="1"/>
    <s v="PM10"/>
  </r>
  <r>
    <x v="253"/>
    <x v="4"/>
    <n v="86.1"/>
    <n v="116.7"/>
    <n v="42"/>
    <n v="2.46"/>
    <n v="33.799999999999997"/>
    <n v="0.05"/>
    <x v="122"/>
    <x v="328"/>
    <n v="3.68"/>
    <n v="143.5"/>
    <n v="116.7"/>
    <n v="52.5"/>
    <n v="6.15"/>
    <n v="84.499999999999986"/>
    <n v="2.5"/>
    <n v="144"/>
    <x v="1"/>
    <s v="PM2.5"/>
  </r>
  <r>
    <x v="254"/>
    <x v="0"/>
    <n v="59.7"/>
    <n v="162"/>
    <n v="2"/>
    <n v="8.8699999999999992"/>
    <n v="1"/>
    <n v="0.55000000000000004"/>
    <x v="208"/>
    <x v="570"/>
    <n v="2.95"/>
    <n v="99.5"/>
    <n v="162"/>
    <n v="2.5"/>
    <n v="22.175000000000001"/>
    <n v="2.5"/>
    <n v="27.5"/>
    <n v="162"/>
    <x v="1"/>
    <s v="PM10"/>
  </r>
  <r>
    <x v="254"/>
    <x v="1"/>
    <n v="75.7"/>
    <n v="148.5"/>
    <n v="38.4"/>
    <n v="6.6"/>
    <n v="63.4"/>
    <n v="0.46"/>
    <x v="165"/>
    <x v="342"/>
    <n v="3.49"/>
    <n v="126.1666666666667"/>
    <n v="148.5"/>
    <n v="48"/>
    <n v="16.5"/>
    <n v="158.5"/>
    <n v="23"/>
    <n v="158"/>
    <x v="1"/>
    <s v="O3"/>
  </r>
  <r>
    <x v="254"/>
    <x v="2"/>
    <n v="84.4"/>
    <n v="18.600000000000001"/>
    <n v="31.7"/>
    <n v="3.54"/>
    <n v="1"/>
    <n v="0.55000000000000004"/>
    <x v="322"/>
    <x v="242"/>
    <n v="4.8"/>
    <n v="140.66666666666671"/>
    <n v="18.600000000000001"/>
    <n v="39.625"/>
    <n v="8.85"/>
    <n v="2.5"/>
    <n v="27.5"/>
    <n v="141"/>
    <x v="1"/>
    <s v="PM2.5"/>
  </r>
  <r>
    <x v="254"/>
    <x v="3"/>
    <n v="84.9"/>
    <n v="75.5"/>
    <n v="37.4"/>
    <n v="10.94"/>
    <n v="50.9"/>
    <n v="0.85"/>
    <x v="195"/>
    <x v="62"/>
    <n v="2.33"/>
    <n v="141.5"/>
    <n v="75.5"/>
    <n v="46.75"/>
    <n v="27.35"/>
    <n v="127.25"/>
    <n v="42.499999999999993"/>
    <n v="142"/>
    <x v="1"/>
    <s v="PM2.5"/>
  </r>
  <r>
    <x v="254"/>
    <x v="4"/>
    <n v="55.3"/>
    <n v="139.5"/>
    <n v="44.2"/>
    <n v="9.48"/>
    <n v="79.400000000000006"/>
    <n v="1.24"/>
    <x v="256"/>
    <x v="489"/>
    <n v="2.44"/>
    <n v="92.166666666666657"/>
    <n v="139.5"/>
    <n v="55.25"/>
    <n v="23.7"/>
    <n v="198.5"/>
    <n v="62"/>
    <n v="198"/>
    <x v="1"/>
    <s v="O3"/>
  </r>
  <r>
    <x v="255"/>
    <x v="0"/>
    <n v="118.1"/>
    <n v="218.8"/>
    <n v="54.2"/>
    <n v="1.85"/>
    <n v="10.8"/>
    <n v="1.39"/>
    <x v="69"/>
    <x v="72"/>
    <n v="1.92"/>
    <n v="196.83333333333329"/>
    <n v="218.8"/>
    <n v="67.75"/>
    <n v="4.6250000000000009"/>
    <n v="27"/>
    <n v="69.499999999999986"/>
    <n v="219"/>
    <x v="0"/>
    <s v="PM10"/>
  </r>
  <r>
    <x v="255"/>
    <x v="1"/>
    <n v="52.8"/>
    <n v="148.19999999999999"/>
    <n v="2"/>
    <n v="3.12"/>
    <n v="30.4"/>
    <n v="2.41"/>
    <x v="46"/>
    <x v="161"/>
    <n v="2.77"/>
    <n v="88"/>
    <n v="148.19999999999999"/>
    <n v="2.5"/>
    <n v="7.8000000000000007"/>
    <n v="76"/>
    <n v="120.5"/>
    <n v="148"/>
    <x v="1"/>
    <s v="PM10"/>
  </r>
  <r>
    <x v="255"/>
    <x v="2"/>
    <n v="94"/>
    <n v="186"/>
    <n v="41.7"/>
    <n v="5.34"/>
    <n v="22.2"/>
    <n v="1"/>
    <x v="81"/>
    <x v="138"/>
    <n v="3"/>
    <n v="156.66666666666671"/>
    <n v="186"/>
    <n v="52.125000000000007"/>
    <n v="13.35"/>
    <n v="55.5"/>
    <n v="50"/>
    <n v="186"/>
    <x v="1"/>
    <s v="PM10"/>
  </r>
  <r>
    <x v="255"/>
    <x v="3"/>
    <n v="77.8"/>
    <n v="195.6"/>
    <n v="82.3"/>
    <n v="8.6199999999999992"/>
    <n v="67.5"/>
    <n v="0.99"/>
    <x v="168"/>
    <x v="322"/>
    <n v="3.71"/>
    <n v="129.66666666666671"/>
    <n v="195.6"/>
    <n v="102.875"/>
    <n v="21.55"/>
    <n v="168.75"/>
    <n v="49.5"/>
    <n v="196"/>
    <x v="1"/>
    <s v="PM10"/>
  </r>
  <r>
    <x v="255"/>
    <x v="4"/>
    <n v="69.099999999999994"/>
    <n v="87.9"/>
    <n v="18.8"/>
    <n v="8.58"/>
    <n v="86.2"/>
    <n v="1.1200000000000001"/>
    <x v="58"/>
    <x v="434"/>
    <n v="2.66"/>
    <n v="115.1666666666667"/>
    <n v="87.9"/>
    <n v="23.5"/>
    <n v="21.45"/>
    <n v="215.5"/>
    <n v="56.000000000000007"/>
    <n v="216"/>
    <x v="0"/>
    <s v="O3"/>
  </r>
  <r>
    <x v="256"/>
    <x v="0"/>
    <n v="114.4"/>
    <n v="5"/>
    <n v="23.6"/>
    <n v="3.94"/>
    <n v="22.4"/>
    <n v="1.61"/>
    <x v="142"/>
    <x v="112"/>
    <n v="3.22"/>
    <n v="190.66666666666671"/>
    <n v="5"/>
    <n v="29.5"/>
    <n v="9.85"/>
    <n v="55.999999999999993"/>
    <n v="80.5"/>
    <n v="191"/>
    <x v="1"/>
    <s v="PM2.5"/>
  </r>
  <r>
    <x v="256"/>
    <x v="1"/>
    <n v="39.4"/>
    <n v="58.6"/>
    <n v="66.2"/>
    <n v="6.06"/>
    <n v="1"/>
    <n v="2.23"/>
    <x v="258"/>
    <x v="571"/>
    <n v="2.72"/>
    <n v="65.666666666666671"/>
    <n v="58.6"/>
    <n v="82.75"/>
    <n v="15.15"/>
    <n v="2.5"/>
    <n v="111.5"/>
    <n v="112"/>
    <x v="1"/>
    <s v="CO"/>
  </r>
  <r>
    <x v="256"/>
    <x v="2"/>
    <n v="74.8"/>
    <n v="192.1"/>
    <n v="30.6"/>
    <n v="12.88"/>
    <n v="44.5"/>
    <n v="1.66"/>
    <x v="231"/>
    <x v="572"/>
    <n v="2.77"/>
    <n v="124.6666666666667"/>
    <n v="192.1"/>
    <n v="38.25"/>
    <n v="32.200000000000003"/>
    <n v="111.25"/>
    <n v="82.999999999999986"/>
    <n v="192"/>
    <x v="1"/>
    <s v="PM10"/>
  </r>
  <r>
    <x v="256"/>
    <x v="3"/>
    <n v="15.5"/>
    <n v="207.1"/>
    <n v="26"/>
    <n v="14.27"/>
    <n v="37.700000000000003"/>
    <n v="1.91"/>
    <x v="161"/>
    <x v="84"/>
    <n v="3.11"/>
    <n v="25.833333333333329"/>
    <n v="207.1"/>
    <n v="32.5"/>
    <n v="35.674999999999997"/>
    <n v="94.25"/>
    <n v="95.5"/>
    <n v="207"/>
    <x v="0"/>
    <s v="PM10"/>
  </r>
  <r>
    <x v="256"/>
    <x v="4"/>
    <n v="79.900000000000006"/>
    <n v="5"/>
    <n v="52.1"/>
    <n v="2.66"/>
    <n v="48.7"/>
    <n v="0.56999999999999995"/>
    <x v="57"/>
    <x v="573"/>
    <n v="4.28"/>
    <n v="133.16666666666671"/>
    <n v="5"/>
    <n v="65.125"/>
    <n v="6.65"/>
    <n v="121.75"/>
    <n v="28.5"/>
    <n v="133"/>
    <x v="1"/>
    <s v="PM2.5"/>
  </r>
  <r>
    <x v="257"/>
    <x v="0"/>
    <n v="68.900000000000006"/>
    <n v="150.69999999999999"/>
    <n v="46"/>
    <n v="12.48"/>
    <n v="26.6"/>
    <n v="2.0699999999999998"/>
    <x v="137"/>
    <x v="206"/>
    <n v="2.5299999999999998"/>
    <n v="114.8333333333333"/>
    <n v="150.69999999999999"/>
    <n v="57.5"/>
    <n v="31.2"/>
    <n v="66.5"/>
    <n v="103.5"/>
    <n v="151"/>
    <x v="1"/>
    <s v="PM10"/>
  </r>
  <r>
    <x v="257"/>
    <x v="1"/>
    <n v="52.8"/>
    <n v="174.7"/>
    <n v="42.8"/>
    <n v="12.93"/>
    <n v="88"/>
    <n v="0.96"/>
    <x v="78"/>
    <x v="477"/>
    <n v="1.98"/>
    <n v="88"/>
    <n v="174.7"/>
    <n v="53.5"/>
    <n v="32.325000000000003"/>
    <n v="220"/>
    <n v="48"/>
    <n v="220"/>
    <x v="0"/>
    <s v="O3"/>
  </r>
  <r>
    <x v="257"/>
    <x v="2"/>
    <n v="70.2"/>
    <n v="145.69999999999999"/>
    <n v="63.3"/>
    <n v="4.72"/>
    <n v="15.6"/>
    <n v="0.96"/>
    <x v="156"/>
    <x v="513"/>
    <n v="1.1100000000000001"/>
    <n v="117"/>
    <n v="145.69999999999999"/>
    <n v="79.125"/>
    <n v="11.8"/>
    <n v="39"/>
    <n v="48"/>
    <n v="146"/>
    <x v="1"/>
    <s v="PM10"/>
  </r>
  <r>
    <x v="257"/>
    <x v="3"/>
    <n v="130"/>
    <n v="197.8"/>
    <n v="45.3"/>
    <n v="12.34"/>
    <n v="1"/>
    <n v="2.71"/>
    <x v="122"/>
    <x v="422"/>
    <n v="0.27"/>
    <n v="216.66666666666671"/>
    <n v="197.8"/>
    <n v="56.624999999999993"/>
    <n v="30.85"/>
    <n v="2.5"/>
    <n v="135.5"/>
    <n v="217"/>
    <x v="0"/>
    <s v="PM2.5"/>
  </r>
  <r>
    <x v="257"/>
    <x v="4"/>
    <n v="82"/>
    <n v="59"/>
    <n v="51.7"/>
    <n v="5.81"/>
    <n v="14.4"/>
    <n v="0.79"/>
    <x v="102"/>
    <x v="310"/>
    <n v="2.1"/>
    <n v="136.66666666666671"/>
    <n v="59"/>
    <n v="64.625"/>
    <n v="14.525"/>
    <n v="36.000000000000007"/>
    <n v="39.5"/>
    <n v="137"/>
    <x v="1"/>
    <s v="PM2.5"/>
  </r>
  <r>
    <x v="258"/>
    <x v="0"/>
    <n v="91.9"/>
    <n v="317.60000000000002"/>
    <n v="62.7"/>
    <n v="3.93"/>
    <n v="35.4"/>
    <n v="1.4"/>
    <x v="260"/>
    <x v="574"/>
    <n v="2.76"/>
    <n v="153.16666666666671"/>
    <n v="317.60000000000002"/>
    <n v="78.375"/>
    <n v="9.8250000000000011"/>
    <n v="88.5"/>
    <n v="69.999999999999986"/>
    <n v="318"/>
    <x v="2"/>
    <s v="PM10"/>
  </r>
  <r>
    <x v="258"/>
    <x v="1"/>
    <n v="109"/>
    <n v="126.4"/>
    <n v="89.4"/>
    <n v="8.9600000000000009"/>
    <n v="19.7"/>
    <n v="3.13"/>
    <x v="323"/>
    <x v="496"/>
    <n v="1.75"/>
    <n v="181.66666666666671"/>
    <n v="126.4"/>
    <n v="111.75"/>
    <n v="22.4"/>
    <n v="49.249999999999993"/>
    <n v="156.5"/>
    <n v="182"/>
    <x v="1"/>
    <s v="PM2.5"/>
  </r>
  <r>
    <x v="258"/>
    <x v="2"/>
    <n v="128.5"/>
    <n v="217"/>
    <n v="71.099999999999994"/>
    <n v="6.03"/>
    <n v="95.6"/>
    <n v="1.35"/>
    <x v="313"/>
    <x v="161"/>
    <n v="2.44"/>
    <n v="214.16666666666671"/>
    <n v="217"/>
    <n v="88.875"/>
    <n v="15.074999999999999"/>
    <n v="239"/>
    <n v="67.5"/>
    <n v="239"/>
    <x v="0"/>
    <s v="O3"/>
  </r>
  <r>
    <x v="258"/>
    <x v="3"/>
    <n v="52.4"/>
    <n v="107.4"/>
    <n v="57.2"/>
    <n v="9.84"/>
    <n v="39.200000000000003"/>
    <n v="2.11"/>
    <x v="324"/>
    <x v="169"/>
    <n v="3.36"/>
    <n v="87.333333333333329"/>
    <n v="107.4"/>
    <n v="71.500000000000014"/>
    <n v="24.6"/>
    <n v="98"/>
    <n v="105.5"/>
    <n v="107"/>
    <x v="1"/>
    <s v="PM10"/>
  </r>
  <r>
    <x v="258"/>
    <x v="4"/>
    <n v="103.8"/>
    <n v="127.7"/>
    <n v="54.1"/>
    <n v="14.22"/>
    <n v="85"/>
    <n v="1.1200000000000001"/>
    <x v="100"/>
    <x v="481"/>
    <n v="0.45"/>
    <n v="173"/>
    <n v="127.7"/>
    <n v="67.625"/>
    <n v="35.549999999999997"/>
    <n v="212.5"/>
    <n v="56.000000000000007"/>
    <n v="212"/>
    <x v="0"/>
    <s v="O3"/>
  </r>
  <r>
    <x v="259"/>
    <x v="0"/>
    <n v="45.2"/>
    <n v="239.1"/>
    <n v="76.900000000000006"/>
    <n v="12.2"/>
    <n v="33.1"/>
    <n v="0.77"/>
    <x v="122"/>
    <x v="92"/>
    <n v="1.75"/>
    <n v="75.333333333333329"/>
    <n v="239.1"/>
    <n v="96.125"/>
    <n v="30.5"/>
    <n v="82.75"/>
    <n v="38.5"/>
    <n v="239"/>
    <x v="0"/>
    <s v="PM10"/>
  </r>
  <r>
    <x v="259"/>
    <x v="1"/>
    <n v="78.8"/>
    <n v="93.5"/>
    <n v="77.3"/>
    <n v="6.63"/>
    <n v="47"/>
    <n v="0.24"/>
    <x v="325"/>
    <x v="213"/>
    <n v="0.91"/>
    <n v="131.33333333333329"/>
    <n v="93.5"/>
    <n v="96.625"/>
    <n v="16.574999999999999"/>
    <n v="117.5"/>
    <n v="12"/>
    <n v="131"/>
    <x v="1"/>
    <s v="PM2.5"/>
  </r>
  <r>
    <x v="259"/>
    <x v="2"/>
    <n v="117"/>
    <n v="5"/>
    <n v="27.5"/>
    <n v="7.68"/>
    <n v="29.3"/>
    <n v="0.51"/>
    <x v="17"/>
    <x v="120"/>
    <n v="2.16"/>
    <n v="195"/>
    <n v="5"/>
    <n v="34.375"/>
    <n v="19.2"/>
    <n v="73.25"/>
    <n v="25.5"/>
    <n v="195"/>
    <x v="1"/>
    <s v="PM2.5"/>
  </r>
  <r>
    <x v="259"/>
    <x v="3"/>
    <n v="118.6"/>
    <n v="124.7"/>
    <n v="68.7"/>
    <n v="10.53"/>
    <n v="67.8"/>
    <n v="0.05"/>
    <x v="107"/>
    <x v="531"/>
    <n v="1.81"/>
    <n v="197.66666666666671"/>
    <n v="124.7"/>
    <n v="85.875"/>
    <n v="26.324999999999999"/>
    <n v="169.5"/>
    <n v="2.5"/>
    <n v="198"/>
    <x v="1"/>
    <s v="PM2.5"/>
  </r>
  <r>
    <x v="259"/>
    <x v="4"/>
    <n v="124.2"/>
    <n v="229.9"/>
    <n v="39.200000000000003"/>
    <n v="6.03"/>
    <n v="16.100000000000001"/>
    <n v="0.9"/>
    <x v="225"/>
    <x v="84"/>
    <n v="1.25"/>
    <n v="207"/>
    <n v="229.9"/>
    <n v="49"/>
    <n v="15.074999999999999"/>
    <n v="40.25"/>
    <n v="45"/>
    <n v="230"/>
    <x v="0"/>
    <s v="PM10"/>
  </r>
  <r>
    <x v="260"/>
    <x v="0"/>
    <n v="89.8"/>
    <n v="181.3"/>
    <n v="13.5"/>
    <n v="18.11"/>
    <n v="60.8"/>
    <n v="1.9"/>
    <x v="134"/>
    <x v="243"/>
    <n v="3.85"/>
    <n v="149.66666666666671"/>
    <n v="181.3"/>
    <n v="16.875"/>
    <n v="45.274999999999999"/>
    <n v="152"/>
    <n v="95"/>
    <n v="181"/>
    <x v="1"/>
    <s v="PM10"/>
  </r>
  <r>
    <x v="260"/>
    <x v="1"/>
    <n v="71.3"/>
    <n v="300.10000000000002"/>
    <n v="57.4"/>
    <n v="17.13"/>
    <n v="59.2"/>
    <n v="1.94"/>
    <x v="306"/>
    <x v="575"/>
    <n v="1.62"/>
    <n v="118.8333333333333"/>
    <n v="300.10000000000002"/>
    <n v="71.75"/>
    <n v="42.825000000000003"/>
    <n v="148"/>
    <n v="97"/>
    <n v="300"/>
    <x v="0"/>
    <s v="PM10"/>
  </r>
  <r>
    <x v="260"/>
    <x v="2"/>
    <n v="32.9"/>
    <n v="213.4"/>
    <n v="38.700000000000003"/>
    <n v="2.83"/>
    <n v="29.5"/>
    <n v="0.4"/>
    <x v="88"/>
    <x v="32"/>
    <n v="3.14"/>
    <n v="54.833333333333329"/>
    <n v="213.4"/>
    <n v="48.375"/>
    <n v="7.0750000000000002"/>
    <n v="73.75"/>
    <n v="20"/>
    <n v="213"/>
    <x v="0"/>
    <s v="PM10"/>
  </r>
  <r>
    <x v="260"/>
    <x v="3"/>
    <n v="100.7"/>
    <n v="90"/>
    <n v="55.6"/>
    <n v="2.85"/>
    <n v="101.1"/>
    <n v="1.76"/>
    <x v="208"/>
    <x v="186"/>
    <n v="2.36"/>
    <n v="167.83333333333329"/>
    <n v="90"/>
    <n v="69.5"/>
    <n v="7.125"/>
    <n v="252.75"/>
    <n v="88"/>
    <n v="253"/>
    <x v="0"/>
    <s v="O3"/>
  </r>
  <r>
    <x v="260"/>
    <x v="4"/>
    <n v="54.8"/>
    <n v="260.89999999999998"/>
    <n v="22.5"/>
    <n v="9.5399999999999991"/>
    <n v="43.5"/>
    <n v="1.24"/>
    <x v="32"/>
    <x v="26"/>
    <n v="4.05"/>
    <n v="91.333333333333329"/>
    <n v="260.89999999999998"/>
    <n v="28.125"/>
    <n v="23.85"/>
    <n v="108.75"/>
    <n v="62"/>
    <n v="261"/>
    <x v="0"/>
    <s v="PM10"/>
  </r>
  <r>
    <x v="261"/>
    <x v="0"/>
    <n v="90"/>
    <n v="166.9"/>
    <n v="2"/>
    <n v="10.92"/>
    <n v="1"/>
    <n v="1.83"/>
    <x v="127"/>
    <x v="165"/>
    <n v="2.19"/>
    <n v="150"/>
    <n v="166.9"/>
    <n v="2.5"/>
    <n v="27.3"/>
    <n v="2.5"/>
    <n v="91.5"/>
    <n v="167"/>
    <x v="1"/>
    <s v="PM10"/>
  </r>
  <r>
    <x v="261"/>
    <x v="1"/>
    <n v="52.5"/>
    <n v="242.7"/>
    <n v="58.6"/>
    <n v="20.8"/>
    <n v="62.9"/>
    <n v="1.68"/>
    <x v="275"/>
    <x v="217"/>
    <n v="0.41"/>
    <n v="87.5"/>
    <n v="242.7"/>
    <n v="73.25"/>
    <n v="52.000000000000007"/>
    <n v="157.25"/>
    <n v="83.999999999999986"/>
    <n v="243"/>
    <x v="0"/>
    <s v="PM10"/>
  </r>
  <r>
    <x v="261"/>
    <x v="2"/>
    <n v="59.4"/>
    <n v="110"/>
    <n v="56.5"/>
    <n v="6.71"/>
    <n v="13.3"/>
    <n v="1.1399999999999999"/>
    <x v="91"/>
    <x v="372"/>
    <n v="3.37"/>
    <n v="98.999999999999986"/>
    <n v="110"/>
    <n v="70.625"/>
    <n v="16.774999999999999"/>
    <n v="33.25"/>
    <n v="56.999999999999993"/>
    <n v="110"/>
    <x v="1"/>
    <s v="PM10"/>
  </r>
  <r>
    <x v="261"/>
    <x v="3"/>
    <n v="77.400000000000006"/>
    <n v="148"/>
    <n v="71.099999999999994"/>
    <n v="4.67"/>
    <n v="4.2"/>
    <n v="1.1599999999999999"/>
    <x v="260"/>
    <x v="576"/>
    <n v="2.4"/>
    <n v="129"/>
    <n v="148"/>
    <n v="88.875"/>
    <n v="11.675000000000001"/>
    <n v="10.5"/>
    <n v="57.999999999999993"/>
    <n v="148"/>
    <x v="1"/>
    <s v="PM10"/>
  </r>
  <r>
    <x v="261"/>
    <x v="4"/>
    <n v="45.8"/>
    <n v="10.8"/>
    <n v="39.799999999999997"/>
    <n v="2.5499999999999998"/>
    <n v="50.4"/>
    <n v="0.89"/>
    <x v="39"/>
    <x v="573"/>
    <n v="3.82"/>
    <n v="76.333333333333329"/>
    <n v="10.8"/>
    <n v="49.749999999999993"/>
    <n v="6.375"/>
    <n v="126"/>
    <n v="44.5"/>
    <n v="126"/>
    <x v="1"/>
    <s v="O3"/>
  </r>
  <r>
    <x v="262"/>
    <x v="0"/>
    <n v="15.5"/>
    <n v="241.9"/>
    <n v="88"/>
    <n v="9.31"/>
    <n v="84"/>
    <n v="1"/>
    <x v="326"/>
    <x v="248"/>
    <n v="4.58"/>
    <n v="25.833333333333329"/>
    <n v="241.9"/>
    <n v="110"/>
    <n v="23.274999999999999"/>
    <n v="210"/>
    <n v="50"/>
    <n v="242"/>
    <x v="0"/>
    <s v="PM10"/>
  </r>
  <r>
    <x v="262"/>
    <x v="1"/>
    <n v="19.100000000000001"/>
    <n v="150"/>
    <n v="57.1"/>
    <n v="6.79"/>
    <n v="36.1"/>
    <n v="1.55"/>
    <x v="66"/>
    <x v="536"/>
    <n v="2.76"/>
    <n v="31.833333333333339"/>
    <n v="150"/>
    <n v="71.375000000000014"/>
    <n v="16.975000000000001"/>
    <n v="90.25"/>
    <n v="77.5"/>
    <n v="150"/>
    <x v="1"/>
    <s v="PM10"/>
  </r>
  <r>
    <x v="262"/>
    <x v="2"/>
    <n v="87.6"/>
    <n v="163.6"/>
    <n v="27.4"/>
    <n v="1.66"/>
    <n v="31.3"/>
    <n v="2.0299999999999998"/>
    <x v="296"/>
    <x v="577"/>
    <n v="3.57"/>
    <n v="146"/>
    <n v="163.6"/>
    <n v="34.249999999999993"/>
    <n v="4.1500000000000004"/>
    <n v="78.25"/>
    <n v="101.5"/>
    <n v="164"/>
    <x v="1"/>
    <s v="PM10"/>
  </r>
  <r>
    <x v="262"/>
    <x v="3"/>
    <n v="72.599999999999994"/>
    <n v="127.2"/>
    <n v="58.2"/>
    <n v="5.27"/>
    <n v="4.5999999999999996"/>
    <n v="1.63"/>
    <x v="221"/>
    <x v="540"/>
    <n v="3.49"/>
    <n v="121"/>
    <n v="127.2"/>
    <n v="72.750000000000014"/>
    <n v="13.175000000000001"/>
    <n v="11.5"/>
    <n v="81.499999999999986"/>
    <n v="127"/>
    <x v="1"/>
    <s v="PM10"/>
  </r>
  <r>
    <x v="262"/>
    <x v="4"/>
    <n v="121.5"/>
    <n v="131.9"/>
    <n v="31.5"/>
    <n v="9.48"/>
    <n v="28.9"/>
    <n v="0.91"/>
    <x v="145"/>
    <x v="15"/>
    <n v="1.27"/>
    <n v="202.5"/>
    <n v="131.9"/>
    <n v="39.375"/>
    <n v="23.7"/>
    <n v="72.25"/>
    <n v="45.5"/>
    <n v="202"/>
    <x v="0"/>
    <s v="PM2.5"/>
  </r>
  <r>
    <x v="263"/>
    <x v="0"/>
    <n v="69.7"/>
    <n v="136.5"/>
    <n v="59.7"/>
    <n v="19.98"/>
    <n v="49"/>
    <n v="1.79"/>
    <x v="156"/>
    <x v="0"/>
    <n v="1.87"/>
    <n v="116.1666666666667"/>
    <n v="136.5"/>
    <n v="74.625"/>
    <n v="49.95"/>
    <n v="122.5"/>
    <n v="89.5"/>
    <n v="136"/>
    <x v="1"/>
    <s v="PM10"/>
  </r>
  <r>
    <x v="263"/>
    <x v="1"/>
    <n v="77.7"/>
    <n v="141.80000000000001"/>
    <n v="82.1"/>
    <n v="1.81"/>
    <n v="1"/>
    <n v="1.34"/>
    <x v="77"/>
    <x v="42"/>
    <n v="3.98"/>
    <n v="129.5"/>
    <n v="141.80000000000001"/>
    <n v="102.625"/>
    <n v="4.5250000000000004"/>
    <n v="2.5"/>
    <n v="67"/>
    <n v="142"/>
    <x v="1"/>
    <s v="PM10"/>
  </r>
  <r>
    <x v="263"/>
    <x v="2"/>
    <n v="69.5"/>
    <n v="81.900000000000006"/>
    <n v="2"/>
    <n v="6.47"/>
    <n v="62.4"/>
    <n v="0.92"/>
    <x v="300"/>
    <x v="578"/>
    <n v="1.28"/>
    <n v="115.8333333333333"/>
    <n v="81.900000000000006"/>
    <n v="2.5"/>
    <n v="16.175000000000001"/>
    <n v="156"/>
    <n v="46"/>
    <n v="156"/>
    <x v="1"/>
    <s v="O3"/>
  </r>
  <r>
    <x v="263"/>
    <x v="3"/>
    <n v="78.7"/>
    <n v="218.2"/>
    <n v="41.5"/>
    <n v="2.35"/>
    <n v="38.299999999999997"/>
    <n v="0.05"/>
    <x v="69"/>
    <x v="412"/>
    <n v="4.51"/>
    <n v="131.16666666666671"/>
    <n v="218.2"/>
    <n v="51.875"/>
    <n v="5.875"/>
    <n v="95.749999999999986"/>
    <n v="2.5"/>
    <n v="218"/>
    <x v="0"/>
    <s v="PM10"/>
  </r>
  <r>
    <x v="263"/>
    <x v="4"/>
    <n v="59.6"/>
    <n v="159"/>
    <n v="30.6"/>
    <n v="6.84"/>
    <n v="2.1"/>
    <n v="1.19"/>
    <x v="107"/>
    <x v="12"/>
    <n v="2.25"/>
    <n v="99.333333333333329"/>
    <n v="159"/>
    <n v="38.25"/>
    <n v="17.100000000000001"/>
    <n v="5.25"/>
    <n v="59.5"/>
    <n v="159"/>
    <x v="1"/>
    <s v="PM10"/>
  </r>
  <r>
    <x v="264"/>
    <x v="0"/>
    <n v="71.900000000000006"/>
    <n v="115"/>
    <n v="44.1"/>
    <n v="9.66"/>
    <n v="47.2"/>
    <n v="1.91"/>
    <x v="32"/>
    <x v="544"/>
    <n v="2.2799999999999998"/>
    <n v="119.8333333333333"/>
    <n v="115"/>
    <n v="55.125"/>
    <n v="24.15"/>
    <n v="118"/>
    <n v="95.5"/>
    <n v="120"/>
    <x v="1"/>
    <s v="PM2.5"/>
  </r>
  <r>
    <x v="264"/>
    <x v="1"/>
    <n v="48.2"/>
    <n v="123"/>
    <n v="107"/>
    <n v="4.3"/>
    <n v="41.3"/>
    <n v="1.21"/>
    <x v="19"/>
    <x v="279"/>
    <n v="2.84"/>
    <n v="80.333333333333343"/>
    <n v="123"/>
    <n v="133.75"/>
    <n v="10.75"/>
    <n v="103.25"/>
    <n v="60.5"/>
    <n v="134"/>
    <x v="1"/>
    <s v="NO2"/>
  </r>
  <r>
    <x v="264"/>
    <x v="2"/>
    <n v="8.3000000000000007"/>
    <n v="173.1"/>
    <n v="54.8"/>
    <n v="1.7"/>
    <n v="1"/>
    <n v="0.57999999999999996"/>
    <x v="19"/>
    <x v="62"/>
    <n v="3.15"/>
    <n v="13.83333333333333"/>
    <n v="173.1"/>
    <n v="68.499999999999986"/>
    <n v="4.25"/>
    <n v="2.5"/>
    <n v="29"/>
    <n v="173"/>
    <x v="1"/>
    <s v="PM10"/>
  </r>
  <r>
    <x v="264"/>
    <x v="3"/>
    <n v="5.8"/>
    <n v="78.599999999999994"/>
    <n v="43.9"/>
    <n v="9.27"/>
    <n v="7.1"/>
    <n v="1.1200000000000001"/>
    <x v="40"/>
    <x v="175"/>
    <n v="2.81"/>
    <n v="9.6666666666666679"/>
    <n v="78.599999999999994"/>
    <n v="54.875"/>
    <n v="23.175000000000001"/>
    <n v="17.75"/>
    <n v="56.000000000000007"/>
    <n v="79"/>
    <x v="3"/>
    <s v="PM10"/>
  </r>
  <r>
    <x v="264"/>
    <x v="4"/>
    <n v="91.5"/>
    <n v="187.5"/>
    <n v="62.1"/>
    <n v="6.06"/>
    <n v="63.7"/>
    <n v="1.52"/>
    <x v="108"/>
    <x v="172"/>
    <n v="2.4"/>
    <n v="152.5"/>
    <n v="187.5"/>
    <n v="77.625"/>
    <n v="15.15"/>
    <n v="159.25"/>
    <n v="76"/>
    <n v="188"/>
    <x v="1"/>
    <s v="PM10"/>
  </r>
  <r>
    <x v="265"/>
    <x v="0"/>
    <n v="71.5"/>
    <n v="306.39999999999998"/>
    <n v="58.7"/>
    <n v="5.69"/>
    <n v="22.1"/>
    <n v="1.04"/>
    <x v="232"/>
    <x v="144"/>
    <n v="3.59"/>
    <n v="119.1666666666667"/>
    <n v="306.39999999999998"/>
    <n v="73.375000000000014"/>
    <n v="14.225"/>
    <n v="55.25"/>
    <n v="52.000000000000007"/>
    <n v="306"/>
    <x v="2"/>
    <s v="PM10"/>
  </r>
  <r>
    <x v="265"/>
    <x v="1"/>
    <n v="60.9"/>
    <n v="169.6"/>
    <n v="76"/>
    <n v="6.43"/>
    <n v="30"/>
    <n v="2.74"/>
    <x v="327"/>
    <x v="579"/>
    <n v="3.44"/>
    <n v="101.5"/>
    <n v="169.6"/>
    <n v="95"/>
    <n v="16.074999999999999"/>
    <n v="75"/>
    <n v="137"/>
    <n v="170"/>
    <x v="1"/>
    <s v="PM10"/>
  </r>
  <r>
    <x v="265"/>
    <x v="2"/>
    <n v="70.099999999999994"/>
    <n v="229"/>
    <n v="43.6"/>
    <n v="10.34"/>
    <n v="3.5"/>
    <n v="0.67"/>
    <x v="6"/>
    <x v="580"/>
    <n v="0.2"/>
    <n v="116.8333333333333"/>
    <n v="229"/>
    <n v="54.5"/>
    <n v="25.85"/>
    <n v="8.75"/>
    <n v="33.5"/>
    <n v="229"/>
    <x v="0"/>
    <s v="PM10"/>
  </r>
  <r>
    <x v="265"/>
    <x v="3"/>
    <n v="47.9"/>
    <n v="5"/>
    <n v="28.4"/>
    <n v="5.55"/>
    <n v="74.599999999999994"/>
    <n v="1.44"/>
    <x v="4"/>
    <x v="374"/>
    <n v="2.52"/>
    <n v="79.833333333333329"/>
    <n v="5"/>
    <n v="35.5"/>
    <n v="13.875"/>
    <n v="186.5"/>
    <n v="72"/>
    <n v="186"/>
    <x v="1"/>
    <s v="O3"/>
  </r>
  <r>
    <x v="265"/>
    <x v="4"/>
    <n v="67.2"/>
    <n v="52.6"/>
    <n v="27.7"/>
    <n v="4.26"/>
    <n v="45.3"/>
    <n v="1.37"/>
    <x v="129"/>
    <x v="581"/>
    <n v="0.2"/>
    <n v="112"/>
    <n v="52.6"/>
    <n v="34.624999999999993"/>
    <n v="10.65"/>
    <n v="113.25"/>
    <n v="68.5"/>
    <n v="113"/>
    <x v="1"/>
    <s v="O3"/>
  </r>
  <r>
    <x v="266"/>
    <x v="0"/>
    <n v="78.099999999999994"/>
    <n v="37.9"/>
    <n v="29.5"/>
    <n v="4.53"/>
    <n v="26.9"/>
    <n v="0.43"/>
    <x v="196"/>
    <x v="432"/>
    <n v="2.93"/>
    <n v="130.16666666666671"/>
    <n v="37.9"/>
    <n v="36.875"/>
    <n v="11.324999999999999"/>
    <n v="67.249999999999986"/>
    <n v="21.5"/>
    <n v="130"/>
    <x v="1"/>
    <s v="PM2.5"/>
  </r>
  <r>
    <x v="266"/>
    <x v="1"/>
    <n v="158.9"/>
    <n v="50.3"/>
    <n v="49.1"/>
    <n v="0.5"/>
    <n v="40.6"/>
    <n v="1.98"/>
    <x v="164"/>
    <x v="115"/>
    <n v="3.57"/>
    <n v="264.83333333333343"/>
    <n v="50.3"/>
    <n v="61.375"/>
    <n v="1.25"/>
    <n v="101.5"/>
    <n v="99"/>
    <n v="265"/>
    <x v="0"/>
    <s v="PM2.5"/>
  </r>
  <r>
    <x v="266"/>
    <x v="2"/>
    <n v="129.6"/>
    <n v="211.6"/>
    <n v="32.799999999999997"/>
    <n v="0.71"/>
    <n v="28.4"/>
    <n v="0.6"/>
    <x v="247"/>
    <x v="46"/>
    <n v="2.41"/>
    <n v="216"/>
    <n v="211.6"/>
    <n v="40.999999999999993"/>
    <n v="1.7749999999999999"/>
    <n v="71"/>
    <n v="30"/>
    <n v="216"/>
    <x v="0"/>
    <s v="PM2.5"/>
  </r>
  <r>
    <x v="266"/>
    <x v="3"/>
    <n v="85.1"/>
    <n v="114"/>
    <n v="26.1"/>
    <n v="13.87"/>
    <n v="1"/>
    <n v="1"/>
    <x v="226"/>
    <x v="297"/>
    <n v="2.72"/>
    <n v="141.83333333333329"/>
    <n v="114"/>
    <n v="32.625"/>
    <n v="34.674999999999997"/>
    <n v="2.5"/>
    <n v="50"/>
    <n v="142"/>
    <x v="1"/>
    <s v="PM2.5"/>
  </r>
  <r>
    <x v="266"/>
    <x v="4"/>
    <n v="86.1"/>
    <n v="129.69999999999999"/>
    <n v="41.4"/>
    <n v="6.56"/>
    <n v="27.2"/>
    <n v="1.84"/>
    <x v="49"/>
    <x v="434"/>
    <n v="3.02"/>
    <n v="143.5"/>
    <n v="129.69999999999999"/>
    <n v="51.75"/>
    <n v="16.399999999999999"/>
    <n v="68"/>
    <n v="92"/>
    <n v="144"/>
    <x v="1"/>
    <s v="PM2.5"/>
  </r>
  <r>
    <x v="267"/>
    <x v="0"/>
    <n v="51"/>
    <n v="180.7"/>
    <n v="35"/>
    <n v="12.87"/>
    <n v="52.1"/>
    <n v="0.97"/>
    <x v="197"/>
    <x v="582"/>
    <n v="3.89"/>
    <n v="85"/>
    <n v="180.7"/>
    <n v="43.75"/>
    <n v="32.174999999999997"/>
    <n v="130.25"/>
    <n v="48.5"/>
    <n v="181"/>
    <x v="1"/>
    <s v="PM10"/>
  </r>
  <r>
    <x v="267"/>
    <x v="1"/>
    <n v="111.2"/>
    <n v="186.8"/>
    <n v="28.1"/>
    <n v="25.3"/>
    <n v="6.1"/>
    <n v="2.21"/>
    <x v="145"/>
    <x v="278"/>
    <n v="2.35"/>
    <n v="185.33333333333329"/>
    <n v="186.8"/>
    <n v="35.125"/>
    <n v="63.25"/>
    <n v="15.25"/>
    <n v="110.5"/>
    <n v="187"/>
    <x v="1"/>
    <s v="PM10"/>
  </r>
  <r>
    <x v="267"/>
    <x v="2"/>
    <n v="54.8"/>
    <n v="188.4"/>
    <n v="29.2"/>
    <n v="6.36"/>
    <n v="1"/>
    <n v="2.13"/>
    <x v="64"/>
    <x v="535"/>
    <n v="2.38"/>
    <n v="91.333333333333329"/>
    <n v="188.4"/>
    <n v="36.5"/>
    <n v="15.9"/>
    <n v="2.5"/>
    <n v="106.5"/>
    <n v="188"/>
    <x v="1"/>
    <s v="PM10"/>
  </r>
  <r>
    <x v="267"/>
    <x v="3"/>
    <n v="57.1"/>
    <n v="168.6"/>
    <n v="78.400000000000006"/>
    <n v="9.26"/>
    <n v="56.4"/>
    <n v="1.4"/>
    <x v="166"/>
    <x v="455"/>
    <n v="3.79"/>
    <n v="95.166666666666657"/>
    <n v="168.6"/>
    <n v="98"/>
    <n v="23.15"/>
    <n v="141"/>
    <n v="69.999999999999986"/>
    <n v="169"/>
    <x v="1"/>
    <s v="PM10"/>
  </r>
  <r>
    <x v="267"/>
    <x v="4"/>
    <n v="102.6"/>
    <n v="203.4"/>
    <n v="35"/>
    <n v="7.87"/>
    <n v="50.6"/>
    <n v="0.42"/>
    <x v="272"/>
    <x v="559"/>
    <n v="3.34"/>
    <n v="171"/>
    <n v="203.4"/>
    <n v="43.75"/>
    <n v="19.675000000000001"/>
    <n v="126.5"/>
    <n v="21"/>
    <n v="203"/>
    <x v="0"/>
    <s v="PM10"/>
  </r>
  <r>
    <x v="268"/>
    <x v="0"/>
    <n v="49.1"/>
    <n v="46.4"/>
    <n v="37.9"/>
    <n v="10.46"/>
    <n v="65.400000000000006"/>
    <n v="1.49"/>
    <x v="69"/>
    <x v="583"/>
    <n v="3.1"/>
    <n v="81.833333333333343"/>
    <n v="46.4"/>
    <n v="47.375"/>
    <n v="26.15"/>
    <n v="163.5"/>
    <n v="74.5"/>
    <n v="164"/>
    <x v="1"/>
    <s v="O3"/>
  </r>
  <r>
    <x v="268"/>
    <x v="1"/>
    <n v="130.6"/>
    <n v="202.9"/>
    <n v="76.5"/>
    <n v="11.84"/>
    <n v="3"/>
    <n v="0.72"/>
    <x v="247"/>
    <x v="559"/>
    <n v="3.03"/>
    <n v="217.66666666666671"/>
    <n v="202.9"/>
    <n v="95.625"/>
    <n v="29.6"/>
    <n v="7.5"/>
    <n v="36"/>
    <n v="218"/>
    <x v="0"/>
    <s v="PM2.5"/>
  </r>
  <r>
    <x v="268"/>
    <x v="2"/>
    <n v="104.8"/>
    <n v="155.4"/>
    <n v="66.7"/>
    <n v="8.0500000000000007"/>
    <n v="18.8"/>
    <n v="1.1100000000000001"/>
    <x v="94"/>
    <x v="571"/>
    <n v="3.45"/>
    <n v="174.66666666666671"/>
    <n v="155.4"/>
    <n v="83.375"/>
    <n v="20.125"/>
    <n v="47"/>
    <n v="55.500000000000007"/>
    <n v="175"/>
    <x v="1"/>
    <s v="PM2.5"/>
  </r>
  <r>
    <x v="268"/>
    <x v="3"/>
    <n v="75.599999999999994"/>
    <n v="194.2"/>
    <n v="4.5999999999999996"/>
    <n v="10.94"/>
    <n v="7.2"/>
    <n v="1.2"/>
    <x v="11"/>
    <x v="394"/>
    <n v="2.77"/>
    <n v="126"/>
    <n v="194.2"/>
    <n v="5.75"/>
    <n v="27.35"/>
    <n v="18"/>
    <n v="60"/>
    <n v="194"/>
    <x v="1"/>
    <s v="PM10"/>
  </r>
  <r>
    <x v="268"/>
    <x v="4"/>
    <n v="110.4"/>
    <n v="92.3"/>
    <n v="65.099999999999994"/>
    <n v="9.69"/>
    <n v="1"/>
    <n v="0.71"/>
    <x v="53"/>
    <x v="94"/>
    <n v="3.56"/>
    <n v="184"/>
    <n v="92.3"/>
    <n v="81.374999999999986"/>
    <n v="24.225000000000001"/>
    <n v="2.5"/>
    <n v="35.5"/>
    <n v="184"/>
    <x v="1"/>
    <s v="PM2.5"/>
  </r>
  <r>
    <x v="269"/>
    <x v="0"/>
    <n v="28.7"/>
    <n v="128.30000000000001"/>
    <n v="98.2"/>
    <n v="9.84"/>
    <n v="36.6"/>
    <n v="1.72"/>
    <x v="113"/>
    <x v="478"/>
    <n v="3.1"/>
    <n v="47.833333333333329"/>
    <n v="128.30000000000001"/>
    <n v="122.75"/>
    <n v="24.6"/>
    <n v="91.5"/>
    <n v="86"/>
    <n v="128"/>
    <x v="1"/>
    <s v="PM10"/>
  </r>
  <r>
    <x v="269"/>
    <x v="1"/>
    <n v="62.7"/>
    <n v="203.9"/>
    <n v="60.5"/>
    <n v="13.01"/>
    <n v="26.3"/>
    <n v="0.88"/>
    <x v="150"/>
    <x v="194"/>
    <n v="2.84"/>
    <n v="104.5"/>
    <n v="203.9"/>
    <n v="75.625"/>
    <n v="32.524999999999999"/>
    <n v="65.75"/>
    <n v="44"/>
    <n v="204"/>
    <x v="0"/>
    <s v="PM10"/>
  </r>
  <r>
    <x v="269"/>
    <x v="2"/>
    <n v="48.3"/>
    <n v="165.2"/>
    <n v="31.2"/>
    <n v="6.96"/>
    <n v="56.7"/>
    <n v="1.81"/>
    <x v="120"/>
    <x v="584"/>
    <n v="2.88"/>
    <n v="80.5"/>
    <n v="165.2"/>
    <n v="39"/>
    <n v="17.399999999999999"/>
    <n v="141.75"/>
    <n v="90.5"/>
    <n v="165"/>
    <x v="1"/>
    <s v="PM10"/>
  </r>
  <r>
    <x v="269"/>
    <x v="3"/>
    <n v="28.7"/>
    <n v="142.1"/>
    <n v="37.299999999999997"/>
    <n v="10.17"/>
    <n v="38.9"/>
    <n v="1.24"/>
    <x v="290"/>
    <x v="532"/>
    <n v="1.1100000000000001"/>
    <n v="47.833333333333329"/>
    <n v="142.1"/>
    <n v="46.625"/>
    <n v="25.425000000000001"/>
    <n v="97.25"/>
    <n v="62"/>
    <n v="142"/>
    <x v="1"/>
    <s v="PM10"/>
  </r>
  <r>
    <x v="269"/>
    <x v="4"/>
    <n v="29.4"/>
    <n v="156.19999999999999"/>
    <n v="84.8"/>
    <n v="6.86"/>
    <n v="63.3"/>
    <n v="2.0299999999999998"/>
    <x v="235"/>
    <x v="320"/>
    <n v="1.69"/>
    <n v="48.999999999999993"/>
    <n v="156.19999999999999"/>
    <n v="106"/>
    <n v="17.149999999999999"/>
    <n v="158.25"/>
    <n v="101.5"/>
    <n v="158"/>
    <x v="1"/>
    <s v="O3"/>
  </r>
  <r>
    <x v="270"/>
    <x v="0"/>
    <n v="2"/>
    <n v="119.9"/>
    <n v="78.8"/>
    <n v="2.74"/>
    <n v="66.099999999999994"/>
    <n v="0.72"/>
    <x v="109"/>
    <x v="577"/>
    <n v="1.71"/>
    <n v="3.333333333333333"/>
    <n v="119.9"/>
    <n v="98.499999999999986"/>
    <n v="6.8500000000000014"/>
    <n v="165.25"/>
    <n v="36"/>
    <n v="165"/>
    <x v="1"/>
    <s v="O3"/>
  </r>
  <r>
    <x v="270"/>
    <x v="1"/>
    <n v="81.400000000000006"/>
    <n v="118.9"/>
    <n v="73.900000000000006"/>
    <n v="11.47"/>
    <n v="51.8"/>
    <n v="2.67"/>
    <x v="238"/>
    <x v="225"/>
    <n v="2.4"/>
    <n v="135.66666666666671"/>
    <n v="118.9"/>
    <n v="92.375000000000014"/>
    <n v="28.675000000000001"/>
    <n v="129.5"/>
    <n v="133.5"/>
    <n v="136"/>
    <x v="1"/>
    <s v="PM2.5"/>
  </r>
  <r>
    <x v="270"/>
    <x v="2"/>
    <n v="54.8"/>
    <n v="118.6"/>
    <n v="90.7"/>
    <n v="9.36"/>
    <n v="1"/>
    <n v="0.83"/>
    <x v="286"/>
    <x v="585"/>
    <n v="0.2"/>
    <n v="91.333333333333329"/>
    <n v="118.6"/>
    <n v="113.375"/>
    <n v="23.4"/>
    <n v="2.5"/>
    <n v="41.499999999999993"/>
    <n v="119"/>
    <x v="1"/>
    <s v="PM10"/>
  </r>
  <r>
    <x v="270"/>
    <x v="3"/>
    <n v="33.9"/>
    <n v="28.8"/>
    <n v="52.7"/>
    <n v="8"/>
    <n v="47.6"/>
    <n v="1.1399999999999999"/>
    <x v="193"/>
    <x v="169"/>
    <n v="4.8099999999999996"/>
    <n v="56.499999999999993"/>
    <n v="28.8"/>
    <n v="65.875"/>
    <n v="20"/>
    <n v="119"/>
    <n v="56.999999999999993"/>
    <n v="119"/>
    <x v="1"/>
    <s v="O3"/>
  </r>
  <r>
    <x v="270"/>
    <x v="4"/>
    <n v="79.5"/>
    <n v="103.9"/>
    <n v="18.100000000000001"/>
    <n v="3.81"/>
    <n v="56.5"/>
    <n v="2.0299999999999998"/>
    <x v="157"/>
    <x v="503"/>
    <n v="3.85"/>
    <n v="132.5"/>
    <n v="103.9"/>
    <n v="22.625"/>
    <n v="9.5250000000000004"/>
    <n v="141.25"/>
    <n v="101.5"/>
    <n v="141"/>
    <x v="1"/>
    <s v="O3"/>
  </r>
  <r>
    <x v="271"/>
    <x v="0"/>
    <n v="86.5"/>
    <n v="92.6"/>
    <n v="55.8"/>
    <n v="4.32"/>
    <n v="46.5"/>
    <n v="1.61"/>
    <x v="328"/>
    <x v="189"/>
    <n v="3.08"/>
    <n v="144.16666666666671"/>
    <n v="92.6"/>
    <n v="69.749999999999986"/>
    <n v="10.8"/>
    <n v="116.25"/>
    <n v="80.5"/>
    <n v="144"/>
    <x v="1"/>
    <s v="PM2.5"/>
  </r>
  <r>
    <x v="271"/>
    <x v="1"/>
    <n v="130.5"/>
    <n v="206.9"/>
    <n v="77.099999999999994"/>
    <n v="13.67"/>
    <n v="90.6"/>
    <n v="0.68"/>
    <x v="244"/>
    <x v="586"/>
    <n v="0.2"/>
    <n v="217.5"/>
    <n v="206.9"/>
    <n v="96.374999999999986"/>
    <n v="34.174999999999997"/>
    <n v="226.5"/>
    <n v="34"/>
    <n v="226"/>
    <x v="0"/>
    <s v="O3"/>
  </r>
  <r>
    <x v="271"/>
    <x v="2"/>
    <n v="92.1"/>
    <n v="183.6"/>
    <n v="34.5"/>
    <n v="5.84"/>
    <n v="36.299999999999997"/>
    <n v="1.17"/>
    <x v="108"/>
    <x v="138"/>
    <n v="2.29"/>
    <n v="153.5"/>
    <n v="183.6"/>
    <n v="43.125"/>
    <n v="14.6"/>
    <n v="90.75"/>
    <n v="58.5"/>
    <n v="184"/>
    <x v="1"/>
    <s v="PM10"/>
  </r>
  <r>
    <x v="271"/>
    <x v="3"/>
    <n v="88.3"/>
    <n v="146.80000000000001"/>
    <n v="32.9"/>
    <n v="14.68"/>
    <n v="6"/>
    <n v="1.1399999999999999"/>
    <x v="313"/>
    <x v="291"/>
    <n v="2.87"/>
    <n v="147.16666666666671"/>
    <n v="146.80000000000001"/>
    <n v="41.124999999999993"/>
    <n v="36.700000000000003"/>
    <n v="15"/>
    <n v="56.999999999999993"/>
    <n v="147"/>
    <x v="1"/>
    <s v="PM2.5"/>
  </r>
  <r>
    <x v="271"/>
    <x v="4"/>
    <n v="83.9"/>
    <n v="75.2"/>
    <n v="47.9"/>
    <n v="7.94"/>
    <n v="28.8"/>
    <n v="2.84"/>
    <x v="134"/>
    <x v="57"/>
    <n v="2.5299999999999998"/>
    <n v="139.83333333333329"/>
    <n v="75.2"/>
    <n v="59.875"/>
    <n v="19.850000000000001"/>
    <n v="72.000000000000014"/>
    <n v="142"/>
    <n v="142"/>
    <x v="1"/>
    <s v="CO"/>
  </r>
  <r>
    <x v="272"/>
    <x v="0"/>
    <n v="31.5"/>
    <n v="145.1"/>
    <n v="66.7"/>
    <n v="14.49"/>
    <n v="90.9"/>
    <n v="3.41"/>
    <x v="157"/>
    <x v="332"/>
    <n v="3.04"/>
    <n v="52.5"/>
    <n v="145.1"/>
    <n v="83.375"/>
    <n v="36.225000000000001"/>
    <n v="227.25"/>
    <n v="170.5"/>
    <n v="227"/>
    <x v="0"/>
    <s v="O3"/>
  </r>
  <r>
    <x v="272"/>
    <x v="1"/>
    <n v="65"/>
    <n v="219.4"/>
    <n v="23.8"/>
    <n v="24.8"/>
    <n v="76.8"/>
    <n v="0.24"/>
    <x v="40"/>
    <x v="217"/>
    <n v="3.91"/>
    <n v="108.3333333333333"/>
    <n v="219.4"/>
    <n v="29.75"/>
    <n v="62"/>
    <n v="192"/>
    <n v="12"/>
    <n v="219"/>
    <x v="0"/>
    <s v="PM10"/>
  </r>
  <r>
    <x v="272"/>
    <x v="2"/>
    <n v="20.7"/>
    <n v="154.6"/>
    <n v="5.8"/>
    <n v="7.18"/>
    <n v="64.400000000000006"/>
    <n v="0.83"/>
    <x v="24"/>
    <x v="438"/>
    <n v="1.77"/>
    <n v="34.499999999999993"/>
    <n v="154.6"/>
    <n v="7.2499999999999991"/>
    <n v="17.95"/>
    <n v="161"/>
    <n v="41.499999999999993"/>
    <n v="161"/>
    <x v="1"/>
    <s v="O3"/>
  </r>
  <r>
    <x v="272"/>
    <x v="3"/>
    <n v="78.900000000000006"/>
    <n v="66.900000000000006"/>
    <n v="29.5"/>
    <n v="0.5"/>
    <n v="44.2"/>
    <n v="1.1000000000000001"/>
    <x v="57"/>
    <x v="191"/>
    <n v="3.73"/>
    <n v="131.5"/>
    <n v="66.900000000000006"/>
    <n v="36.875"/>
    <n v="1.25"/>
    <n v="110.5"/>
    <n v="55.000000000000007"/>
    <n v="132"/>
    <x v="1"/>
    <s v="PM2.5"/>
  </r>
  <r>
    <x v="272"/>
    <x v="4"/>
    <n v="58.9"/>
    <n v="149.69999999999999"/>
    <n v="55.5"/>
    <n v="2.1800000000000002"/>
    <n v="100.6"/>
    <n v="1.01"/>
    <x v="238"/>
    <x v="0"/>
    <n v="2.83"/>
    <n v="98.166666666666671"/>
    <n v="149.69999999999999"/>
    <n v="69.375"/>
    <n v="5.45"/>
    <n v="251.5"/>
    <n v="50.5"/>
    <n v="252"/>
    <x v="0"/>
    <s v="O3"/>
  </r>
  <r>
    <x v="273"/>
    <x v="0"/>
    <n v="89.9"/>
    <n v="155"/>
    <n v="19.100000000000001"/>
    <n v="7.29"/>
    <n v="28.4"/>
    <n v="1.06"/>
    <x v="190"/>
    <x v="552"/>
    <n v="4.42"/>
    <n v="149.83333333333329"/>
    <n v="155"/>
    <n v="23.875"/>
    <n v="18.225000000000001"/>
    <n v="71"/>
    <n v="53.000000000000007"/>
    <n v="155"/>
    <x v="1"/>
    <s v="PM10"/>
  </r>
  <r>
    <x v="273"/>
    <x v="1"/>
    <n v="111.7"/>
    <n v="245.3"/>
    <n v="47.6"/>
    <n v="6.02"/>
    <n v="25.7"/>
    <n v="1.98"/>
    <x v="102"/>
    <x v="194"/>
    <n v="4.05"/>
    <n v="186.16666666666671"/>
    <n v="245.3"/>
    <n v="59.500000000000007"/>
    <n v="15.05"/>
    <n v="64.25"/>
    <n v="99"/>
    <n v="245"/>
    <x v="0"/>
    <s v="PM10"/>
  </r>
  <r>
    <x v="273"/>
    <x v="2"/>
    <n v="68.5"/>
    <n v="66.2"/>
    <n v="29.8"/>
    <n v="10.84"/>
    <n v="62.7"/>
    <n v="1.45"/>
    <x v="138"/>
    <x v="587"/>
    <n v="3.03"/>
    <n v="114.1666666666667"/>
    <n v="66.2"/>
    <n v="37.25"/>
    <n v="27.1"/>
    <n v="156.75"/>
    <n v="72.5"/>
    <n v="157"/>
    <x v="1"/>
    <s v="O3"/>
  </r>
  <r>
    <x v="273"/>
    <x v="3"/>
    <n v="34.799999999999997"/>
    <n v="41.4"/>
    <n v="37.299999999999997"/>
    <n v="11.77"/>
    <n v="85.7"/>
    <n v="1.45"/>
    <x v="255"/>
    <x v="269"/>
    <n v="3.25"/>
    <n v="57.999999999999993"/>
    <n v="41.4"/>
    <n v="46.625"/>
    <n v="29.425000000000001"/>
    <n v="214.25"/>
    <n v="72.5"/>
    <n v="214"/>
    <x v="0"/>
    <s v="O3"/>
  </r>
  <r>
    <x v="273"/>
    <x v="4"/>
    <n v="93.2"/>
    <n v="5"/>
    <n v="40.4"/>
    <n v="14.02"/>
    <n v="51.5"/>
    <n v="0.53"/>
    <x v="329"/>
    <x v="214"/>
    <n v="2.91"/>
    <n v="155.33333333333329"/>
    <n v="5"/>
    <n v="50.499999999999993"/>
    <n v="35.049999999999997"/>
    <n v="128.75"/>
    <n v="26.5"/>
    <n v="155"/>
    <x v="1"/>
    <s v="PM2.5"/>
  </r>
  <r>
    <x v="274"/>
    <x v="0"/>
    <n v="38.5"/>
    <n v="147.9"/>
    <n v="63.4"/>
    <n v="13.06"/>
    <n v="1"/>
    <n v="0.47"/>
    <x v="107"/>
    <x v="226"/>
    <n v="3.09"/>
    <n v="64.166666666666657"/>
    <n v="147.9"/>
    <n v="79.25"/>
    <n v="32.65"/>
    <n v="2.5"/>
    <n v="23.5"/>
    <n v="148"/>
    <x v="1"/>
    <s v="PM10"/>
  </r>
  <r>
    <x v="274"/>
    <x v="1"/>
    <n v="92.7"/>
    <n v="121.2"/>
    <n v="48.1"/>
    <n v="5.45"/>
    <n v="74"/>
    <n v="0.81"/>
    <x v="261"/>
    <x v="588"/>
    <n v="2.4500000000000002"/>
    <n v="154.5"/>
    <n v="121.2"/>
    <n v="60.125000000000007"/>
    <n v="13.625"/>
    <n v="185"/>
    <n v="40.5"/>
    <n v="185"/>
    <x v="1"/>
    <s v="O3"/>
  </r>
  <r>
    <x v="274"/>
    <x v="2"/>
    <n v="38.299999999999997"/>
    <n v="36.700000000000003"/>
    <n v="30.4"/>
    <n v="6.03"/>
    <n v="1"/>
    <n v="1.03"/>
    <x v="48"/>
    <x v="513"/>
    <n v="1.9"/>
    <n v="63.833333333333329"/>
    <n v="36.700000000000003"/>
    <n v="38"/>
    <n v="15.074999999999999"/>
    <n v="2.5"/>
    <n v="51.500000000000007"/>
    <n v="64"/>
    <x v="3"/>
    <s v="PM2.5"/>
  </r>
  <r>
    <x v="274"/>
    <x v="3"/>
    <n v="61.4"/>
    <n v="86.6"/>
    <n v="48"/>
    <n v="15.7"/>
    <n v="64.2"/>
    <n v="1.51"/>
    <x v="23"/>
    <x v="558"/>
    <n v="0.48"/>
    <n v="102.3333333333333"/>
    <n v="86.6"/>
    <n v="60"/>
    <n v="39.25"/>
    <n v="160.5"/>
    <n v="75.5"/>
    <n v="160"/>
    <x v="1"/>
    <s v="O3"/>
  </r>
  <r>
    <x v="274"/>
    <x v="4"/>
    <n v="57.7"/>
    <n v="170.5"/>
    <n v="65.8"/>
    <n v="12.48"/>
    <n v="52.1"/>
    <n v="1.19"/>
    <x v="116"/>
    <x v="157"/>
    <n v="1.99"/>
    <n v="96.166666666666671"/>
    <n v="170.5"/>
    <n v="82.249999999999986"/>
    <n v="31.2"/>
    <n v="130.25"/>
    <n v="59.5"/>
    <n v="170"/>
    <x v="1"/>
    <s v="PM10"/>
  </r>
  <r>
    <x v="275"/>
    <x v="0"/>
    <n v="71.099999999999994"/>
    <n v="150"/>
    <n v="9.8000000000000007"/>
    <n v="11.82"/>
    <n v="68.2"/>
    <n v="1.33"/>
    <x v="289"/>
    <x v="203"/>
    <n v="2.0699999999999998"/>
    <n v="118.5"/>
    <n v="150"/>
    <n v="12.25"/>
    <n v="29.55"/>
    <n v="170.5"/>
    <n v="66.5"/>
    <n v="170"/>
    <x v="1"/>
    <s v="O3"/>
  </r>
  <r>
    <x v="275"/>
    <x v="1"/>
    <n v="60.2"/>
    <n v="144.30000000000001"/>
    <n v="48"/>
    <n v="1.21"/>
    <n v="32.9"/>
    <n v="1.43"/>
    <x v="285"/>
    <x v="589"/>
    <n v="4.0999999999999996"/>
    <n v="100.3333333333333"/>
    <n v="144.30000000000001"/>
    <n v="60"/>
    <n v="3.0249999999999999"/>
    <n v="82.249999999999986"/>
    <n v="71.5"/>
    <n v="144"/>
    <x v="1"/>
    <s v="PM10"/>
  </r>
  <r>
    <x v="275"/>
    <x v="2"/>
    <n v="34.9"/>
    <n v="74.3"/>
    <n v="39.700000000000003"/>
    <n v="16.079999999999998"/>
    <n v="34.1"/>
    <n v="0.38"/>
    <x v="23"/>
    <x v="142"/>
    <n v="3.33"/>
    <n v="58.166666666666657"/>
    <n v="74.3"/>
    <n v="49.625"/>
    <n v="40.200000000000003"/>
    <n v="85.25"/>
    <n v="19"/>
    <n v="85"/>
    <x v="3"/>
    <s v="O3"/>
  </r>
  <r>
    <x v="275"/>
    <x v="3"/>
    <n v="54"/>
    <n v="161"/>
    <n v="2"/>
    <n v="8.52"/>
    <n v="61.5"/>
    <n v="0.7"/>
    <x v="60"/>
    <x v="590"/>
    <n v="4.41"/>
    <n v="90"/>
    <n v="161"/>
    <n v="2.5"/>
    <n v="21.3"/>
    <n v="153.75"/>
    <n v="34.999999999999993"/>
    <n v="161"/>
    <x v="1"/>
    <s v="PM10"/>
  </r>
  <r>
    <x v="275"/>
    <x v="4"/>
    <n v="42.2"/>
    <n v="147.9"/>
    <n v="62.8"/>
    <n v="17.12"/>
    <n v="39.799999999999997"/>
    <n v="0.96"/>
    <x v="141"/>
    <x v="156"/>
    <n v="2.8"/>
    <n v="70.333333333333343"/>
    <n v="147.9"/>
    <n v="78.5"/>
    <n v="42.8"/>
    <n v="99.499999999999986"/>
    <n v="48"/>
    <n v="148"/>
    <x v="1"/>
    <s v="PM10"/>
  </r>
  <r>
    <x v="276"/>
    <x v="0"/>
    <n v="36.1"/>
    <n v="31.7"/>
    <n v="23.7"/>
    <n v="14.17"/>
    <n v="36.799999999999997"/>
    <n v="0.96"/>
    <x v="40"/>
    <x v="129"/>
    <n v="2.21"/>
    <n v="60.166666666666657"/>
    <n v="31.7"/>
    <n v="29.625"/>
    <n v="35.424999999999997"/>
    <n v="92"/>
    <n v="48"/>
    <n v="92"/>
    <x v="3"/>
    <s v="O3"/>
  </r>
  <r>
    <x v="276"/>
    <x v="1"/>
    <n v="64.8"/>
    <n v="251.2"/>
    <n v="94.7"/>
    <n v="0.5"/>
    <n v="60.2"/>
    <n v="0.92"/>
    <x v="19"/>
    <x v="464"/>
    <n v="2.2400000000000002"/>
    <n v="108"/>
    <n v="251.2"/>
    <n v="118.375"/>
    <n v="1.25"/>
    <n v="150.5"/>
    <n v="46"/>
    <n v="251"/>
    <x v="0"/>
    <s v="PM10"/>
  </r>
  <r>
    <x v="276"/>
    <x v="2"/>
    <n v="63.6"/>
    <n v="152.4"/>
    <n v="48.3"/>
    <n v="4.53"/>
    <n v="23.1"/>
    <n v="0.32"/>
    <x v="183"/>
    <x v="584"/>
    <n v="1.55"/>
    <n v="106"/>
    <n v="152.4"/>
    <n v="60.375"/>
    <n v="11.324999999999999"/>
    <n v="57.75"/>
    <n v="16"/>
    <n v="152"/>
    <x v="1"/>
    <s v="PM10"/>
  </r>
  <r>
    <x v="276"/>
    <x v="3"/>
    <n v="24.2"/>
    <n v="139.19999999999999"/>
    <n v="42.8"/>
    <n v="7.02"/>
    <n v="75.2"/>
    <n v="1.53"/>
    <x v="120"/>
    <x v="206"/>
    <n v="1.9"/>
    <n v="40.333333333333329"/>
    <n v="139.19999999999999"/>
    <n v="53.5"/>
    <n v="17.55"/>
    <n v="188"/>
    <n v="76.5"/>
    <n v="188"/>
    <x v="1"/>
    <s v="O3"/>
  </r>
  <r>
    <x v="276"/>
    <x v="4"/>
    <n v="94.9"/>
    <n v="111.7"/>
    <n v="10.1"/>
    <n v="8.5299999999999994"/>
    <n v="1.7"/>
    <n v="2.76"/>
    <x v="156"/>
    <x v="489"/>
    <n v="3.31"/>
    <n v="158.16666666666671"/>
    <n v="111.7"/>
    <n v="12.625"/>
    <n v="21.324999999999999"/>
    <n v="4.25"/>
    <n v="138"/>
    <n v="158"/>
    <x v="1"/>
    <s v="PM2.5"/>
  </r>
  <r>
    <x v="277"/>
    <x v="0"/>
    <n v="59"/>
    <n v="118"/>
    <n v="61.5"/>
    <n v="17.98"/>
    <n v="68.099999999999994"/>
    <n v="2.4"/>
    <x v="251"/>
    <x v="356"/>
    <n v="2.69"/>
    <n v="98.333333333333329"/>
    <n v="118"/>
    <n v="76.875"/>
    <n v="44.95"/>
    <n v="170.25"/>
    <n v="120"/>
    <n v="170"/>
    <x v="1"/>
    <s v="O3"/>
  </r>
  <r>
    <x v="277"/>
    <x v="1"/>
    <n v="88.2"/>
    <n v="253.2"/>
    <n v="50.7"/>
    <n v="7.47"/>
    <n v="66.7"/>
    <n v="0.17"/>
    <x v="19"/>
    <x v="162"/>
    <n v="1.4"/>
    <n v="147"/>
    <n v="253.2"/>
    <n v="63.375"/>
    <n v="18.675000000000001"/>
    <n v="166.75"/>
    <n v="8.5"/>
    <n v="253"/>
    <x v="0"/>
    <s v="PM10"/>
  </r>
  <r>
    <x v="277"/>
    <x v="2"/>
    <n v="87.1"/>
    <n v="53.5"/>
    <n v="40.200000000000003"/>
    <n v="8.99"/>
    <n v="70.099999999999994"/>
    <n v="1.1299999999999999"/>
    <x v="150"/>
    <x v="591"/>
    <n v="2.65"/>
    <n v="145.16666666666671"/>
    <n v="53.5"/>
    <n v="50.25"/>
    <n v="22.475000000000001"/>
    <n v="175.25"/>
    <n v="56.499999999999993"/>
    <n v="175"/>
    <x v="1"/>
    <s v="O3"/>
  </r>
  <r>
    <x v="277"/>
    <x v="3"/>
    <n v="27.3"/>
    <n v="33.9"/>
    <n v="47.1"/>
    <n v="5.29"/>
    <n v="63"/>
    <n v="1.65"/>
    <x v="208"/>
    <x v="355"/>
    <n v="3.11"/>
    <n v="45.5"/>
    <n v="33.9"/>
    <n v="58.875000000000007"/>
    <n v="13.225"/>
    <n v="157.5"/>
    <n v="82.499999999999986"/>
    <n v="158"/>
    <x v="1"/>
    <s v="O3"/>
  </r>
  <r>
    <x v="277"/>
    <x v="4"/>
    <n v="32.4"/>
    <n v="81.900000000000006"/>
    <n v="28"/>
    <n v="8.0399999999999991"/>
    <n v="76.2"/>
    <n v="1.32"/>
    <x v="51"/>
    <x v="500"/>
    <n v="3.66"/>
    <n v="54"/>
    <n v="81.900000000000006"/>
    <n v="35"/>
    <n v="20.100000000000001"/>
    <n v="190.5"/>
    <n v="66"/>
    <n v="190"/>
    <x v="1"/>
    <s v="O3"/>
  </r>
  <r>
    <x v="278"/>
    <x v="0"/>
    <n v="42.1"/>
    <n v="146.1"/>
    <n v="43.6"/>
    <n v="14.02"/>
    <n v="41.5"/>
    <n v="1.34"/>
    <x v="55"/>
    <x v="592"/>
    <n v="3.57"/>
    <n v="70.166666666666671"/>
    <n v="146.1"/>
    <n v="54.5"/>
    <n v="35.049999999999997"/>
    <n v="103.75"/>
    <n v="67"/>
    <n v="146"/>
    <x v="1"/>
    <s v="PM10"/>
  </r>
  <r>
    <x v="278"/>
    <x v="1"/>
    <n v="71.7"/>
    <n v="150.19999999999999"/>
    <n v="43.1"/>
    <n v="4.0599999999999996"/>
    <n v="32.700000000000003"/>
    <n v="0.92"/>
    <x v="238"/>
    <x v="380"/>
    <n v="4.0999999999999996"/>
    <n v="119.5"/>
    <n v="150.19999999999999"/>
    <n v="53.875"/>
    <n v="10.15"/>
    <n v="81.75"/>
    <n v="46"/>
    <n v="150"/>
    <x v="1"/>
    <s v="PM10"/>
  </r>
  <r>
    <x v="278"/>
    <x v="2"/>
    <n v="78.400000000000006"/>
    <n v="115.2"/>
    <n v="42.8"/>
    <n v="4.95"/>
    <n v="44.4"/>
    <n v="1.76"/>
    <x v="67"/>
    <x v="44"/>
    <n v="3.34"/>
    <n v="130.66666666666671"/>
    <n v="115.2"/>
    <n v="53.5"/>
    <n v="12.375"/>
    <n v="111"/>
    <n v="88"/>
    <n v="131"/>
    <x v="1"/>
    <s v="PM2.5"/>
  </r>
  <r>
    <x v="278"/>
    <x v="3"/>
    <n v="69.7"/>
    <n v="52.8"/>
    <n v="30.3"/>
    <n v="3.7"/>
    <n v="21.9"/>
    <n v="1.01"/>
    <x v="25"/>
    <x v="202"/>
    <n v="1.59"/>
    <n v="116.1666666666667"/>
    <n v="52.8"/>
    <n v="37.875"/>
    <n v="9.2500000000000018"/>
    <n v="54.749999999999993"/>
    <n v="50.5"/>
    <n v="116"/>
    <x v="1"/>
    <s v="PM2.5"/>
  </r>
  <r>
    <x v="278"/>
    <x v="4"/>
    <n v="58.5"/>
    <n v="143.1"/>
    <n v="42.5"/>
    <n v="15.17"/>
    <n v="58"/>
    <n v="0.27"/>
    <x v="197"/>
    <x v="97"/>
    <n v="2.48"/>
    <n v="97.5"/>
    <n v="143.1"/>
    <n v="53.125"/>
    <n v="37.924999999999997"/>
    <n v="145"/>
    <n v="13.5"/>
    <n v="145"/>
    <x v="1"/>
    <s v="O3"/>
  </r>
  <r>
    <x v="279"/>
    <x v="0"/>
    <n v="17.399999999999999"/>
    <n v="138.6"/>
    <n v="51.6"/>
    <n v="2.75"/>
    <n v="4.3"/>
    <n v="1.32"/>
    <x v="59"/>
    <x v="319"/>
    <n v="2.4"/>
    <n v="29"/>
    <n v="138.6"/>
    <n v="64.5"/>
    <n v="6.875"/>
    <n v="10.75"/>
    <n v="66"/>
    <n v="139"/>
    <x v="1"/>
    <s v="PM10"/>
  </r>
  <r>
    <x v="279"/>
    <x v="1"/>
    <n v="33.6"/>
    <n v="117.4"/>
    <n v="69.599999999999994"/>
    <n v="7.81"/>
    <n v="1"/>
    <n v="1.1499999999999999"/>
    <x v="64"/>
    <x v="183"/>
    <n v="2.88"/>
    <n v="56"/>
    <n v="117.4"/>
    <n v="87"/>
    <n v="19.524999999999999"/>
    <n v="2.5"/>
    <n v="57.499999999999993"/>
    <n v="117"/>
    <x v="1"/>
    <s v="PM10"/>
  </r>
  <r>
    <x v="279"/>
    <x v="2"/>
    <n v="9.6999999999999993"/>
    <n v="157.30000000000001"/>
    <n v="21.6"/>
    <n v="15.01"/>
    <n v="36.799999999999997"/>
    <n v="0.43"/>
    <x v="92"/>
    <x v="77"/>
    <n v="2.0299999999999998"/>
    <n v="16.166666666666661"/>
    <n v="157.30000000000001"/>
    <n v="27"/>
    <n v="37.525000000000013"/>
    <n v="92"/>
    <n v="21.5"/>
    <n v="157"/>
    <x v="1"/>
    <s v="PM10"/>
  </r>
  <r>
    <x v="279"/>
    <x v="3"/>
    <n v="57.1"/>
    <n v="216.8"/>
    <n v="31"/>
    <n v="8.3000000000000007"/>
    <n v="75.5"/>
    <n v="1.36"/>
    <x v="219"/>
    <x v="371"/>
    <n v="1.1000000000000001"/>
    <n v="95.166666666666657"/>
    <n v="216.8"/>
    <n v="38.75"/>
    <n v="20.75"/>
    <n v="188.75"/>
    <n v="68"/>
    <n v="217"/>
    <x v="0"/>
    <s v="PM10"/>
  </r>
  <r>
    <x v="279"/>
    <x v="4"/>
    <n v="112.4"/>
    <n v="77.7"/>
    <n v="114.8"/>
    <n v="16.87"/>
    <n v="22.1"/>
    <n v="1.33"/>
    <x v="113"/>
    <x v="458"/>
    <n v="3.53"/>
    <n v="187.33333333333329"/>
    <n v="77.7"/>
    <n v="143.5"/>
    <n v="42.174999999999997"/>
    <n v="55.25"/>
    <n v="66.5"/>
    <n v="187"/>
    <x v="1"/>
    <s v="PM2.5"/>
  </r>
  <r>
    <x v="280"/>
    <x v="0"/>
    <n v="112.2"/>
    <n v="129.5"/>
    <n v="43.3"/>
    <n v="7.21"/>
    <n v="70.7"/>
    <n v="1.63"/>
    <x v="142"/>
    <x v="333"/>
    <n v="0.2"/>
    <n v="187"/>
    <n v="129.5"/>
    <n v="54.125"/>
    <n v="18.024999999999999"/>
    <n v="176.75"/>
    <n v="81.499999999999986"/>
    <n v="187"/>
    <x v="1"/>
    <s v="PM2.5"/>
  </r>
  <r>
    <x v="280"/>
    <x v="1"/>
    <n v="86.6"/>
    <n v="166.4"/>
    <n v="98"/>
    <n v="0.5"/>
    <n v="98.7"/>
    <n v="1.56"/>
    <x v="55"/>
    <x v="481"/>
    <n v="3.17"/>
    <n v="144.33333333333329"/>
    <n v="166.4"/>
    <n v="122.5"/>
    <n v="1.25"/>
    <n v="246.75"/>
    <n v="78"/>
    <n v="247"/>
    <x v="0"/>
    <s v="O3"/>
  </r>
  <r>
    <x v="280"/>
    <x v="2"/>
    <n v="68.400000000000006"/>
    <n v="127.8"/>
    <n v="33.6"/>
    <n v="7.46"/>
    <n v="21"/>
    <n v="1.1100000000000001"/>
    <x v="330"/>
    <x v="84"/>
    <n v="2.35"/>
    <n v="114"/>
    <n v="127.8"/>
    <n v="42"/>
    <n v="18.649999999999999"/>
    <n v="52.5"/>
    <n v="55.500000000000007"/>
    <n v="128"/>
    <x v="1"/>
    <s v="PM10"/>
  </r>
  <r>
    <x v="280"/>
    <x v="3"/>
    <n v="49.9"/>
    <n v="133.19999999999999"/>
    <n v="16.3"/>
    <n v="17.649999999999999"/>
    <n v="37.4"/>
    <n v="1.1100000000000001"/>
    <x v="156"/>
    <x v="197"/>
    <n v="4.16"/>
    <n v="83.166666666666671"/>
    <n v="133.19999999999999"/>
    <n v="20.375"/>
    <n v="44.125"/>
    <n v="93.5"/>
    <n v="55.500000000000007"/>
    <n v="133"/>
    <x v="1"/>
    <s v="PM10"/>
  </r>
  <r>
    <x v="280"/>
    <x v="4"/>
    <n v="100.2"/>
    <n v="188.4"/>
    <n v="61.5"/>
    <n v="6.83"/>
    <n v="4.0999999999999996"/>
    <n v="1.19"/>
    <x v="19"/>
    <x v="593"/>
    <n v="3.37"/>
    <n v="167"/>
    <n v="188.4"/>
    <n v="76.875"/>
    <n v="17.074999999999999"/>
    <n v="10.25"/>
    <n v="59.5"/>
    <n v="188"/>
    <x v="1"/>
    <s v="PM10"/>
  </r>
  <r>
    <x v="281"/>
    <x v="0"/>
    <n v="124.6"/>
    <n v="220.6"/>
    <n v="41.3"/>
    <n v="0.5"/>
    <n v="85.8"/>
    <n v="2.3199999999999998"/>
    <x v="214"/>
    <x v="594"/>
    <n v="2.96"/>
    <n v="207.66666666666671"/>
    <n v="220.6"/>
    <n v="51.625"/>
    <n v="1.25"/>
    <n v="214.5"/>
    <n v="116"/>
    <n v="221"/>
    <x v="0"/>
    <s v="PM10"/>
  </r>
  <r>
    <x v="281"/>
    <x v="1"/>
    <n v="81"/>
    <n v="271.10000000000002"/>
    <n v="89.9"/>
    <n v="14.07"/>
    <n v="64.8"/>
    <n v="1.96"/>
    <x v="105"/>
    <x v="47"/>
    <n v="1.42"/>
    <n v="135"/>
    <n v="271.10000000000002"/>
    <n v="112.375"/>
    <n v="35.174999999999997"/>
    <n v="162"/>
    <n v="98"/>
    <n v="271"/>
    <x v="0"/>
    <s v="PM10"/>
  </r>
  <r>
    <x v="281"/>
    <x v="2"/>
    <n v="47.5"/>
    <n v="93.1"/>
    <n v="30.7"/>
    <n v="8.25"/>
    <n v="30.3"/>
    <n v="1.43"/>
    <x v="201"/>
    <x v="309"/>
    <n v="2.66"/>
    <n v="79.166666666666657"/>
    <n v="93.1"/>
    <n v="38.375"/>
    <n v="20.625"/>
    <n v="75.75"/>
    <n v="71.5"/>
    <n v="93"/>
    <x v="3"/>
    <s v="PM10"/>
  </r>
  <r>
    <x v="281"/>
    <x v="3"/>
    <n v="50.7"/>
    <n v="109.7"/>
    <n v="13.3"/>
    <n v="9.7799999999999994"/>
    <n v="56.2"/>
    <n v="1.5"/>
    <x v="160"/>
    <x v="108"/>
    <n v="3.07"/>
    <n v="84.5"/>
    <n v="109.7"/>
    <n v="16.625"/>
    <n v="24.45"/>
    <n v="140.5"/>
    <n v="75"/>
    <n v="140"/>
    <x v="1"/>
    <s v="O3"/>
  </r>
  <r>
    <x v="281"/>
    <x v="4"/>
    <n v="71.2"/>
    <n v="177.4"/>
    <n v="14.8"/>
    <n v="3.89"/>
    <n v="87.6"/>
    <n v="0.05"/>
    <x v="53"/>
    <x v="595"/>
    <n v="2.89"/>
    <n v="118.6666666666667"/>
    <n v="177.4"/>
    <n v="18.5"/>
    <n v="9.7250000000000014"/>
    <n v="219"/>
    <n v="2.5"/>
    <n v="219"/>
    <x v="0"/>
    <s v="O3"/>
  </r>
  <r>
    <x v="282"/>
    <x v="0"/>
    <n v="55"/>
    <n v="146.9"/>
    <n v="43.6"/>
    <n v="9.3800000000000008"/>
    <n v="26.4"/>
    <n v="2.14"/>
    <x v="88"/>
    <x v="162"/>
    <n v="0.84"/>
    <n v="91.666666666666657"/>
    <n v="146.9"/>
    <n v="54.5"/>
    <n v="23.45"/>
    <n v="66"/>
    <n v="107"/>
    <n v="147"/>
    <x v="1"/>
    <s v="PM10"/>
  </r>
  <r>
    <x v="282"/>
    <x v="1"/>
    <n v="55.4"/>
    <n v="136.19999999999999"/>
    <n v="68.900000000000006"/>
    <n v="3.7"/>
    <n v="26"/>
    <n v="1.88"/>
    <x v="150"/>
    <x v="258"/>
    <n v="0.9"/>
    <n v="92.333333333333343"/>
    <n v="136.19999999999999"/>
    <n v="86.125"/>
    <n v="9.2500000000000018"/>
    <n v="65"/>
    <n v="94"/>
    <n v="136"/>
    <x v="1"/>
    <s v="PM10"/>
  </r>
  <r>
    <x v="282"/>
    <x v="2"/>
    <n v="150.6"/>
    <n v="158.6"/>
    <n v="37.700000000000003"/>
    <n v="11.73"/>
    <n v="35"/>
    <n v="1.63"/>
    <x v="85"/>
    <x v="596"/>
    <n v="2.36"/>
    <n v="251"/>
    <n v="158.6"/>
    <n v="47.125"/>
    <n v="29.324999999999999"/>
    <n v="87.5"/>
    <n v="81.499999999999986"/>
    <n v="251"/>
    <x v="0"/>
    <s v="PM2.5"/>
  </r>
  <r>
    <x v="282"/>
    <x v="3"/>
    <n v="16.600000000000001"/>
    <n v="236.3"/>
    <n v="26.2"/>
    <n v="1.2"/>
    <n v="34.700000000000003"/>
    <n v="0.62"/>
    <x v="16"/>
    <x v="204"/>
    <n v="3.69"/>
    <n v="27.666666666666671"/>
    <n v="236.3"/>
    <n v="32.75"/>
    <n v="3"/>
    <n v="86.750000000000014"/>
    <n v="31"/>
    <n v="236"/>
    <x v="0"/>
    <s v="PM10"/>
  </r>
  <r>
    <x v="282"/>
    <x v="4"/>
    <n v="92.9"/>
    <n v="111.8"/>
    <n v="50.6"/>
    <n v="11.04"/>
    <n v="1"/>
    <n v="1.7"/>
    <x v="299"/>
    <x v="597"/>
    <n v="2.5099999999999998"/>
    <n v="154.83333333333329"/>
    <n v="111.8"/>
    <n v="63.25"/>
    <n v="27.6"/>
    <n v="2.5"/>
    <n v="84.999999999999986"/>
    <n v="155"/>
    <x v="1"/>
    <s v="PM2.5"/>
  </r>
  <r>
    <x v="283"/>
    <x v="0"/>
    <n v="62.6"/>
    <n v="84.9"/>
    <n v="37.299999999999997"/>
    <n v="22.28"/>
    <n v="73"/>
    <n v="0.31"/>
    <x v="243"/>
    <x v="598"/>
    <n v="2.16"/>
    <n v="104.3333333333333"/>
    <n v="84.9"/>
    <n v="46.625"/>
    <n v="55.7"/>
    <n v="182.5"/>
    <n v="15.5"/>
    <n v="182"/>
    <x v="1"/>
    <s v="O3"/>
  </r>
  <r>
    <x v="283"/>
    <x v="1"/>
    <n v="86.5"/>
    <n v="148.9"/>
    <n v="105.6"/>
    <n v="5.0199999999999996"/>
    <n v="54.6"/>
    <n v="1.18"/>
    <x v="34"/>
    <x v="599"/>
    <n v="1.08"/>
    <n v="144.16666666666671"/>
    <n v="148.9"/>
    <n v="132"/>
    <n v="12.55"/>
    <n v="136.5"/>
    <n v="59"/>
    <n v="149"/>
    <x v="1"/>
    <s v="PM10"/>
  </r>
  <r>
    <x v="283"/>
    <x v="2"/>
    <n v="63.3"/>
    <n v="14.8"/>
    <n v="35.200000000000003"/>
    <n v="9.6"/>
    <n v="18.399999999999999"/>
    <n v="1.47"/>
    <x v="25"/>
    <x v="74"/>
    <n v="4.13"/>
    <n v="105.5"/>
    <n v="14.8"/>
    <n v="44.000000000000007"/>
    <n v="24"/>
    <n v="46"/>
    <n v="73.5"/>
    <n v="106"/>
    <x v="1"/>
    <s v="PM2.5"/>
  </r>
  <r>
    <x v="283"/>
    <x v="3"/>
    <n v="42.4"/>
    <n v="124.6"/>
    <n v="48.7"/>
    <n v="11.1"/>
    <n v="40.4"/>
    <n v="1.31"/>
    <x v="19"/>
    <x v="462"/>
    <n v="4.0599999999999996"/>
    <n v="70.666666666666671"/>
    <n v="124.6"/>
    <n v="60.875000000000007"/>
    <n v="27.75"/>
    <n v="101"/>
    <n v="65.5"/>
    <n v="125"/>
    <x v="1"/>
    <s v="PM10"/>
  </r>
  <r>
    <x v="283"/>
    <x v="4"/>
    <n v="87.3"/>
    <n v="178.3"/>
    <n v="65.400000000000006"/>
    <n v="7.95"/>
    <n v="52.8"/>
    <n v="0.6"/>
    <x v="245"/>
    <x v="154"/>
    <n v="2.9"/>
    <n v="145.5"/>
    <n v="178.3"/>
    <n v="81.75"/>
    <n v="19.875"/>
    <n v="132"/>
    <n v="30"/>
    <n v="178"/>
    <x v="1"/>
    <s v="PM10"/>
  </r>
  <r>
    <x v="284"/>
    <x v="0"/>
    <n v="108.4"/>
    <n v="43.9"/>
    <n v="60.9"/>
    <n v="5.29"/>
    <n v="35.4"/>
    <n v="2.0299999999999998"/>
    <x v="196"/>
    <x v="600"/>
    <n v="1.33"/>
    <n v="180.66666666666671"/>
    <n v="43.9"/>
    <n v="76.125"/>
    <n v="13.225"/>
    <n v="88.5"/>
    <n v="101.5"/>
    <n v="181"/>
    <x v="1"/>
    <s v="PM2.5"/>
  </r>
  <r>
    <x v="284"/>
    <x v="1"/>
    <n v="111.6"/>
    <n v="183.7"/>
    <n v="100"/>
    <n v="20.52"/>
    <n v="39.299999999999997"/>
    <n v="3.38"/>
    <x v="300"/>
    <x v="550"/>
    <n v="1.74"/>
    <n v="186"/>
    <n v="183.7"/>
    <n v="125"/>
    <n v="51.3"/>
    <n v="98.249999999999986"/>
    <n v="169"/>
    <n v="186"/>
    <x v="1"/>
    <s v="PM2.5"/>
  </r>
  <r>
    <x v="284"/>
    <x v="2"/>
    <n v="2"/>
    <n v="205.6"/>
    <n v="73.099999999999994"/>
    <n v="2.78"/>
    <n v="32.6"/>
    <n v="1.19"/>
    <x v="17"/>
    <x v="267"/>
    <n v="2.25"/>
    <n v="3.333333333333333"/>
    <n v="205.6"/>
    <n v="91.375"/>
    <n v="6.9499999999999993"/>
    <n v="81.5"/>
    <n v="59.5"/>
    <n v="206"/>
    <x v="0"/>
    <s v="PM10"/>
  </r>
  <r>
    <x v="284"/>
    <x v="3"/>
    <n v="50.4"/>
    <n v="96.7"/>
    <n v="49.5"/>
    <n v="15.15"/>
    <n v="32.4"/>
    <n v="1.3"/>
    <x v="151"/>
    <x v="138"/>
    <n v="1.76"/>
    <n v="83.999999999999986"/>
    <n v="96.7"/>
    <n v="61.875"/>
    <n v="37.875"/>
    <n v="81"/>
    <n v="65"/>
    <n v="97"/>
    <x v="3"/>
    <s v="PM10"/>
  </r>
  <r>
    <x v="284"/>
    <x v="4"/>
    <n v="69.2"/>
    <n v="168.1"/>
    <n v="24.7"/>
    <n v="15.75"/>
    <n v="83.4"/>
    <n v="0.84"/>
    <x v="196"/>
    <x v="110"/>
    <n v="2.35"/>
    <n v="115.3333333333333"/>
    <n v="168.1"/>
    <n v="30.875"/>
    <n v="39.375"/>
    <n v="208.5"/>
    <n v="41.999999999999993"/>
    <n v="209"/>
    <x v="0"/>
    <s v="O3"/>
  </r>
  <r>
    <x v="285"/>
    <x v="0"/>
    <n v="85.6"/>
    <n v="149.30000000000001"/>
    <n v="18"/>
    <n v="11.84"/>
    <n v="14.4"/>
    <n v="2.0299999999999998"/>
    <x v="198"/>
    <x v="489"/>
    <n v="4.1500000000000004"/>
    <n v="142.66666666666671"/>
    <n v="149.30000000000001"/>
    <n v="22.5"/>
    <n v="29.6"/>
    <n v="36.000000000000007"/>
    <n v="101.5"/>
    <n v="149"/>
    <x v="1"/>
    <s v="PM10"/>
  </r>
  <r>
    <x v="285"/>
    <x v="1"/>
    <n v="93.6"/>
    <n v="69"/>
    <n v="30.9"/>
    <n v="6.25"/>
    <n v="62.3"/>
    <n v="1.77"/>
    <x v="60"/>
    <x v="272"/>
    <n v="2.84"/>
    <n v="156"/>
    <n v="69"/>
    <n v="38.625"/>
    <n v="15.625"/>
    <n v="155.75"/>
    <n v="88.5"/>
    <n v="156"/>
    <x v="1"/>
    <s v="PM2.5"/>
  </r>
  <r>
    <x v="285"/>
    <x v="2"/>
    <n v="51.8"/>
    <n v="237"/>
    <n v="43.4"/>
    <n v="16.22"/>
    <n v="10.199999999999999"/>
    <n v="0.24"/>
    <x v="237"/>
    <x v="91"/>
    <n v="4.6100000000000003"/>
    <n v="86.333333333333329"/>
    <n v="237"/>
    <n v="54.25"/>
    <n v="40.549999999999997"/>
    <n v="25.5"/>
    <n v="12"/>
    <n v="237"/>
    <x v="0"/>
    <s v="PM10"/>
  </r>
  <r>
    <x v="285"/>
    <x v="3"/>
    <n v="36.5"/>
    <n v="92.4"/>
    <n v="21.6"/>
    <n v="0.5"/>
    <n v="58"/>
    <n v="1.33"/>
    <x v="123"/>
    <x v="53"/>
    <n v="4.47"/>
    <n v="60.833333333333343"/>
    <n v="92.4"/>
    <n v="27"/>
    <n v="1.25"/>
    <n v="145"/>
    <n v="66.5"/>
    <n v="145"/>
    <x v="1"/>
    <s v="O3"/>
  </r>
  <r>
    <x v="285"/>
    <x v="4"/>
    <n v="49.4"/>
    <n v="167.2"/>
    <n v="17.5"/>
    <n v="7.75"/>
    <n v="52"/>
    <n v="1.54"/>
    <x v="85"/>
    <x v="448"/>
    <n v="1.64"/>
    <n v="82.333333333333329"/>
    <n v="167.2"/>
    <n v="21.875"/>
    <n v="19.375"/>
    <n v="130"/>
    <n v="77"/>
    <n v="167"/>
    <x v="1"/>
    <s v="PM10"/>
  </r>
  <r>
    <x v="286"/>
    <x v="0"/>
    <n v="75.8"/>
    <n v="145.80000000000001"/>
    <n v="57.1"/>
    <n v="9.6199999999999992"/>
    <n v="9.4"/>
    <n v="0.47"/>
    <x v="163"/>
    <x v="217"/>
    <n v="3.49"/>
    <n v="126.3333333333333"/>
    <n v="145.80000000000001"/>
    <n v="71.375000000000014"/>
    <n v="24.05"/>
    <n v="23.5"/>
    <n v="23.5"/>
    <n v="146"/>
    <x v="1"/>
    <s v="PM10"/>
  </r>
  <r>
    <x v="286"/>
    <x v="1"/>
    <n v="106.6"/>
    <n v="173"/>
    <n v="2.9"/>
    <n v="3.58"/>
    <n v="55.3"/>
    <n v="1.6"/>
    <x v="59"/>
    <x v="150"/>
    <n v="2.5099999999999998"/>
    <n v="177.66666666666671"/>
    <n v="173"/>
    <n v="3.625"/>
    <n v="8.9499999999999993"/>
    <n v="138.25"/>
    <n v="80"/>
    <n v="178"/>
    <x v="1"/>
    <s v="PM2.5"/>
  </r>
  <r>
    <x v="286"/>
    <x v="2"/>
    <n v="60.4"/>
    <n v="77.599999999999994"/>
    <n v="61.4"/>
    <n v="5.55"/>
    <n v="6.4"/>
    <n v="0.7"/>
    <x v="260"/>
    <x v="488"/>
    <n v="2.4500000000000002"/>
    <n v="100.6666666666667"/>
    <n v="77.599999999999994"/>
    <n v="76.75"/>
    <n v="13.875"/>
    <n v="16"/>
    <n v="34.999999999999993"/>
    <n v="101"/>
    <x v="1"/>
    <s v="PM2.5"/>
  </r>
  <r>
    <x v="286"/>
    <x v="3"/>
    <n v="54.4"/>
    <n v="45.1"/>
    <n v="60.7"/>
    <n v="4.74"/>
    <n v="37.5"/>
    <n v="2.09"/>
    <x v="118"/>
    <x v="601"/>
    <n v="0.38"/>
    <n v="90.666666666666657"/>
    <n v="45.1"/>
    <n v="75.875"/>
    <n v="11.85"/>
    <n v="93.75"/>
    <n v="104.5"/>
    <n v="104"/>
    <x v="1"/>
    <s v="CO"/>
  </r>
  <r>
    <x v="286"/>
    <x v="4"/>
    <n v="63.9"/>
    <n v="52"/>
    <n v="63.8"/>
    <n v="9.0299999999999994"/>
    <n v="48.5"/>
    <n v="0.85"/>
    <x v="262"/>
    <x v="62"/>
    <n v="2.67"/>
    <n v="106.5"/>
    <n v="52"/>
    <n v="79.75"/>
    <n v="22.574999999999999"/>
    <n v="121.25"/>
    <n v="42.499999999999993"/>
    <n v="121"/>
    <x v="1"/>
    <s v="O3"/>
  </r>
  <r>
    <x v="287"/>
    <x v="0"/>
    <n v="81.2"/>
    <n v="144.69999999999999"/>
    <n v="45.8"/>
    <n v="4.42"/>
    <n v="14.8"/>
    <n v="0.6"/>
    <x v="95"/>
    <x v="73"/>
    <n v="0.2"/>
    <n v="135.33333333333329"/>
    <n v="144.69999999999999"/>
    <n v="57.249999999999993"/>
    <n v="11.05"/>
    <n v="37.000000000000007"/>
    <n v="30"/>
    <n v="145"/>
    <x v="1"/>
    <s v="PM10"/>
  </r>
  <r>
    <x v="287"/>
    <x v="1"/>
    <n v="91.7"/>
    <n v="147.1"/>
    <n v="89.9"/>
    <n v="12.33"/>
    <n v="3.8"/>
    <n v="0.05"/>
    <x v="40"/>
    <x v="468"/>
    <n v="3.63"/>
    <n v="152.83333333333329"/>
    <n v="147.1"/>
    <n v="112.375"/>
    <n v="30.824999999999999"/>
    <n v="9.5"/>
    <n v="2.5"/>
    <n v="153"/>
    <x v="1"/>
    <s v="PM2.5"/>
  </r>
  <r>
    <x v="287"/>
    <x v="2"/>
    <n v="56.7"/>
    <n v="178.6"/>
    <n v="17.600000000000001"/>
    <n v="12.19"/>
    <n v="55.1"/>
    <n v="0.05"/>
    <x v="117"/>
    <x v="173"/>
    <n v="2.97"/>
    <n v="94.5"/>
    <n v="178.6"/>
    <n v="22"/>
    <n v="30.475000000000001"/>
    <n v="137.75"/>
    <n v="2.5"/>
    <n v="179"/>
    <x v="1"/>
    <s v="PM10"/>
  </r>
  <r>
    <x v="287"/>
    <x v="3"/>
    <n v="34.1"/>
    <n v="196.5"/>
    <n v="21.3"/>
    <n v="12.16"/>
    <n v="60.5"/>
    <n v="0.62"/>
    <x v="287"/>
    <x v="89"/>
    <n v="3.28"/>
    <n v="56.833333333333343"/>
    <n v="196.5"/>
    <n v="26.625"/>
    <n v="30.4"/>
    <n v="151.25"/>
    <n v="31"/>
    <n v="196"/>
    <x v="1"/>
    <s v="PM10"/>
  </r>
  <r>
    <x v="287"/>
    <x v="4"/>
    <n v="15.6"/>
    <n v="271.8"/>
    <n v="22.6"/>
    <n v="14.44"/>
    <n v="16.600000000000001"/>
    <n v="0.91"/>
    <x v="58"/>
    <x v="476"/>
    <n v="1.47"/>
    <n v="26"/>
    <n v="271.8"/>
    <n v="28.25"/>
    <n v="36.1"/>
    <n v="41.5"/>
    <n v="45.5"/>
    <n v="272"/>
    <x v="0"/>
    <s v="PM10"/>
  </r>
  <r>
    <x v="288"/>
    <x v="0"/>
    <n v="106.6"/>
    <n v="210.1"/>
    <n v="30.2"/>
    <n v="18.39"/>
    <n v="4.0999999999999996"/>
    <n v="0.95"/>
    <x v="55"/>
    <x v="271"/>
    <n v="2.82"/>
    <n v="177.66666666666671"/>
    <n v="210.1"/>
    <n v="37.75"/>
    <n v="45.975000000000001"/>
    <n v="10.25"/>
    <n v="47.5"/>
    <n v="210"/>
    <x v="0"/>
    <s v="PM10"/>
  </r>
  <r>
    <x v="288"/>
    <x v="1"/>
    <n v="84"/>
    <n v="136"/>
    <n v="77.099999999999994"/>
    <n v="8.57"/>
    <n v="57.2"/>
    <n v="2.36"/>
    <x v="58"/>
    <x v="458"/>
    <n v="1.1200000000000001"/>
    <n v="140"/>
    <n v="136"/>
    <n v="96.374999999999986"/>
    <n v="21.425000000000001"/>
    <n v="143"/>
    <n v="118"/>
    <n v="143"/>
    <x v="1"/>
    <s v="O3"/>
  </r>
  <r>
    <x v="288"/>
    <x v="2"/>
    <n v="72"/>
    <n v="63.9"/>
    <n v="18.399999999999999"/>
    <n v="7.26"/>
    <n v="16.5"/>
    <n v="1.59"/>
    <x v="235"/>
    <x v="602"/>
    <n v="1.51"/>
    <n v="120"/>
    <n v="63.9"/>
    <n v="23"/>
    <n v="18.149999999999999"/>
    <n v="41.25"/>
    <n v="79.5"/>
    <n v="120"/>
    <x v="1"/>
    <s v="PM2.5"/>
  </r>
  <r>
    <x v="288"/>
    <x v="3"/>
    <n v="16.2"/>
    <n v="92.2"/>
    <n v="54.1"/>
    <n v="6.79"/>
    <n v="25.3"/>
    <n v="1.98"/>
    <x v="84"/>
    <x v="233"/>
    <n v="1.85"/>
    <n v="27"/>
    <n v="92.2"/>
    <n v="67.625"/>
    <n v="16.975000000000001"/>
    <n v="63.25"/>
    <n v="99"/>
    <n v="99"/>
    <x v="3"/>
    <s v="CO"/>
  </r>
  <r>
    <x v="288"/>
    <x v="4"/>
    <n v="63.4"/>
    <n v="97.2"/>
    <n v="83.4"/>
    <n v="2.0299999999999998"/>
    <n v="44.3"/>
    <n v="1.67"/>
    <x v="325"/>
    <x v="64"/>
    <n v="2.82"/>
    <n v="105.6666666666667"/>
    <n v="97.2"/>
    <n v="104.25"/>
    <n v="5.0749999999999993"/>
    <n v="110.75"/>
    <n v="83.499999999999986"/>
    <n v="111"/>
    <x v="1"/>
    <s v="O3"/>
  </r>
  <r>
    <x v="289"/>
    <x v="0"/>
    <n v="38.4"/>
    <n v="81.7"/>
    <n v="43.7"/>
    <n v="12.94"/>
    <n v="36.1"/>
    <n v="2.12"/>
    <x v="35"/>
    <x v="101"/>
    <n v="4.8099999999999996"/>
    <n v="64"/>
    <n v="81.7"/>
    <n v="54.625000000000007"/>
    <n v="32.349999999999987"/>
    <n v="90.25"/>
    <n v="106"/>
    <n v="106"/>
    <x v="1"/>
    <s v="CO"/>
  </r>
  <r>
    <x v="289"/>
    <x v="1"/>
    <n v="50.3"/>
    <n v="51.7"/>
    <n v="12.7"/>
    <n v="16.72"/>
    <n v="39.299999999999997"/>
    <n v="1.31"/>
    <x v="101"/>
    <x v="603"/>
    <n v="2.2799999999999998"/>
    <n v="83.833333333333329"/>
    <n v="51.7"/>
    <n v="15.875"/>
    <n v="41.8"/>
    <n v="98.249999999999986"/>
    <n v="65.5"/>
    <n v="98"/>
    <x v="3"/>
    <s v="O3"/>
  </r>
  <r>
    <x v="289"/>
    <x v="2"/>
    <n v="123.8"/>
    <n v="121.6"/>
    <n v="62.9"/>
    <n v="11.42"/>
    <n v="37.1"/>
    <n v="0.81"/>
    <x v="133"/>
    <x v="169"/>
    <n v="1.81"/>
    <n v="206.33333333333329"/>
    <n v="121.6"/>
    <n v="78.625"/>
    <n v="28.55"/>
    <n v="92.75"/>
    <n v="40.5"/>
    <n v="206"/>
    <x v="0"/>
    <s v="PM2.5"/>
  </r>
  <r>
    <x v="289"/>
    <x v="3"/>
    <n v="65"/>
    <n v="194.2"/>
    <n v="86.4"/>
    <n v="12.27"/>
    <n v="86.6"/>
    <n v="0.82"/>
    <x v="170"/>
    <x v="168"/>
    <n v="1.42"/>
    <n v="108.3333333333333"/>
    <n v="194.2"/>
    <n v="108"/>
    <n v="30.675000000000001"/>
    <n v="216.5"/>
    <n v="40.999999999999993"/>
    <n v="216"/>
    <x v="0"/>
    <s v="O3"/>
  </r>
  <r>
    <x v="289"/>
    <x v="4"/>
    <n v="50"/>
    <n v="246.7"/>
    <n v="28"/>
    <n v="1.42"/>
    <n v="86"/>
    <n v="2.11"/>
    <x v="145"/>
    <x v="316"/>
    <n v="2.4700000000000002"/>
    <n v="83.333333333333329"/>
    <n v="246.7"/>
    <n v="35"/>
    <n v="3.55"/>
    <n v="215"/>
    <n v="105.5"/>
    <n v="247"/>
    <x v="0"/>
    <s v="PM10"/>
  </r>
  <r>
    <x v="290"/>
    <x v="0"/>
    <n v="78.7"/>
    <n v="247"/>
    <n v="57.2"/>
    <n v="21.66"/>
    <n v="20.2"/>
    <n v="1.37"/>
    <x v="136"/>
    <x v="208"/>
    <n v="2.3199999999999998"/>
    <n v="131.16666666666671"/>
    <n v="247"/>
    <n v="71.500000000000014"/>
    <n v="54.150000000000013"/>
    <n v="50.499999999999993"/>
    <n v="68.5"/>
    <n v="247"/>
    <x v="0"/>
    <s v="PM10"/>
  </r>
  <r>
    <x v="290"/>
    <x v="1"/>
    <n v="90.6"/>
    <n v="189.3"/>
    <n v="110.5"/>
    <n v="12.9"/>
    <n v="85.9"/>
    <n v="1.55"/>
    <x v="320"/>
    <x v="62"/>
    <n v="3.14"/>
    <n v="151"/>
    <n v="189.3"/>
    <n v="138.125"/>
    <n v="32.25"/>
    <n v="214.75"/>
    <n v="77.5"/>
    <n v="215"/>
    <x v="0"/>
    <s v="O3"/>
  </r>
  <r>
    <x v="290"/>
    <x v="2"/>
    <n v="28.7"/>
    <n v="82.7"/>
    <n v="48.1"/>
    <n v="9.77"/>
    <n v="54.6"/>
    <n v="1.4"/>
    <x v="213"/>
    <x v="250"/>
    <n v="2.98"/>
    <n v="47.833333333333329"/>
    <n v="82.7"/>
    <n v="60.125000000000007"/>
    <n v="24.425000000000001"/>
    <n v="136.5"/>
    <n v="69.999999999999986"/>
    <n v="136"/>
    <x v="1"/>
    <s v="O3"/>
  </r>
  <r>
    <x v="290"/>
    <x v="3"/>
    <n v="115.6"/>
    <n v="181.2"/>
    <n v="55.7"/>
    <n v="13.15"/>
    <n v="30.7"/>
    <n v="0.9"/>
    <x v="74"/>
    <x v="604"/>
    <n v="1.99"/>
    <n v="192.66666666666671"/>
    <n v="181.2"/>
    <n v="69.625"/>
    <n v="32.875"/>
    <n v="76.75"/>
    <n v="45"/>
    <n v="193"/>
    <x v="1"/>
    <s v="PM2.5"/>
  </r>
  <r>
    <x v="290"/>
    <x v="4"/>
    <n v="105.9"/>
    <n v="100.6"/>
    <n v="31.8"/>
    <n v="19.48"/>
    <n v="31.6"/>
    <n v="1.42"/>
    <x v="247"/>
    <x v="338"/>
    <n v="4.4800000000000004"/>
    <n v="176.5"/>
    <n v="100.6"/>
    <n v="39.75"/>
    <n v="48.7"/>
    <n v="79"/>
    <n v="71"/>
    <n v="177"/>
    <x v="1"/>
    <s v="PM2.5"/>
  </r>
  <r>
    <x v="291"/>
    <x v="0"/>
    <n v="91"/>
    <n v="245.5"/>
    <n v="36.1"/>
    <n v="9.77"/>
    <n v="47.1"/>
    <n v="1.56"/>
    <x v="299"/>
    <x v="2"/>
    <n v="0.79"/>
    <n v="151.66666666666671"/>
    <n v="245.5"/>
    <n v="45.125"/>
    <n v="24.425000000000001"/>
    <n v="117.75"/>
    <n v="78"/>
    <n v="246"/>
    <x v="0"/>
    <s v="PM10"/>
  </r>
  <r>
    <x v="291"/>
    <x v="1"/>
    <n v="88.4"/>
    <n v="5"/>
    <n v="10"/>
    <n v="15.12"/>
    <n v="32.9"/>
    <n v="0.76"/>
    <x v="245"/>
    <x v="535"/>
    <n v="3.55"/>
    <n v="147.33333333333329"/>
    <n v="5"/>
    <n v="12.5"/>
    <n v="37.799999999999997"/>
    <n v="82.249999999999986"/>
    <n v="38"/>
    <n v="147"/>
    <x v="1"/>
    <s v="PM2.5"/>
  </r>
  <r>
    <x v="291"/>
    <x v="2"/>
    <n v="52.3"/>
    <n v="266.7"/>
    <n v="31.3"/>
    <n v="15.89"/>
    <n v="36.5"/>
    <n v="0.2"/>
    <x v="55"/>
    <x v="356"/>
    <n v="1.24"/>
    <n v="87.166666666666657"/>
    <n v="266.7"/>
    <n v="39.125"/>
    <n v="39.725000000000001"/>
    <n v="91.25"/>
    <n v="10"/>
    <n v="267"/>
    <x v="0"/>
    <s v="PM10"/>
  </r>
  <r>
    <x v="291"/>
    <x v="3"/>
    <n v="32.299999999999997"/>
    <n v="118.5"/>
    <n v="52"/>
    <n v="0.5"/>
    <n v="66.3"/>
    <n v="0.9"/>
    <x v="167"/>
    <x v="563"/>
    <n v="2.4700000000000002"/>
    <n v="53.833333333333329"/>
    <n v="118.5"/>
    <n v="65"/>
    <n v="1.25"/>
    <n v="165.75"/>
    <n v="45"/>
    <n v="166"/>
    <x v="1"/>
    <s v="O3"/>
  </r>
  <r>
    <x v="291"/>
    <x v="4"/>
    <n v="106.1"/>
    <n v="160.9"/>
    <n v="49.5"/>
    <n v="7.96"/>
    <n v="57.3"/>
    <n v="1.05"/>
    <x v="183"/>
    <x v="242"/>
    <n v="2.83"/>
    <n v="176.83333333333329"/>
    <n v="160.9"/>
    <n v="61.875"/>
    <n v="19.899999999999999"/>
    <n v="143.25"/>
    <n v="52.500000000000007"/>
    <n v="177"/>
    <x v="1"/>
    <s v="PM2.5"/>
  </r>
  <r>
    <x v="292"/>
    <x v="0"/>
    <n v="70.2"/>
    <n v="213.2"/>
    <n v="49.1"/>
    <n v="9.2899999999999991"/>
    <n v="28.8"/>
    <n v="1.68"/>
    <x v="69"/>
    <x v="605"/>
    <n v="1.81"/>
    <n v="117"/>
    <n v="213.2"/>
    <n v="61.375"/>
    <n v="23.225000000000001"/>
    <n v="72.000000000000014"/>
    <n v="83.999999999999986"/>
    <n v="213"/>
    <x v="0"/>
    <s v="PM10"/>
  </r>
  <r>
    <x v="292"/>
    <x v="1"/>
    <n v="57.8"/>
    <n v="209.4"/>
    <n v="62.6"/>
    <n v="4.34"/>
    <n v="90.8"/>
    <n v="0.23"/>
    <x v="58"/>
    <x v="292"/>
    <n v="4.76"/>
    <n v="96.333333333333329"/>
    <n v="209.4"/>
    <n v="78.25"/>
    <n v="10.85"/>
    <n v="227"/>
    <n v="11.5"/>
    <n v="227"/>
    <x v="0"/>
    <s v="O3"/>
  </r>
  <r>
    <x v="292"/>
    <x v="2"/>
    <n v="13"/>
    <n v="179.7"/>
    <n v="41.2"/>
    <n v="5.86"/>
    <n v="42.4"/>
    <n v="1.5"/>
    <x v="12"/>
    <x v="35"/>
    <n v="3.28"/>
    <n v="21.666666666666671"/>
    <n v="179.7"/>
    <n v="51.500000000000007"/>
    <n v="14.65"/>
    <n v="106"/>
    <n v="75"/>
    <n v="180"/>
    <x v="1"/>
    <s v="PM10"/>
  </r>
  <r>
    <x v="292"/>
    <x v="3"/>
    <n v="8.8000000000000007"/>
    <n v="84.9"/>
    <n v="105.8"/>
    <n v="3.16"/>
    <n v="68.7"/>
    <n v="0.85"/>
    <x v="118"/>
    <x v="65"/>
    <n v="3.85"/>
    <n v="14.66666666666667"/>
    <n v="84.9"/>
    <n v="132.25"/>
    <n v="7.9"/>
    <n v="171.75"/>
    <n v="42.499999999999993"/>
    <n v="172"/>
    <x v="1"/>
    <s v="O3"/>
  </r>
  <r>
    <x v="292"/>
    <x v="4"/>
    <n v="59.4"/>
    <n v="263.3"/>
    <n v="36.5"/>
    <n v="10.09"/>
    <n v="50.7"/>
    <n v="0.57999999999999996"/>
    <x v="97"/>
    <x v="606"/>
    <n v="2.48"/>
    <n v="98.999999999999986"/>
    <n v="263.3"/>
    <n v="45.625"/>
    <n v="25.225000000000001"/>
    <n v="126.75"/>
    <n v="29"/>
    <n v="263"/>
    <x v="0"/>
    <s v="PM10"/>
  </r>
  <r>
    <x v="293"/>
    <x v="0"/>
    <n v="153.19999999999999"/>
    <n v="80.099999999999994"/>
    <n v="78.900000000000006"/>
    <n v="14.12"/>
    <n v="45.6"/>
    <n v="0.78"/>
    <x v="230"/>
    <x v="411"/>
    <n v="0.36"/>
    <n v="255.33333333333329"/>
    <n v="80.099999999999994"/>
    <n v="98.625"/>
    <n v="35.299999999999997"/>
    <n v="114"/>
    <n v="39"/>
    <n v="255"/>
    <x v="0"/>
    <s v="PM2.5"/>
  </r>
  <r>
    <x v="293"/>
    <x v="1"/>
    <n v="37.4"/>
    <n v="38.799999999999997"/>
    <n v="89.9"/>
    <n v="13.87"/>
    <n v="74.599999999999994"/>
    <n v="1.94"/>
    <x v="141"/>
    <x v="607"/>
    <n v="1.77"/>
    <n v="62.333333333333329"/>
    <n v="38.799999999999997"/>
    <n v="112.375"/>
    <n v="34.674999999999997"/>
    <n v="186.5"/>
    <n v="97"/>
    <n v="186"/>
    <x v="1"/>
    <s v="O3"/>
  </r>
  <r>
    <x v="293"/>
    <x v="2"/>
    <n v="60"/>
    <n v="156.6"/>
    <n v="17.600000000000001"/>
    <n v="22.31"/>
    <n v="38.700000000000003"/>
    <n v="1.22"/>
    <x v="202"/>
    <x v="608"/>
    <n v="2.5499999999999998"/>
    <n v="100"/>
    <n v="156.6"/>
    <n v="22"/>
    <n v="55.774999999999999"/>
    <n v="96.75"/>
    <n v="61"/>
    <n v="157"/>
    <x v="1"/>
    <s v="PM10"/>
  </r>
  <r>
    <x v="293"/>
    <x v="3"/>
    <n v="63.9"/>
    <n v="29.8"/>
    <n v="33.9"/>
    <n v="10.59"/>
    <n v="51.1"/>
    <n v="1.93"/>
    <x v="32"/>
    <x v="609"/>
    <n v="3.77"/>
    <n v="106.5"/>
    <n v="29.8"/>
    <n v="42.374999999999993"/>
    <n v="26.475000000000001"/>
    <n v="127.75"/>
    <n v="96.5"/>
    <n v="128"/>
    <x v="1"/>
    <s v="O3"/>
  </r>
  <r>
    <x v="293"/>
    <x v="4"/>
    <n v="113.4"/>
    <n v="191.3"/>
    <n v="45.9"/>
    <n v="14.54"/>
    <n v="138.30000000000001"/>
    <n v="1.4"/>
    <x v="114"/>
    <x v="308"/>
    <n v="3.75"/>
    <n v="189"/>
    <n v="191.3"/>
    <n v="57.374999999999993"/>
    <n v="36.35"/>
    <n v="345.75"/>
    <n v="69.999999999999986"/>
    <n v="346"/>
    <x v="2"/>
    <s v="O3"/>
  </r>
  <r>
    <x v="294"/>
    <x v="0"/>
    <n v="13.6"/>
    <n v="149.69999999999999"/>
    <n v="60.5"/>
    <n v="18.03"/>
    <n v="83.7"/>
    <n v="1.98"/>
    <x v="212"/>
    <x v="252"/>
    <n v="3.35"/>
    <n v="22.666666666666661"/>
    <n v="149.69999999999999"/>
    <n v="75.625"/>
    <n v="45.075000000000003"/>
    <n v="209.25"/>
    <n v="99"/>
    <n v="209"/>
    <x v="0"/>
    <s v="O3"/>
  </r>
  <r>
    <x v="294"/>
    <x v="1"/>
    <n v="84.6"/>
    <n v="20.2"/>
    <n v="36.799999999999997"/>
    <n v="2.71"/>
    <n v="1"/>
    <n v="1.5"/>
    <x v="94"/>
    <x v="62"/>
    <n v="2.2999999999999998"/>
    <n v="141"/>
    <n v="20.2"/>
    <n v="46"/>
    <n v="6.7749999999999986"/>
    <n v="2.5"/>
    <n v="75"/>
    <n v="141"/>
    <x v="1"/>
    <s v="PM2.5"/>
  </r>
  <r>
    <x v="294"/>
    <x v="2"/>
    <n v="93.9"/>
    <n v="24.6"/>
    <n v="32.700000000000003"/>
    <n v="8.06"/>
    <n v="16.399999999999999"/>
    <n v="0.9"/>
    <x v="96"/>
    <x v="313"/>
    <n v="4.7300000000000004"/>
    <n v="156.5"/>
    <n v="24.6"/>
    <n v="40.875"/>
    <n v="20.149999999999999"/>
    <n v="40.999999999999993"/>
    <n v="45"/>
    <n v="156"/>
    <x v="1"/>
    <s v="PM2.5"/>
  </r>
  <r>
    <x v="294"/>
    <x v="3"/>
    <n v="71.3"/>
    <n v="148.80000000000001"/>
    <n v="55.8"/>
    <n v="11.06"/>
    <n v="37.9"/>
    <n v="1.01"/>
    <x v="141"/>
    <x v="610"/>
    <n v="3.85"/>
    <n v="118.8333333333333"/>
    <n v="148.80000000000001"/>
    <n v="69.749999999999986"/>
    <n v="27.65"/>
    <n v="94.75"/>
    <n v="50.5"/>
    <n v="149"/>
    <x v="1"/>
    <s v="PM10"/>
  </r>
  <r>
    <x v="294"/>
    <x v="4"/>
    <n v="58.1"/>
    <n v="182.7"/>
    <n v="45.2"/>
    <n v="8.99"/>
    <n v="31"/>
    <n v="1.2"/>
    <x v="42"/>
    <x v="173"/>
    <n v="3.16"/>
    <n v="96.833333333333343"/>
    <n v="182.7"/>
    <n v="56.5"/>
    <n v="22.475000000000001"/>
    <n v="77.5"/>
    <n v="60"/>
    <n v="183"/>
    <x v="1"/>
    <s v="PM10"/>
  </r>
  <r>
    <x v="295"/>
    <x v="0"/>
    <n v="19.100000000000001"/>
    <n v="116.7"/>
    <n v="46.2"/>
    <n v="4.43"/>
    <n v="46.6"/>
    <n v="1.08"/>
    <x v="169"/>
    <x v="611"/>
    <n v="1.35"/>
    <n v="31.833333333333339"/>
    <n v="116.7"/>
    <n v="57.75"/>
    <n v="11.074999999999999"/>
    <n v="116.5"/>
    <n v="54.000000000000007"/>
    <n v="117"/>
    <x v="1"/>
    <s v="PM10"/>
  </r>
  <r>
    <x v="295"/>
    <x v="1"/>
    <n v="60"/>
    <n v="155.80000000000001"/>
    <n v="85.9"/>
    <n v="11.6"/>
    <n v="29.3"/>
    <n v="1.8"/>
    <x v="176"/>
    <x v="608"/>
    <n v="3.16"/>
    <n v="100"/>
    <n v="155.80000000000001"/>
    <n v="107.375"/>
    <n v="29"/>
    <n v="73.25"/>
    <n v="90"/>
    <n v="156"/>
    <x v="1"/>
    <s v="PM10"/>
  </r>
  <r>
    <x v="295"/>
    <x v="2"/>
    <n v="77.7"/>
    <n v="196.1"/>
    <n v="63.2"/>
    <n v="10.29"/>
    <n v="63.4"/>
    <n v="0.52"/>
    <x v="24"/>
    <x v="376"/>
    <n v="2.58"/>
    <n v="129.5"/>
    <n v="196.1"/>
    <n v="79"/>
    <n v="25.725000000000001"/>
    <n v="158.5"/>
    <n v="26"/>
    <n v="196"/>
    <x v="1"/>
    <s v="PM10"/>
  </r>
  <r>
    <x v="295"/>
    <x v="3"/>
    <n v="43.7"/>
    <n v="169.6"/>
    <n v="7.7"/>
    <n v="5.33"/>
    <n v="27.9"/>
    <n v="0.22"/>
    <x v="243"/>
    <x v="247"/>
    <n v="1.79"/>
    <n v="72.833333333333329"/>
    <n v="169.6"/>
    <n v="9.625"/>
    <n v="13.324999999999999"/>
    <n v="69.749999999999986"/>
    <n v="11"/>
    <n v="170"/>
    <x v="1"/>
    <s v="PM10"/>
  </r>
  <r>
    <x v="295"/>
    <x v="4"/>
    <n v="96"/>
    <n v="174.6"/>
    <n v="25.1"/>
    <n v="12.55"/>
    <n v="52"/>
    <n v="2.86"/>
    <x v="95"/>
    <x v="381"/>
    <n v="1.97"/>
    <n v="160"/>
    <n v="174.6"/>
    <n v="31.375"/>
    <n v="31.375"/>
    <n v="130"/>
    <n v="143"/>
    <n v="175"/>
    <x v="1"/>
    <s v="PM10"/>
  </r>
  <r>
    <x v="296"/>
    <x v="0"/>
    <n v="43.3"/>
    <n v="81"/>
    <n v="83.3"/>
    <n v="9.3000000000000007"/>
    <n v="62.3"/>
    <n v="2.42"/>
    <x v="331"/>
    <x v="570"/>
    <n v="2.57"/>
    <n v="72.166666666666657"/>
    <n v="81"/>
    <n v="104.125"/>
    <n v="23.25"/>
    <n v="155.75"/>
    <n v="121"/>
    <n v="156"/>
    <x v="1"/>
    <s v="O3"/>
  </r>
  <r>
    <x v="296"/>
    <x v="1"/>
    <n v="91.3"/>
    <n v="87.9"/>
    <n v="37.4"/>
    <n v="13.06"/>
    <n v="124.5"/>
    <n v="2.25"/>
    <x v="245"/>
    <x v="612"/>
    <n v="1.78"/>
    <n v="152.16666666666671"/>
    <n v="87.9"/>
    <n v="46.75"/>
    <n v="32.65"/>
    <n v="311.25"/>
    <n v="112.5"/>
    <n v="311"/>
    <x v="2"/>
    <s v="O3"/>
  </r>
  <r>
    <x v="296"/>
    <x v="2"/>
    <n v="34.700000000000003"/>
    <n v="86.2"/>
    <n v="3.7"/>
    <n v="4.16"/>
    <n v="24.7"/>
    <n v="1.04"/>
    <x v="108"/>
    <x v="7"/>
    <n v="2.48"/>
    <n v="57.833333333333343"/>
    <n v="86.2"/>
    <n v="4.6250000000000009"/>
    <n v="10.4"/>
    <n v="61.75"/>
    <n v="52.000000000000007"/>
    <n v="86"/>
    <x v="3"/>
    <s v="PM10"/>
  </r>
  <r>
    <x v="296"/>
    <x v="3"/>
    <n v="42.6"/>
    <n v="5"/>
    <n v="33.5"/>
    <n v="3.14"/>
    <n v="51.7"/>
    <n v="1.75"/>
    <x v="150"/>
    <x v="142"/>
    <n v="2.34"/>
    <n v="71.000000000000014"/>
    <n v="5"/>
    <n v="41.875"/>
    <n v="7.8500000000000014"/>
    <n v="129.25"/>
    <n v="87.5"/>
    <n v="129"/>
    <x v="1"/>
    <s v="O3"/>
  </r>
  <r>
    <x v="296"/>
    <x v="4"/>
    <n v="48.8"/>
    <n v="82.7"/>
    <n v="16.3"/>
    <n v="14.26"/>
    <n v="39.200000000000003"/>
    <n v="0.5"/>
    <x v="4"/>
    <x v="231"/>
    <n v="3.05"/>
    <n v="81.333333333333329"/>
    <n v="82.7"/>
    <n v="20.375"/>
    <n v="35.65"/>
    <n v="98"/>
    <n v="25"/>
    <n v="98"/>
    <x v="3"/>
    <s v="O3"/>
  </r>
  <r>
    <x v="297"/>
    <x v="0"/>
    <n v="105.8"/>
    <n v="114"/>
    <n v="2"/>
    <n v="8.11"/>
    <n v="41.5"/>
    <n v="1.22"/>
    <x v="8"/>
    <x v="415"/>
    <n v="2.58"/>
    <n v="176.33333333333329"/>
    <n v="114"/>
    <n v="2.5"/>
    <n v="20.274999999999999"/>
    <n v="103.75"/>
    <n v="61"/>
    <n v="176"/>
    <x v="1"/>
    <s v="PM2.5"/>
  </r>
  <r>
    <x v="297"/>
    <x v="1"/>
    <n v="74.099999999999994"/>
    <n v="180.9"/>
    <n v="45.5"/>
    <n v="6.96"/>
    <n v="93.1"/>
    <n v="1.92"/>
    <x v="253"/>
    <x v="479"/>
    <n v="3.13"/>
    <n v="123.5"/>
    <n v="180.9"/>
    <n v="56.875"/>
    <n v="17.399999999999999"/>
    <n v="232.75"/>
    <n v="96"/>
    <n v="233"/>
    <x v="0"/>
    <s v="O3"/>
  </r>
  <r>
    <x v="297"/>
    <x v="2"/>
    <n v="83.5"/>
    <n v="24"/>
    <n v="46.6"/>
    <n v="6.73"/>
    <n v="77.8"/>
    <n v="1.67"/>
    <x v="8"/>
    <x v="575"/>
    <n v="2.7"/>
    <n v="139.16666666666671"/>
    <n v="24"/>
    <n v="58.25"/>
    <n v="16.824999999999999"/>
    <n v="194.5"/>
    <n v="83.499999999999986"/>
    <n v="194"/>
    <x v="1"/>
    <s v="O3"/>
  </r>
  <r>
    <x v="297"/>
    <x v="3"/>
    <n v="73.599999999999994"/>
    <n v="58.9"/>
    <n v="52.2"/>
    <n v="6.86"/>
    <n v="47.1"/>
    <n v="0.77"/>
    <x v="122"/>
    <x v="595"/>
    <n v="1.24"/>
    <n v="122.6666666666667"/>
    <n v="58.9"/>
    <n v="65.25"/>
    <n v="17.149999999999999"/>
    <n v="117.75"/>
    <n v="38.5"/>
    <n v="123"/>
    <x v="1"/>
    <s v="PM2.5"/>
  </r>
  <r>
    <x v="297"/>
    <x v="4"/>
    <n v="33.700000000000003"/>
    <n v="128.6"/>
    <n v="32.5"/>
    <n v="3.93"/>
    <n v="46.9"/>
    <n v="0.33"/>
    <x v="98"/>
    <x v="613"/>
    <n v="3.55"/>
    <n v="56.166666666666671"/>
    <n v="128.6"/>
    <n v="40.625"/>
    <n v="9.8250000000000011"/>
    <n v="117.25"/>
    <n v="16.5"/>
    <n v="129"/>
    <x v="1"/>
    <s v="PM10"/>
  </r>
  <r>
    <x v="298"/>
    <x v="0"/>
    <n v="43.2"/>
    <n v="166.9"/>
    <n v="64.8"/>
    <n v="14.92"/>
    <n v="42.3"/>
    <n v="2.0499999999999998"/>
    <x v="298"/>
    <x v="386"/>
    <n v="2.7"/>
    <n v="72.000000000000014"/>
    <n v="166.9"/>
    <n v="81"/>
    <n v="37.299999999999997"/>
    <n v="105.75"/>
    <n v="102.5"/>
    <n v="167"/>
    <x v="1"/>
    <s v="PM10"/>
  </r>
  <r>
    <x v="298"/>
    <x v="1"/>
    <n v="87.4"/>
    <n v="81.599999999999994"/>
    <n v="62.7"/>
    <n v="6.1"/>
    <n v="41.3"/>
    <n v="2.27"/>
    <x v="106"/>
    <x v="524"/>
    <n v="1.23"/>
    <n v="145.66666666666671"/>
    <n v="81.599999999999994"/>
    <n v="78.375"/>
    <n v="15.25"/>
    <n v="103.25"/>
    <n v="113.5"/>
    <n v="146"/>
    <x v="1"/>
    <s v="PM2.5"/>
  </r>
  <r>
    <x v="298"/>
    <x v="2"/>
    <n v="45.3"/>
    <n v="112.5"/>
    <n v="30.2"/>
    <n v="12.54"/>
    <n v="46.3"/>
    <n v="1.37"/>
    <x v="1"/>
    <x v="421"/>
    <n v="0.2"/>
    <n v="75.5"/>
    <n v="112.5"/>
    <n v="37.75"/>
    <n v="31.349999999999991"/>
    <n v="115.75"/>
    <n v="68.5"/>
    <n v="116"/>
    <x v="1"/>
    <s v="O3"/>
  </r>
  <r>
    <x v="298"/>
    <x v="3"/>
    <n v="85"/>
    <n v="176.1"/>
    <n v="36.4"/>
    <n v="14.36"/>
    <n v="38.4"/>
    <n v="1.24"/>
    <x v="69"/>
    <x v="62"/>
    <n v="4.1100000000000003"/>
    <n v="141.66666666666671"/>
    <n v="176.1"/>
    <n v="45.5"/>
    <n v="35.9"/>
    <n v="96"/>
    <n v="62"/>
    <n v="176"/>
    <x v="1"/>
    <s v="PM10"/>
  </r>
  <r>
    <x v="298"/>
    <x v="4"/>
    <n v="89.1"/>
    <n v="71.8"/>
    <n v="52.7"/>
    <n v="4.33"/>
    <n v="66.599999999999994"/>
    <n v="1.41"/>
    <x v="54"/>
    <x v="129"/>
    <n v="1.98"/>
    <n v="148.5"/>
    <n v="71.8"/>
    <n v="65.875"/>
    <n v="10.824999999999999"/>
    <n v="166.5"/>
    <n v="70.5"/>
    <n v="166"/>
    <x v="1"/>
    <s v="O3"/>
  </r>
  <r>
    <x v="299"/>
    <x v="0"/>
    <n v="74.2"/>
    <n v="78.7"/>
    <n v="52.4"/>
    <n v="13.52"/>
    <n v="44.5"/>
    <n v="1.1100000000000001"/>
    <x v="196"/>
    <x v="516"/>
    <n v="1.17"/>
    <n v="123.6666666666667"/>
    <n v="78.7"/>
    <n v="65.5"/>
    <n v="33.799999999999997"/>
    <n v="111.25"/>
    <n v="55.500000000000007"/>
    <n v="124"/>
    <x v="1"/>
    <s v="PM2.5"/>
  </r>
  <r>
    <x v="299"/>
    <x v="1"/>
    <n v="84.8"/>
    <n v="248.8"/>
    <n v="70.599999999999994"/>
    <n v="10.36"/>
    <n v="70"/>
    <n v="1.84"/>
    <x v="113"/>
    <x v="614"/>
    <n v="0.64"/>
    <n v="141.33333333333329"/>
    <n v="248.8"/>
    <n v="88.25"/>
    <n v="25.9"/>
    <n v="175"/>
    <n v="92"/>
    <n v="249"/>
    <x v="0"/>
    <s v="PM10"/>
  </r>
  <r>
    <x v="299"/>
    <x v="2"/>
    <n v="85.6"/>
    <n v="28.2"/>
    <n v="50.4"/>
    <n v="5.93"/>
    <n v="14.3"/>
    <n v="1.34"/>
    <x v="196"/>
    <x v="615"/>
    <n v="1.75"/>
    <n v="142.66666666666671"/>
    <n v="28.2"/>
    <n v="63"/>
    <n v="14.824999999999999"/>
    <n v="35.750000000000007"/>
    <n v="67"/>
    <n v="143"/>
    <x v="1"/>
    <s v="PM2.5"/>
  </r>
  <r>
    <x v="299"/>
    <x v="3"/>
    <n v="103.2"/>
    <n v="141.1"/>
    <n v="31.8"/>
    <n v="12"/>
    <n v="54.1"/>
    <n v="1.22"/>
    <x v="100"/>
    <x v="281"/>
    <n v="1.51"/>
    <n v="172"/>
    <n v="141.1"/>
    <n v="39.75"/>
    <n v="30"/>
    <n v="135.25"/>
    <n v="61"/>
    <n v="172"/>
    <x v="1"/>
    <s v="PM2.5"/>
  </r>
  <r>
    <x v="299"/>
    <x v="4"/>
    <n v="91.1"/>
    <n v="117.2"/>
    <n v="47.7"/>
    <n v="10.34"/>
    <n v="51.3"/>
    <n v="0.38"/>
    <x v="266"/>
    <x v="611"/>
    <n v="2.76"/>
    <n v="151.83333333333329"/>
    <n v="117.2"/>
    <n v="59.625000000000007"/>
    <n v="25.85"/>
    <n v="128.25"/>
    <n v="19"/>
    <n v="152"/>
    <x v="1"/>
    <s v="PM2.5"/>
  </r>
  <r>
    <x v="300"/>
    <x v="0"/>
    <n v="83.9"/>
    <n v="154.30000000000001"/>
    <n v="69.400000000000006"/>
    <n v="12.29"/>
    <n v="66.599999999999994"/>
    <n v="2.31"/>
    <x v="130"/>
    <x v="489"/>
    <n v="1.1499999999999999"/>
    <n v="139.83333333333329"/>
    <n v="154.30000000000001"/>
    <n v="86.750000000000014"/>
    <n v="30.725000000000001"/>
    <n v="166.5"/>
    <n v="115.5"/>
    <n v="166"/>
    <x v="1"/>
    <s v="O3"/>
  </r>
  <r>
    <x v="300"/>
    <x v="1"/>
    <n v="137.5"/>
    <n v="132.19999999999999"/>
    <n v="44.4"/>
    <n v="0.5"/>
    <n v="60.6"/>
    <n v="1.61"/>
    <x v="195"/>
    <x v="445"/>
    <n v="1.9"/>
    <n v="229.16666666666671"/>
    <n v="132.19999999999999"/>
    <n v="55.5"/>
    <n v="1.25"/>
    <n v="151.5"/>
    <n v="80.5"/>
    <n v="229"/>
    <x v="0"/>
    <s v="PM2.5"/>
  </r>
  <r>
    <x v="300"/>
    <x v="2"/>
    <n v="133.69999999999999"/>
    <n v="81.5"/>
    <n v="34.5"/>
    <n v="3.44"/>
    <n v="68.3"/>
    <n v="0.93"/>
    <x v="33"/>
    <x v="577"/>
    <n v="0.84"/>
    <n v="222.83333333333329"/>
    <n v="81.5"/>
    <n v="43.125"/>
    <n v="8.6"/>
    <n v="170.75"/>
    <n v="46.5"/>
    <n v="223"/>
    <x v="0"/>
    <s v="PM2.5"/>
  </r>
  <r>
    <x v="300"/>
    <x v="3"/>
    <n v="78.8"/>
    <n v="226.9"/>
    <n v="56.3"/>
    <n v="11.19"/>
    <n v="61.8"/>
    <n v="2.23"/>
    <x v="263"/>
    <x v="99"/>
    <n v="3.58"/>
    <n v="131.33333333333329"/>
    <n v="226.9"/>
    <n v="70.375"/>
    <n v="27.975000000000001"/>
    <n v="154.5"/>
    <n v="111.5"/>
    <n v="227"/>
    <x v="0"/>
    <s v="PM10"/>
  </r>
  <r>
    <x v="300"/>
    <x v="4"/>
    <n v="36.799999999999997"/>
    <n v="183.2"/>
    <n v="27.4"/>
    <n v="6.78"/>
    <n v="1"/>
    <n v="1.58"/>
    <x v="49"/>
    <x v="94"/>
    <n v="3.47"/>
    <n v="61.333333333333329"/>
    <n v="183.2"/>
    <n v="34.249999999999993"/>
    <n v="16.95"/>
    <n v="2.5"/>
    <n v="79"/>
    <n v="183"/>
    <x v="1"/>
    <s v="PM10"/>
  </r>
  <r>
    <x v="301"/>
    <x v="0"/>
    <n v="107.8"/>
    <n v="63.2"/>
    <n v="75.599999999999994"/>
    <n v="21.31"/>
    <n v="68"/>
    <n v="1.93"/>
    <x v="141"/>
    <x v="73"/>
    <n v="3.41"/>
    <n v="179.66666666666671"/>
    <n v="63.2"/>
    <n v="94.499999999999986"/>
    <n v="53.274999999999999"/>
    <n v="170"/>
    <n v="96.5"/>
    <n v="180"/>
    <x v="1"/>
    <s v="PM2.5"/>
  </r>
  <r>
    <x v="301"/>
    <x v="1"/>
    <n v="18.5"/>
    <n v="118.7"/>
    <n v="12"/>
    <n v="5.6"/>
    <n v="70.099999999999994"/>
    <n v="1.88"/>
    <x v="276"/>
    <x v="133"/>
    <n v="0.24"/>
    <n v="30.833333333333339"/>
    <n v="118.7"/>
    <n v="15"/>
    <n v="14"/>
    <n v="175.25"/>
    <n v="94"/>
    <n v="175"/>
    <x v="1"/>
    <s v="O3"/>
  </r>
  <r>
    <x v="301"/>
    <x v="2"/>
    <n v="46.4"/>
    <n v="75.2"/>
    <n v="30.2"/>
    <n v="10.45"/>
    <n v="17.600000000000001"/>
    <n v="0.8"/>
    <x v="21"/>
    <x v="616"/>
    <n v="1.19"/>
    <n v="77.333333333333343"/>
    <n v="75.2"/>
    <n v="37.75"/>
    <n v="26.125"/>
    <n v="44.000000000000007"/>
    <n v="40"/>
    <n v="77"/>
    <x v="3"/>
    <s v="PM2.5"/>
  </r>
  <r>
    <x v="301"/>
    <x v="3"/>
    <n v="62.4"/>
    <n v="62.9"/>
    <n v="47.1"/>
    <n v="7.28"/>
    <n v="81.8"/>
    <n v="1.5"/>
    <x v="41"/>
    <x v="292"/>
    <n v="2.57"/>
    <n v="104"/>
    <n v="62.9"/>
    <n v="58.875000000000007"/>
    <n v="18.2"/>
    <n v="204.5"/>
    <n v="75"/>
    <n v="204"/>
    <x v="0"/>
    <s v="O3"/>
  </r>
  <r>
    <x v="301"/>
    <x v="4"/>
    <n v="35.299999999999997"/>
    <n v="5"/>
    <n v="79.2"/>
    <n v="12.76"/>
    <n v="58.3"/>
    <n v="0.92"/>
    <x v="145"/>
    <x v="128"/>
    <n v="3.25"/>
    <n v="58.833333333333329"/>
    <n v="5"/>
    <n v="99"/>
    <n v="31.9"/>
    <n v="145.75"/>
    <n v="46"/>
    <n v="146"/>
    <x v="1"/>
    <s v="O3"/>
  </r>
  <r>
    <x v="302"/>
    <x v="0"/>
    <n v="37.200000000000003"/>
    <n v="242.6"/>
    <n v="15.6"/>
    <n v="16.29"/>
    <n v="47.1"/>
    <n v="1.04"/>
    <x v="141"/>
    <x v="358"/>
    <n v="4.1399999999999997"/>
    <n v="62.000000000000007"/>
    <n v="242.6"/>
    <n v="19.5"/>
    <n v="40.724999999999987"/>
    <n v="117.75"/>
    <n v="52.000000000000007"/>
    <n v="243"/>
    <x v="0"/>
    <s v="PM10"/>
  </r>
  <r>
    <x v="302"/>
    <x v="1"/>
    <n v="86.7"/>
    <n v="83.2"/>
    <n v="57.6"/>
    <n v="21.35"/>
    <n v="92.1"/>
    <n v="2.1800000000000002"/>
    <x v="139"/>
    <x v="591"/>
    <n v="3.89"/>
    <n v="144.5"/>
    <n v="83.2"/>
    <n v="72.000000000000014"/>
    <n v="53.375000000000007"/>
    <n v="230.25"/>
    <n v="109"/>
    <n v="230"/>
    <x v="0"/>
    <s v="O3"/>
  </r>
  <r>
    <x v="302"/>
    <x v="2"/>
    <n v="44"/>
    <n v="36.799999999999997"/>
    <n v="44.1"/>
    <n v="3.72"/>
    <n v="12.9"/>
    <n v="0.73"/>
    <x v="332"/>
    <x v="136"/>
    <n v="2.93"/>
    <n v="73.333333333333329"/>
    <n v="36.799999999999997"/>
    <n v="55.125"/>
    <n v="9.3000000000000007"/>
    <n v="32.25"/>
    <n v="36.5"/>
    <n v="73"/>
    <x v="3"/>
    <s v="PM2.5"/>
  </r>
  <r>
    <x v="302"/>
    <x v="3"/>
    <n v="23.3"/>
    <n v="9.4"/>
    <n v="28.6"/>
    <n v="15.19"/>
    <n v="48.4"/>
    <n v="1.56"/>
    <x v="18"/>
    <x v="308"/>
    <n v="4.17"/>
    <n v="38.833333333333343"/>
    <n v="9.4"/>
    <n v="35.750000000000007"/>
    <n v="37.975000000000001"/>
    <n v="121"/>
    <n v="78"/>
    <n v="121"/>
    <x v="1"/>
    <s v="O3"/>
  </r>
  <r>
    <x v="302"/>
    <x v="4"/>
    <n v="45.1"/>
    <n v="224.8"/>
    <n v="59.2"/>
    <n v="0.5"/>
    <n v="23.4"/>
    <n v="0.14000000000000001"/>
    <x v="140"/>
    <x v="33"/>
    <n v="0.33"/>
    <n v="75.166666666666671"/>
    <n v="224.8"/>
    <n v="74.000000000000014"/>
    <n v="1.25"/>
    <n v="58.5"/>
    <n v="7.0000000000000009"/>
    <n v="225"/>
    <x v="0"/>
    <s v="PM10"/>
  </r>
  <r>
    <x v="303"/>
    <x v="0"/>
    <n v="82"/>
    <n v="100.9"/>
    <n v="17.600000000000001"/>
    <n v="18.850000000000001"/>
    <n v="49.1"/>
    <n v="1.18"/>
    <x v="105"/>
    <x v="617"/>
    <n v="0.93"/>
    <n v="136.66666666666671"/>
    <n v="100.9"/>
    <n v="22"/>
    <n v="47.125"/>
    <n v="122.75"/>
    <n v="59"/>
    <n v="137"/>
    <x v="1"/>
    <s v="PM2.5"/>
  </r>
  <r>
    <x v="303"/>
    <x v="1"/>
    <n v="123.2"/>
    <n v="114.5"/>
    <n v="56.8"/>
    <n v="0.5"/>
    <n v="8.8000000000000007"/>
    <n v="1.96"/>
    <x v="181"/>
    <x v="45"/>
    <n v="4.1100000000000003"/>
    <n v="205.33333333333329"/>
    <n v="114.5"/>
    <n v="71"/>
    <n v="1.25"/>
    <n v="22"/>
    <n v="98"/>
    <n v="205"/>
    <x v="0"/>
    <s v="PM2.5"/>
  </r>
  <r>
    <x v="303"/>
    <x v="2"/>
    <n v="50.4"/>
    <n v="141"/>
    <n v="36.700000000000003"/>
    <n v="17.36"/>
    <n v="65.3"/>
    <n v="1.24"/>
    <x v="196"/>
    <x v="459"/>
    <n v="3.2"/>
    <n v="83.999999999999986"/>
    <n v="141"/>
    <n v="45.875000000000007"/>
    <n v="43.4"/>
    <n v="163.25"/>
    <n v="62"/>
    <n v="163"/>
    <x v="1"/>
    <s v="O3"/>
  </r>
  <r>
    <x v="303"/>
    <x v="3"/>
    <n v="106.8"/>
    <n v="5"/>
    <n v="54.2"/>
    <n v="5.42"/>
    <n v="83.9"/>
    <n v="2.13"/>
    <x v="300"/>
    <x v="132"/>
    <n v="4.6399999999999997"/>
    <n v="178"/>
    <n v="5"/>
    <n v="67.75"/>
    <n v="13.55"/>
    <n v="209.75"/>
    <n v="106.5"/>
    <n v="210"/>
    <x v="0"/>
    <s v="O3"/>
  </r>
  <r>
    <x v="303"/>
    <x v="4"/>
    <n v="68.5"/>
    <n v="295.10000000000002"/>
    <n v="48.8"/>
    <n v="7.62"/>
    <n v="67.8"/>
    <n v="1.0900000000000001"/>
    <x v="169"/>
    <x v="618"/>
    <n v="3.02"/>
    <n v="114.1666666666667"/>
    <n v="295.10000000000002"/>
    <n v="61"/>
    <n v="19.05"/>
    <n v="169.5"/>
    <n v="54.500000000000007"/>
    <n v="295"/>
    <x v="0"/>
    <s v="PM10"/>
  </r>
  <r>
    <x v="304"/>
    <x v="0"/>
    <n v="10.5"/>
    <n v="163.30000000000001"/>
    <n v="35.700000000000003"/>
    <n v="14.18"/>
    <n v="66"/>
    <n v="2.4"/>
    <x v="106"/>
    <x v="426"/>
    <n v="1.7"/>
    <n v="17.5"/>
    <n v="163.30000000000001"/>
    <n v="44.625000000000007"/>
    <n v="35.450000000000003"/>
    <n v="165"/>
    <n v="120"/>
    <n v="165"/>
    <x v="1"/>
    <s v="O3"/>
  </r>
  <r>
    <x v="304"/>
    <x v="1"/>
    <n v="105.1"/>
    <n v="297.60000000000002"/>
    <n v="39"/>
    <n v="21.25"/>
    <n v="32.799999999999997"/>
    <n v="0.86"/>
    <x v="131"/>
    <x v="619"/>
    <n v="3.59"/>
    <n v="175.16666666666671"/>
    <n v="297.60000000000002"/>
    <n v="48.75"/>
    <n v="53.125"/>
    <n v="81.999999999999986"/>
    <n v="43"/>
    <n v="298"/>
    <x v="0"/>
    <s v="PM10"/>
  </r>
  <r>
    <x v="304"/>
    <x v="2"/>
    <n v="29.6"/>
    <n v="138.80000000000001"/>
    <n v="29.7"/>
    <n v="0.53"/>
    <n v="15.9"/>
    <n v="0.71"/>
    <x v="197"/>
    <x v="620"/>
    <n v="0.73"/>
    <n v="49.333333333333343"/>
    <n v="138.80000000000001"/>
    <n v="37.125"/>
    <n v="1.325"/>
    <n v="39.75"/>
    <n v="35.5"/>
    <n v="139"/>
    <x v="1"/>
    <s v="PM10"/>
  </r>
  <r>
    <x v="304"/>
    <x v="3"/>
    <n v="70.599999999999994"/>
    <n v="49.4"/>
    <n v="57.6"/>
    <n v="4.8899999999999997"/>
    <n v="13.7"/>
    <n v="1.68"/>
    <x v="122"/>
    <x v="23"/>
    <n v="0.2"/>
    <n v="117.6666666666667"/>
    <n v="49.4"/>
    <n v="72.000000000000014"/>
    <n v="12.225"/>
    <n v="34.249999999999993"/>
    <n v="83.999999999999986"/>
    <n v="118"/>
    <x v="1"/>
    <s v="PM2.5"/>
  </r>
  <r>
    <x v="304"/>
    <x v="4"/>
    <n v="97.2"/>
    <n v="186.2"/>
    <n v="49.6"/>
    <n v="0.5"/>
    <n v="77.3"/>
    <n v="0.88"/>
    <x v="15"/>
    <x v="62"/>
    <n v="2.16"/>
    <n v="162"/>
    <n v="186.2"/>
    <n v="62"/>
    <n v="1.25"/>
    <n v="193.25"/>
    <n v="44"/>
    <n v="193"/>
    <x v="1"/>
    <s v="O3"/>
  </r>
  <r>
    <x v="305"/>
    <x v="0"/>
    <n v="151.4"/>
    <n v="282.89999999999998"/>
    <n v="97.2"/>
    <n v="17.309999999999999"/>
    <n v="51.1"/>
    <n v="2.5099999999999998"/>
    <x v="16"/>
    <x v="594"/>
    <n v="0.92"/>
    <n v="252.33333333333329"/>
    <n v="282.89999999999998"/>
    <n v="121.5"/>
    <n v="43.274999999999991"/>
    <n v="127.75"/>
    <n v="125.5"/>
    <n v="283"/>
    <x v="0"/>
    <s v="PM10"/>
  </r>
  <r>
    <x v="305"/>
    <x v="1"/>
    <n v="181.3"/>
    <n v="338.7"/>
    <n v="117.9"/>
    <n v="27.17"/>
    <n v="42.4"/>
    <n v="0.16"/>
    <x v="83"/>
    <x v="120"/>
    <n v="1.62"/>
    <n v="302.16666666666669"/>
    <n v="338.7"/>
    <n v="147.375"/>
    <n v="67.924999999999997"/>
    <n v="106"/>
    <n v="8"/>
    <n v="339"/>
    <x v="2"/>
    <s v="PM10"/>
  </r>
  <r>
    <x v="305"/>
    <x v="2"/>
    <n v="34.5"/>
    <n v="138.9"/>
    <n v="50.3"/>
    <n v="0.5"/>
    <n v="49.2"/>
    <n v="3.85"/>
    <x v="165"/>
    <x v="58"/>
    <n v="2.4300000000000002"/>
    <n v="57.5"/>
    <n v="138.9"/>
    <n v="62.875"/>
    <n v="1.25"/>
    <n v="123"/>
    <n v="192.5"/>
    <n v="192"/>
    <x v="1"/>
    <s v="CO"/>
  </r>
  <r>
    <x v="305"/>
    <x v="3"/>
    <n v="75.8"/>
    <n v="200.6"/>
    <n v="70.8"/>
    <n v="6.07"/>
    <n v="73.900000000000006"/>
    <n v="0.49"/>
    <x v="164"/>
    <x v="100"/>
    <n v="4.78"/>
    <n v="126.3333333333333"/>
    <n v="200.6"/>
    <n v="88.5"/>
    <n v="15.175000000000001"/>
    <n v="184.75"/>
    <n v="24.5"/>
    <n v="201"/>
    <x v="0"/>
    <s v="PM10"/>
  </r>
  <r>
    <x v="305"/>
    <x v="4"/>
    <n v="123.6"/>
    <n v="173.2"/>
    <n v="70.5"/>
    <n v="14.43"/>
    <n v="11.3"/>
    <n v="1.3"/>
    <x v="223"/>
    <x v="64"/>
    <n v="3.11"/>
    <n v="206"/>
    <n v="173.2"/>
    <n v="88.125"/>
    <n v="36.075000000000003"/>
    <n v="28.25"/>
    <n v="65"/>
    <n v="206"/>
    <x v="0"/>
    <s v="PM2.5"/>
  </r>
  <r>
    <x v="306"/>
    <x v="0"/>
    <n v="127"/>
    <n v="5"/>
    <n v="77.8"/>
    <n v="19.899999999999999"/>
    <n v="37.200000000000003"/>
    <n v="1.51"/>
    <x v="10"/>
    <x v="268"/>
    <n v="1.74"/>
    <n v="211.66666666666671"/>
    <n v="5"/>
    <n v="97.25"/>
    <n v="49.749999999999993"/>
    <n v="93.000000000000014"/>
    <n v="75.5"/>
    <n v="212"/>
    <x v="0"/>
    <s v="PM2.5"/>
  </r>
  <r>
    <x v="306"/>
    <x v="1"/>
    <n v="130.4"/>
    <n v="516.9"/>
    <n v="60.3"/>
    <n v="12.82"/>
    <n v="43.5"/>
    <n v="1.58"/>
    <x v="315"/>
    <x v="621"/>
    <n v="1.86"/>
    <n v="217.33333333333329"/>
    <n v="500"/>
    <n v="75.375"/>
    <n v="32.049999999999997"/>
    <n v="108.75"/>
    <n v="79"/>
    <n v="500"/>
    <x v="2"/>
    <s v="PM10"/>
  </r>
  <r>
    <x v="306"/>
    <x v="2"/>
    <n v="128.5"/>
    <n v="155.6"/>
    <n v="43.4"/>
    <n v="15.51"/>
    <n v="53.6"/>
    <n v="2.02"/>
    <x v="94"/>
    <x v="445"/>
    <n v="2.02"/>
    <n v="214.16666666666671"/>
    <n v="155.6"/>
    <n v="54.25"/>
    <n v="38.774999999999999"/>
    <n v="134"/>
    <n v="101"/>
    <n v="214"/>
    <x v="0"/>
    <s v="PM2.5"/>
  </r>
  <r>
    <x v="306"/>
    <x v="3"/>
    <n v="131.80000000000001"/>
    <n v="334.4"/>
    <n v="2"/>
    <n v="13.69"/>
    <n v="1"/>
    <n v="4.26"/>
    <x v="149"/>
    <x v="96"/>
    <n v="2.46"/>
    <n v="219.66666666666671"/>
    <n v="334.4"/>
    <n v="2.5"/>
    <n v="34.225000000000001"/>
    <n v="2.5"/>
    <n v="213"/>
    <n v="334"/>
    <x v="2"/>
    <s v="PM10"/>
  </r>
  <r>
    <x v="306"/>
    <x v="4"/>
    <n v="63.2"/>
    <n v="113.8"/>
    <n v="135"/>
    <n v="22.49"/>
    <n v="87.7"/>
    <n v="2.17"/>
    <x v="142"/>
    <x v="19"/>
    <n v="2.66"/>
    <n v="105.3333333333333"/>
    <n v="113.8"/>
    <n v="168.75"/>
    <n v="56.224999999999987"/>
    <n v="219.25"/>
    <n v="108.5"/>
    <n v="219"/>
    <x v="0"/>
    <s v="O3"/>
  </r>
  <r>
    <x v="307"/>
    <x v="0"/>
    <n v="52.9"/>
    <n v="230.1"/>
    <n v="53.8"/>
    <n v="18.79"/>
    <n v="45.8"/>
    <n v="2.5299999999999998"/>
    <x v="320"/>
    <x v="347"/>
    <n v="3.41"/>
    <n v="88.166666666666671"/>
    <n v="230.1"/>
    <n v="67.249999999999986"/>
    <n v="46.974999999999987"/>
    <n v="114.5"/>
    <n v="126.5"/>
    <n v="230"/>
    <x v="0"/>
    <s v="PM10"/>
  </r>
  <r>
    <x v="307"/>
    <x v="1"/>
    <n v="243.1"/>
    <n v="396.8"/>
    <n v="136.1"/>
    <n v="12.93"/>
    <n v="51.5"/>
    <n v="0.82"/>
    <x v="171"/>
    <x v="369"/>
    <n v="2.5299999999999998"/>
    <n v="405.16666666666669"/>
    <n v="396.8"/>
    <n v="170.125"/>
    <n v="32.325000000000003"/>
    <n v="128.75"/>
    <n v="40.999999999999993"/>
    <n v="405"/>
    <x v="2"/>
    <s v="PM2.5"/>
  </r>
  <r>
    <x v="307"/>
    <x v="2"/>
    <n v="138"/>
    <n v="72.3"/>
    <n v="118.1"/>
    <n v="19.010000000000002"/>
    <n v="32.700000000000003"/>
    <n v="1.69"/>
    <x v="55"/>
    <x v="622"/>
    <n v="2.62"/>
    <n v="230"/>
    <n v="72.3"/>
    <n v="147.625"/>
    <n v="47.525000000000013"/>
    <n v="81.75"/>
    <n v="84.499999999999986"/>
    <n v="230"/>
    <x v="0"/>
    <s v="PM2.5"/>
  </r>
  <r>
    <x v="307"/>
    <x v="3"/>
    <n v="102.9"/>
    <n v="193.7"/>
    <n v="129"/>
    <n v="9.85"/>
    <n v="35.299999999999997"/>
    <n v="3.32"/>
    <x v="185"/>
    <x v="623"/>
    <n v="1.41"/>
    <n v="171.5"/>
    <n v="193.7"/>
    <n v="161.25"/>
    <n v="24.625"/>
    <n v="88.25"/>
    <n v="166"/>
    <n v="194"/>
    <x v="1"/>
    <s v="PM10"/>
  </r>
  <r>
    <x v="307"/>
    <x v="4"/>
    <n v="94.8"/>
    <n v="368"/>
    <n v="55.4"/>
    <n v="12.75"/>
    <n v="46"/>
    <n v="1.07"/>
    <x v="10"/>
    <x v="2"/>
    <n v="3.06"/>
    <n v="158"/>
    <n v="368"/>
    <n v="69.249999999999986"/>
    <n v="31.875"/>
    <n v="115"/>
    <n v="53.500000000000007"/>
    <n v="368"/>
    <x v="2"/>
    <s v="PM10"/>
  </r>
  <r>
    <x v="308"/>
    <x v="0"/>
    <n v="181.1"/>
    <n v="391"/>
    <n v="51.3"/>
    <n v="15.74"/>
    <n v="58.8"/>
    <n v="3.88"/>
    <x v="164"/>
    <x v="350"/>
    <n v="3.3"/>
    <n v="301.83333333333331"/>
    <n v="391"/>
    <n v="64.125"/>
    <n v="39.35"/>
    <n v="147"/>
    <n v="194"/>
    <n v="391"/>
    <x v="2"/>
    <s v="PM10"/>
  </r>
  <r>
    <x v="308"/>
    <x v="1"/>
    <n v="160.4"/>
    <n v="128.69999999999999"/>
    <n v="97.7"/>
    <n v="30.59"/>
    <n v="39.200000000000003"/>
    <n v="2.56"/>
    <x v="19"/>
    <x v="624"/>
    <n v="2.52"/>
    <n v="267.33333333333343"/>
    <n v="128.69999999999999"/>
    <n v="122.125"/>
    <n v="76.474999999999994"/>
    <n v="98"/>
    <n v="128"/>
    <n v="267"/>
    <x v="0"/>
    <s v="PM2.5"/>
  </r>
  <r>
    <x v="308"/>
    <x v="2"/>
    <n v="105"/>
    <n v="135.69999999999999"/>
    <n v="33.299999999999997"/>
    <n v="5.47"/>
    <n v="50.5"/>
    <n v="3.62"/>
    <x v="273"/>
    <x v="625"/>
    <n v="3.53"/>
    <n v="175"/>
    <n v="135.69999999999999"/>
    <n v="41.624999999999993"/>
    <n v="13.675000000000001"/>
    <n v="126.25"/>
    <n v="181"/>
    <n v="181"/>
    <x v="1"/>
    <s v="CO"/>
  </r>
  <r>
    <x v="308"/>
    <x v="3"/>
    <n v="64.2"/>
    <n v="136.1"/>
    <n v="57.2"/>
    <n v="18.45"/>
    <n v="57.6"/>
    <n v="1.83"/>
    <x v="56"/>
    <x v="299"/>
    <n v="3.18"/>
    <n v="107"/>
    <n v="136.1"/>
    <n v="71.500000000000014"/>
    <n v="46.125"/>
    <n v="144"/>
    <n v="91.5"/>
    <n v="144"/>
    <x v="1"/>
    <s v="O3"/>
  </r>
  <r>
    <x v="308"/>
    <x v="4"/>
    <n v="167.7"/>
    <n v="75.599999999999994"/>
    <n v="79.900000000000006"/>
    <n v="4.68"/>
    <n v="38.299999999999997"/>
    <n v="1.87"/>
    <x v="226"/>
    <x v="93"/>
    <n v="1.22"/>
    <n v="279.49999999999989"/>
    <n v="75.599999999999994"/>
    <n v="99.875"/>
    <n v="11.7"/>
    <n v="95.749999999999986"/>
    <n v="93.5"/>
    <n v="279"/>
    <x v="0"/>
    <s v="PM2.5"/>
  </r>
  <r>
    <x v="309"/>
    <x v="0"/>
    <n v="2"/>
    <n v="206.3"/>
    <n v="66.900000000000006"/>
    <n v="8.5"/>
    <n v="75.599999999999994"/>
    <n v="1.26"/>
    <x v="250"/>
    <x v="626"/>
    <n v="0.2"/>
    <n v="3.333333333333333"/>
    <n v="206.3"/>
    <n v="83.625"/>
    <n v="21.25"/>
    <n v="189"/>
    <n v="63"/>
    <n v="206"/>
    <x v="0"/>
    <s v="PM10"/>
  </r>
  <r>
    <x v="309"/>
    <x v="1"/>
    <n v="125.5"/>
    <n v="192"/>
    <n v="2"/>
    <n v="1.55"/>
    <n v="66.8"/>
    <n v="4.82"/>
    <x v="279"/>
    <x v="39"/>
    <n v="2.4700000000000002"/>
    <n v="209.16666666666671"/>
    <n v="192"/>
    <n v="2.5"/>
    <n v="3.875"/>
    <n v="167"/>
    <n v="241"/>
    <n v="241"/>
    <x v="0"/>
    <s v="CO"/>
  </r>
  <r>
    <x v="309"/>
    <x v="2"/>
    <n v="167.9"/>
    <n v="378.3"/>
    <n v="50.6"/>
    <n v="0.5"/>
    <n v="1"/>
    <n v="3.03"/>
    <x v="226"/>
    <x v="627"/>
    <n v="0.35"/>
    <n v="279.83333333333331"/>
    <n v="378.3"/>
    <n v="63.25"/>
    <n v="1.25"/>
    <n v="2.5"/>
    <n v="151.5"/>
    <n v="378"/>
    <x v="2"/>
    <s v="PM10"/>
  </r>
  <r>
    <x v="309"/>
    <x v="3"/>
    <n v="59.8"/>
    <n v="163.6"/>
    <n v="78.7"/>
    <n v="9.61"/>
    <n v="12.7"/>
    <n v="1.17"/>
    <x v="263"/>
    <x v="628"/>
    <n v="3.23"/>
    <n v="99.666666666666671"/>
    <n v="163.6"/>
    <n v="98.375"/>
    <n v="24.024999999999999"/>
    <n v="31.75"/>
    <n v="58.5"/>
    <n v="164"/>
    <x v="1"/>
    <s v="PM10"/>
  </r>
  <r>
    <x v="309"/>
    <x v="4"/>
    <n v="58.1"/>
    <n v="5"/>
    <n v="60.8"/>
    <n v="6.45"/>
    <n v="48.2"/>
    <n v="5.58"/>
    <x v="170"/>
    <x v="62"/>
    <n v="3.68"/>
    <n v="96.833333333333343"/>
    <n v="5"/>
    <n v="76"/>
    <n v="16.125"/>
    <n v="120.5"/>
    <n v="279"/>
    <n v="279"/>
    <x v="0"/>
    <s v="CO"/>
  </r>
  <r>
    <x v="310"/>
    <x v="0"/>
    <n v="75.599999999999994"/>
    <n v="259.2"/>
    <n v="148.30000000000001"/>
    <n v="31.55"/>
    <n v="26.5"/>
    <n v="2.4900000000000002"/>
    <x v="34"/>
    <x v="3"/>
    <n v="4.3600000000000003"/>
    <n v="126"/>
    <n v="259.2"/>
    <n v="185.375"/>
    <n v="78.875"/>
    <n v="66.25"/>
    <n v="124.5"/>
    <n v="259"/>
    <x v="0"/>
    <s v="PM10"/>
  </r>
  <r>
    <x v="310"/>
    <x v="1"/>
    <n v="122.4"/>
    <n v="159.9"/>
    <n v="104.4"/>
    <n v="20.170000000000002"/>
    <n v="47.3"/>
    <n v="2.61"/>
    <x v="104"/>
    <x v="488"/>
    <n v="3.38"/>
    <n v="204"/>
    <n v="159.9"/>
    <n v="130.5"/>
    <n v="50.424999999999997"/>
    <n v="118.25"/>
    <n v="130.5"/>
    <n v="204"/>
    <x v="0"/>
    <s v="PM2.5"/>
  </r>
  <r>
    <x v="310"/>
    <x v="2"/>
    <n v="46.4"/>
    <n v="90.2"/>
    <n v="60.7"/>
    <n v="17.760000000000002"/>
    <n v="37.4"/>
    <n v="1.24"/>
    <x v="157"/>
    <x v="279"/>
    <n v="3.56"/>
    <n v="77.333333333333343"/>
    <n v="90.2"/>
    <n v="75.875"/>
    <n v="44.4"/>
    <n v="93.5"/>
    <n v="62"/>
    <n v="94"/>
    <x v="3"/>
    <s v="O3"/>
  </r>
  <r>
    <x v="310"/>
    <x v="3"/>
    <n v="112"/>
    <n v="161.69999999999999"/>
    <n v="79.400000000000006"/>
    <n v="23.32"/>
    <n v="23.2"/>
    <n v="2.31"/>
    <x v="83"/>
    <x v="84"/>
    <n v="1.71"/>
    <n v="186.66666666666671"/>
    <n v="161.69999999999999"/>
    <n v="99.25"/>
    <n v="58.3"/>
    <n v="57.999999999999993"/>
    <n v="115.5"/>
    <n v="187"/>
    <x v="1"/>
    <s v="PM2.5"/>
  </r>
  <r>
    <x v="310"/>
    <x v="4"/>
    <n v="111.4"/>
    <n v="328.2"/>
    <n v="46.2"/>
    <n v="2.38"/>
    <n v="7.6"/>
    <n v="0.88"/>
    <x v="165"/>
    <x v="167"/>
    <n v="2.64"/>
    <n v="185.66666666666671"/>
    <n v="328.2"/>
    <n v="57.75"/>
    <n v="5.9499999999999993"/>
    <n v="19"/>
    <n v="44"/>
    <n v="328"/>
    <x v="2"/>
    <s v="PM10"/>
  </r>
  <r>
    <x v="311"/>
    <x v="0"/>
    <n v="144.5"/>
    <n v="266.8"/>
    <n v="68.599999999999994"/>
    <n v="16.48"/>
    <n v="44.2"/>
    <n v="1.96"/>
    <x v="96"/>
    <x v="62"/>
    <n v="3.47"/>
    <n v="240.83333333333329"/>
    <n v="266.8"/>
    <n v="85.75"/>
    <n v="41.2"/>
    <n v="110.5"/>
    <n v="98"/>
    <n v="267"/>
    <x v="0"/>
    <s v="PM10"/>
  </r>
  <r>
    <x v="311"/>
    <x v="1"/>
    <n v="268.8"/>
    <n v="180.4"/>
    <n v="86.6"/>
    <n v="2.68"/>
    <n v="22.2"/>
    <n v="4.68"/>
    <x v="120"/>
    <x v="629"/>
    <n v="1.01"/>
    <n v="448"/>
    <n v="180.4"/>
    <n v="108.25"/>
    <n v="6.7"/>
    <n v="55.5"/>
    <n v="234"/>
    <n v="448"/>
    <x v="2"/>
    <s v="PM2.5"/>
  </r>
  <r>
    <x v="311"/>
    <x v="2"/>
    <n v="43.2"/>
    <n v="151.30000000000001"/>
    <n v="66.5"/>
    <n v="19.18"/>
    <n v="43.8"/>
    <n v="1.44"/>
    <x v="78"/>
    <x v="23"/>
    <n v="1.4"/>
    <n v="72.000000000000014"/>
    <n v="151.30000000000001"/>
    <n v="83.125"/>
    <n v="47.95"/>
    <n v="109.5"/>
    <n v="72"/>
    <n v="151"/>
    <x v="1"/>
    <s v="PM10"/>
  </r>
  <r>
    <x v="311"/>
    <x v="3"/>
    <n v="53.4"/>
    <n v="290.7"/>
    <n v="13.5"/>
    <n v="25.74"/>
    <n v="28.3"/>
    <n v="1.18"/>
    <x v="18"/>
    <x v="630"/>
    <n v="3.84"/>
    <n v="89"/>
    <n v="290.7"/>
    <n v="16.875"/>
    <n v="64.349999999999994"/>
    <n v="70.750000000000014"/>
    <n v="59"/>
    <n v="291"/>
    <x v="0"/>
    <s v="PM10"/>
  </r>
  <r>
    <x v="311"/>
    <x v="4"/>
    <n v="132.1"/>
    <n v="326"/>
    <n v="18.8"/>
    <n v="9.49"/>
    <n v="17"/>
    <n v="3.41"/>
    <x v="9"/>
    <x v="434"/>
    <n v="3.64"/>
    <n v="220.16666666666671"/>
    <n v="326"/>
    <n v="23.5"/>
    <n v="23.725000000000001"/>
    <n v="42.5"/>
    <n v="170.5"/>
    <n v="326"/>
    <x v="2"/>
    <s v="PM10"/>
  </r>
  <r>
    <x v="312"/>
    <x v="0"/>
    <n v="62.8"/>
    <n v="156"/>
    <n v="130.4"/>
    <n v="7.59"/>
    <n v="44.6"/>
    <n v="1.34"/>
    <x v="11"/>
    <x v="316"/>
    <n v="1.56"/>
    <n v="104.6666666666667"/>
    <n v="156"/>
    <n v="163"/>
    <n v="18.975000000000001"/>
    <n v="111.5"/>
    <n v="67"/>
    <n v="163"/>
    <x v="1"/>
    <s v="NO2"/>
  </r>
  <r>
    <x v="312"/>
    <x v="1"/>
    <n v="62.4"/>
    <n v="274.39999999999998"/>
    <n v="56.2"/>
    <n v="7.89"/>
    <n v="18.600000000000001"/>
    <n v="2.31"/>
    <x v="150"/>
    <x v="631"/>
    <n v="1.63"/>
    <n v="104"/>
    <n v="274.39999999999998"/>
    <n v="70.25"/>
    <n v="19.725000000000001"/>
    <n v="46.500000000000007"/>
    <n v="115.5"/>
    <n v="274"/>
    <x v="0"/>
    <s v="PM10"/>
  </r>
  <r>
    <x v="312"/>
    <x v="2"/>
    <n v="189.3"/>
    <n v="90.8"/>
    <n v="101.3"/>
    <n v="6.68"/>
    <n v="15.6"/>
    <n v="1.1399999999999999"/>
    <x v="16"/>
    <x v="491"/>
    <n v="3.3"/>
    <n v="315.5"/>
    <n v="90.8"/>
    <n v="126.625"/>
    <n v="16.7"/>
    <n v="39"/>
    <n v="56.999999999999993"/>
    <n v="316"/>
    <x v="2"/>
    <s v="PM2.5"/>
  </r>
  <r>
    <x v="312"/>
    <x v="3"/>
    <n v="50.7"/>
    <n v="97"/>
    <n v="42.7"/>
    <n v="11.91"/>
    <n v="31.3"/>
    <n v="1.01"/>
    <x v="100"/>
    <x v="62"/>
    <n v="1.89"/>
    <n v="84.5"/>
    <n v="97"/>
    <n v="53.375000000000007"/>
    <n v="29.774999999999999"/>
    <n v="78.25"/>
    <n v="50.5"/>
    <n v="97"/>
    <x v="3"/>
    <s v="PM10"/>
  </r>
  <r>
    <x v="312"/>
    <x v="4"/>
    <n v="82.7"/>
    <n v="270.3"/>
    <n v="59.5"/>
    <n v="19.97"/>
    <n v="21.8"/>
    <n v="4.05"/>
    <x v="69"/>
    <x v="258"/>
    <n v="2.29"/>
    <n v="137.83333333333329"/>
    <n v="270.3"/>
    <n v="74.375"/>
    <n v="49.924999999999997"/>
    <n v="54.5"/>
    <n v="202.5"/>
    <n v="270"/>
    <x v="0"/>
    <s v="PM10"/>
  </r>
  <r>
    <x v="313"/>
    <x v="0"/>
    <n v="82"/>
    <n v="372.4"/>
    <n v="36.1"/>
    <n v="8.57"/>
    <n v="26.9"/>
    <n v="2.19"/>
    <x v="25"/>
    <x v="492"/>
    <n v="2.02"/>
    <n v="136.66666666666671"/>
    <n v="372.4"/>
    <n v="45.125"/>
    <n v="21.425000000000001"/>
    <n v="67.249999999999986"/>
    <n v="109.5"/>
    <n v="372"/>
    <x v="2"/>
    <s v="PM10"/>
  </r>
  <r>
    <x v="313"/>
    <x v="1"/>
    <n v="114"/>
    <n v="164.6"/>
    <n v="117.5"/>
    <n v="25.19"/>
    <n v="42.8"/>
    <n v="2.68"/>
    <x v="212"/>
    <x v="206"/>
    <n v="3.71"/>
    <n v="190"/>
    <n v="164.6"/>
    <n v="146.875"/>
    <n v="62.975000000000001"/>
    <n v="107"/>
    <n v="134"/>
    <n v="190"/>
    <x v="1"/>
    <s v="PM2.5"/>
  </r>
  <r>
    <x v="313"/>
    <x v="2"/>
    <n v="71.900000000000006"/>
    <n v="115.2"/>
    <n v="137.6"/>
    <n v="25.98"/>
    <n v="44.2"/>
    <n v="2.86"/>
    <x v="75"/>
    <x v="508"/>
    <n v="1.94"/>
    <n v="119.8333333333333"/>
    <n v="115.2"/>
    <n v="172"/>
    <n v="64.95"/>
    <n v="110.5"/>
    <n v="143"/>
    <n v="172"/>
    <x v="1"/>
    <s v="NO2"/>
  </r>
  <r>
    <x v="313"/>
    <x v="3"/>
    <n v="84.7"/>
    <n v="145"/>
    <n v="2"/>
    <n v="15.89"/>
    <n v="48.2"/>
    <n v="3.46"/>
    <x v="175"/>
    <x v="556"/>
    <n v="0.2"/>
    <n v="141.16666666666671"/>
    <n v="145"/>
    <n v="2.5"/>
    <n v="39.725000000000001"/>
    <n v="120.5"/>
    <n v="173"/>
    <n v="173"/>
    <x v="1"/>
    <s v="CO"/>
  </r>
  <r>
    <x v="313"/>
    <x v="4"/>
    <n v="90.1"/>
    <n v="306.39999999999998"/>
    <n v="57.7"/>
    <n v="32.94"/>
    <n v="33.200000000000003"/>
    <n v="2.27"/>
    <x v="7"/>
    <x v="350"/>
    <n v="0.62"/>
    <n v="150.16666666666671"/>
    <n v="306.39999999999998"/>
    <n v="72.125000000000014"/>
    <n v="82.35"/>
    <n v="83"/>
    <n v="113.5"/>
    <n v="306"/>
    <x v="2"/>
    <s v="PM10"/>
  </r>
  <r>
    <x v="314"/>
    <x v="0"/>
    <n v="148.69999999999999"/>
    <n v="300.8"/>
    <n v="132.80000000000001"/>
    <n v="5.34"/>
    <n v="45.6"/>
    <n v="2.83"/>
    <x v="146"/>
    <x v="231"/>
    <n v="0.2"/>
    <n v="247.83333333333329"/>
    <n v="300.8"/>
    <n v="166"/>
    <n v="13.35"/>
    <n v="114"/>
    <n v="141.5"/>
    <n v="301"/>
    <x v="2"/>
    <s v="PM10"/>
  </r>
  <r>
    <x v="314"/>
    <x v="1"/>
    <n v="140.80000000000001"/>
    <n v="221.7"/>
    <n v="67.3"/>
    <n v="23.64"/>
    <n v="43.7"/>
    <n v="0.82"/>
    <x v="286"/>
    <x v="461"/>
    <n v="5.37"/>
    <n v="234.66666666666671"/>
    <n v="221.7"/>
    <n v="84.124999999999986"/>
    <n v="59.1"/>
    <n v="109.25"/>
    <n v="40.999999999999993"/>
    <n v="235"/>
    <x v="0"/>
    <s v="PM2.5"/>
  </r>
  <r>
    <x v="314"/>
    <x v="2"/>
    <n v="124.2"/>
    <n v="199.6"/>
    <n v="62.9"/>
    <n v="10.28"/>
    <n v="59.1"/>
    <n v="1.38"/>
    <x v="191"/>
    <x v="544"/>
    <n v="4.83"/>
    <n v="207"/>
    <n v="199.6"/>
    <n v="78.625"/>
    <n v="25.7"/>
    <n v="147.75"/>
    <n v="68.999999999999986"/>
    <n v="207"/>
    <x v="0"/>
    <s v="PM2.5"/>
  </r>
  <r>
    <x v="314"/>
    <x v="3"/>
    <n v="131.6"/>
    <n v="311.60000000000002"/>
    <n v="53.3"/>
    <n v="21.27"/>
    <n v="29"/>
    <n v="2.0299999999999998"/>
    <x v="215"/>
    <x v="400"/>
    <n v="2.74"/>
    <n v="219.33333333333329"/>
    <n v="311.60000000000002"/>
    <n v="66.624999999999986"/>
    <n v="53.174999999999997"/>
    <n v="72.5"/>
    <n v="101.5"/>
    <n v="312"/>
    <x v="2"/>
    <s v="PM10"/>
  </r>
  <r>
    <x v="314"/>
    <x v="4"/>
    <n v="128.69999999999999"/>
    <n v="266.10000000000002"/>
    <n v="63.3"/>
    <n v="32.44"/>
    <n v="7.6"/>
    <n v="3.65"/>
    <x v="263"/>
    <x v="632"/>
    <n v="1.0900000000000001"/>
    <n v="214.5"/>
    <n v="266.10000000000002"/>
    <n v="79.125"/>
    <n v="81.099999999999994"/>
    <n v="19"/>
    <n v="182.5"/>
    <n v="266"/>
    <x v="0"/>
    <s v="PM10"/>
  </r>
  <r>
    <x v="315"/>
    <x v="0"/>
    <n v="62.4"/>
    <n v="385.5"/>
    <n v="13.7"/>
    <n v="0.5"/>
    <n v="28.8"/>
    <n v="2.42"/>
    <x v="301"/>
    <x v="6"/>
    <n v="1.77"/>
    <n v="104"/>
    <n v="385.5"/>
    <n v="17.125"/>
    <n v="1.25"/>
    <n v="72.000000000000014"/>
    <n v="121"/>
    <n v="386"/>
    <x v="2"/>
    <s v="PM10"/>
  </r>
  <r>
    <x v="315"/>
    <x v="1"/>
    <n v="138.69999999999999"/>
    <n v="296.39999999999998"/>
    <n v="107.6"/>
    <n v="14.22"/>
    <n v="1"/>
    <n v="1.3"/>
    <x v="250"/>
    <x v="163"/>
    <n v="2.11"/>
    <n v="231.16666666666671"/>
    <n v="296.39999999999998"/>
    <n v="134.5"/>
    <n v="35.549999999999997"/>
    <n v="2.5"/>
    <n v="65"/>
    <n v="296"/>
    <x v="0"/>
    <s v="PM10"/>
  </r>
  <r>
    <x v="315"/>
    <x v="2"/>
    <n v="142.19999999999999"/>
    <n v="79.3"/>
    <n v="61.5"/>
    <n v="13.21"/>
    <n v="24.8"/>
    <n v="1.92"/>
    <x v="208"/>
    <x v="53"/>
    <n v="2.72"/>
    <n v="237"/>
    <n v="79.3"/>
    <n v="76.875"/>
    <n v="33.024999999999999"/>
    <n v="62"/>
    <n v="96"/>
    <n v="237"/>
    <x v="0"/>
    <s v="PM2.5"/>
  </r>
  <r>
    <x v="315"/>
    <x v="3"/>
    <n v="32.200000000000003"/>
    <n v="207.9"/>
    <n v="116"/>
    <n v="10.55"/>
    <n v="9.6"/>
    <n v="1.8"/>
    <x v="4"/>
    <x v="122"/>
    <n v="2.3199999999999998"/>
    <n v="53.666666666666671"/>
    <n v="207.9"/>
    <n v="145"/>
    <n v="26.375"/>
    <n v="24"/>
    <n v="90"/>
    <n v="208"/>
    <x v="0"/>
    <s v="PM10"/>
  </r>
  <r>
    <x v="315"/>
    <x v="4"/>
    <n v="195.9"/>
    <n v="334"/>
    <n v="73.8"/>
    <n v="20.38"/>
    <n v="29.9"/>
    <n v="2.15"/>
    <x v="29"/>
    <x v="0"/>
    <n v="4.72"/>
    <n v="326.5"/>
    <n v="334"/>
    <n v="92.25"/>
    <n v="50.95"/>
    <n v="74.75"/>
    <n v="107.5"/>
    <n v="334"/>
    <x v="2"/>
    <s v="PM10"/>
  </r>
  <r>
    <x v="316"/>
    <x v="0"/>
    <n v="154.5"/>
    <n v="322.60000000000002"/>
    <n v="116.8"/>
    <n v="19.79"/>
    <n v="11.9"/>
    <n v="4.09"/>
    <x v="264"/>
    <x v="313"/>
    <n v="2.06"/>
    <n v="257.5"/>
    <n v="322.60000000000002"/>
    <n v="146"/>
    <n v="49.475000000000001"/>
    <n v="29.75"/>
    <n v="204.5"/>
    <n v="323"/>
    <x v="2"/>
    <s v="PM10"/>
  </r>
  <r>
    <x v="316"/>
    <x v="1"/>
    <n v="156.69999999999999"/>
    <n v="306.10000000000002"/>
    <n v="81.900000000000006"/>
    <n v="3.5"/>
    <n v="53.6"/>
    <n v="3.06"/>
    <x v="151"/>
    <x v="77"/>
    <n v="2.17"/>
    <n v="261.16666666666669"/>
    <n v="306.10000000000002"/>
    <n v="102.375"/>
    <n v="8.75"/>
    <n v="134"/>
    <n v="153"/>
    <n v="306"/>
    <x v="2"/>
    <s v="PM10"/>
  </r>
  <r>
    <x v="316"/>
    <x v="2"/>
    <n v="136.5"/>
    <n v="188.4"/>
    <n v="54.3"/>
    <n v="10.79"/>
    <n v="1"/>
    <n v="1.66"/>
    <x v="173"/>
    <x v="158"/>
    <n v="4.32"/>
    <n v="227.5"/>
    <n v="188.4"/>
    <n v="67.874999999999986"/>
    <n v="26.975000000000001"/>
    <n v="2.5"/>
    <n v="82.999999999999986"/>
    <n v="228"/>
    <x v="0"/>
    <s v="PM2.5"/>
  </r>
  <r>
    <x v="316"/>
    <x v="3"/>
    <n v="83.4"/>
    <n v="238.8"/>
    <n v="97.4"/>
    <n v="31.54"/>
    <n v="39.299999999999997"/>
    <n v="0.92"/>
    <x v="236"/>
    <x v="633"/>
    <n v="2.11"/>
    <n v="139"/>
    <n v="238.8"/>
    <n v="121.75"/>
    <n v="78.850000000000009"/>
    <n v="98.249999999999986"/>
    <n v="46"/>
    <n v="239"/>
    <x v="0"/>
    <s v="PM10"/>
  </r>
  <r>
    <x v="316"/>
    <x v="4"/>
    <n v="150"/>
    <n v="341"/>
    <n v="115"/>
    <n v="15.18"/>
    <n v="22.3"/>
    <n v="2.0299999999999998"/>
    <x v="247"/>
    <x v="574"/>
    <n v="3.4"/>
    <n v="250"/>
    <n v="341"/>
    <n v="143.75"/>
    <n v="37.950000000000003"/>
    <n v="55.75"/>
    <n v="101.5"/>
    <n v="341"/>
    <x v="2"/>
    <s v="PM10"/>
  </r>
  <r>
    <x v="317"/>
    <x v="0"/>
    <n v="89.4"/>
    <n v="282.10000000000002"/>
    <n v="114.5"/>
    <n v="18.21"/>
    <n v="19.8"/>
    <n v="2.0099999999999998"/>
    <x v="150"/>
    <x v="223"/>
    <n v="0.2"/>
    <n v="149"/>
    <n v="282.10000000000002"/>
    <n v="143.125"/>
    <n v="45.525000000000013"/>
    <n v="49.5"/>
    <n v="100.5"/>
    <n v="282"/>
    <x v="0"/>
    <s v="PM10"/>
  </r>
  <r>
    <x v="317"/>
    <x v="1"/>
    <n v="210.5"/>
    <n v="301.39999999999998"/>
    <n v="114.3"/>
    <n v="5.23"/>
    <n v="65.7"/>
    <n v="2.73"/>
    <x v="293"/>
    <x v="192"/>
    <n v="2.69"/>
    <n v="350.83333333333331"/>
    <n v="301.39999999999998"/>
    <n v="142.875"/>
    <n v="13.074999999999999"/>
    <n v="164.25"/>
    <n v="136.5"/>
    <n v="351"/>
    <x v="2"/>
    <s v="PM2.5"/>
  </r>
  <r>
    <x v="317"/>
    <x v="2"/>
    <n v="73.099999999999994"/>
    <n v="147.9"/>
    <n v="7.1"/>
    <n v="16.670000000000002"/>
    <n v="39.799999999999997"/>
    <n v="1.65"/>
    <x v="245"/>
    <x v="223"/>
    <n v="1.78"/>
    <n v="121.8333333333333"/>
    <n v="147.9"/>
    <n v="8.875"/>
    <n v="41.674999999999997"/>
    <n v="99.499999999999986"/>
    <n v="82.499999999999986"/>
    <n v="148"/>
    <x v="1"/>
    <s v="PM10"/>
  </r>
  <r>
    <x v="317"/>
    <x v="3"/>
    <n v="55.2"/>
    <n v="165.2"/>
    <n v="74.2"/>
    <n v="16.239999999999998"/>
    <n v="28.2"/>
    <n v="1.08"/>
    <x v="328"/>
    <x v="62"/>
    <n v="2.67"/>
    <n v="92"/>
    <n v="165.2"/>
    <n v="92.75"/>
    <n v="40.599999999999987"/>
    <n v="70.5"/>
    <n v="54.000000000000007"/>
    <n v="165"/>
    <x v="1"/>
    <s v="PM10"/>
  </r>
  <r>
    <x v="317"/>
    <x v="4"/>
    <n v="65.599999999999994"/>
    <n v="367"/>
    <n v="28.3"/>
    <n v="11.13"/>
    <n v="22.4"/>
    <n v="0.89"/>
    <x v="97"/>
    <x v="231"/>
    <n v="3.02"/>
    <n v="109.3333333333333"/>
    <n v="367"/>
    <n v="35.375000000000007"/>
    <n v="27.824999999999999"/>
    <n v="55.999999999999993"/>
    <n v="44.5"/>
    <n v="367"/>
    <x v="2"/>
    <s v="PM10"/>
  </r>
  <r>
    <x v="318"/>
    <x v="0"/>
    <n v="111.9"/>
    <n v="152.19999999999999"/>
    <n v="69.2"/>
    <n v="12.6"/>
    <n v="62.4"/>
    <n v="2.04"/>
    <x v="253"/>
    <x v="240"/>
    <n v="3.19"/>
    <n v="186.5"/>
    <n v="152.19999999999999"/>
    <n v="86.500000000000014"/>
    <n v="31.5"/>
    <n v="156"/>
    <n v="102"/>
    <n v="186"/>
    <x v="1"/>
    <s v="PM2.5"/>
  </r>
  <r>
    <x v="318"/>
    <x v="1"/>
    <n v="203.3"/>
    <n v="105.7"/>
    <n v="71.099999999999994"/>
    <n v="33.630000000000003"/>
    <n v="37.799999999999997"/>
    <n v="0.05"/>
    <x v="68"/>
    <x v="391"/>
    <n v="0.2"/>
    <n v="338.83333333333343"/>
    <n v="105.7"/>
    <n v="88.875"/>
    <n v="84.075000000000017"/>
    <n v="94.499999999999986"/>
    <n v="2.5"/>
    <n v="339"/>
    <x v="2"/>
    <s v="PM2.5"/>
  </r>
  <r>
    <x v="318"/>
    <x v="2"/>
    <n v="152"/>
    <n v="117.3"/>
    <n v="78.400000000000006"/>
    <n v="10.44"/>
    <n v="6.7"/>
    <n v="0.85"/>
    <x v="47"/>
    <x v="428"/>
    <n v="2.3199999999999998"/>
    <n v="253.33333333333329"/>
    <n v="117.3"/>
    <n v="98"/>
    <n v="26.1"/>
    <n v="16.75"/>
    <n v="42.499999999999993"/>
    <n v="253"/>
    <x v="0"/>
    <s v="PM2.5"/>
  </r>
  <r>
    <x v="318"/>
    <x v="3"/>
    <n v="71"/>
    <n v="102.3"/>
    <n v="110.3"/>
    <n v="24.51"/>
    <n v="62.7"/>
    <n v="2.39"/>
    <x v="142"/>
    <x v="634"/>
    <n v="2.21"/>
    <n v="118.3333333333333"/>
    <n v="102.3"/>
    <n v="137.875"/>
    <n v="61.275000000000013"/>
    <n v="156.75"/>
    <n v="119.5"/>
    <n v="157"/>
    <x v="1"/>
    <s v="O3"/>
  </r>
  <r>
    <x v="318"/>
    <x v="4"/>
    <n v="69.5"/>
    <n v="18.399999999999999"/>
    <n v="116.4"/>
    <n v="7.96"/>
    <n v="69.2"/>
    <n v="3.04"/>
    <x v="222"/>
    <x v="242"/>
    <n v="2.2599999999999998"/>
    <n v="115.8333333333333"/>
    <n v="18.399999999999999"/>
    <n v="145.5"/>
    <n v="19.899999999999999"/>
    <n v="173"/>
    <n v="152"/>
    <n v="173"/>
    <x v="1"/>
    <s v="O3"/>
  </r>
  <r>
    <x v="319"/>
    <x v="0"/>
    <n v="213"/>
    <n v="225.6"/>
    <n v="93.9"/>
    <n v="8.75"/>
    <n v="17.3"/>
    <n v="2.73"/>
    <x v="111"/>
    <x v="508"/>
    <n v="0.77"/>
    <n v="355"/>
    <n v="225.6"/>
    <n v="117.375"/>
    <n v="21.875"/>
    <n v="43.250000000000007"/>
    <n v="136.5"/>
    <n v="355"/>
    <x v="2"/>
    <s v="PM2.5"/>
  </r>
  <r>
    <x v="319"/>
    <x v="1"/>
    <n v="43.8"/>
    <n v="383.5"/>
    <n v="65.5"/>
    <n v="12.61"/>
    <n v="85.8"/>
    <n v="1.05"/>
    <x v="33"/>
    <x v="410"/>
    <n v="4.4400000000000004"/>
    <n v="73"/>
    <n v="383.5"/>
    <n v="81.875"/>
    <n v="31.524999999999999"/>
    <n v="214.5"/>
    <n v="52.500000000000007"/>
    <n v="384"/>
    <x v="2"/>
    <s v="PM10"/>
  </r>
  <r>
    <x v="319"/>
    <x v="2"/>
    <n v="182.1"/>
    <n v="250.9"/>
    <n v="92.2"/>
    <n v="7.75"/>
    <n v="75.8"/>
    <n v="2.0699999999999998"/>
    <x v="261"/>
    <x v="182"/>
    <n v="2.1800000000000002"/>
    <n v="303.5"/>
    <n v="250.9"/>
    <n v="115.25"/>
    <n v="19.375"/>
    <n v="189.5"/>
    <n v="103.5"/>
    <n v="304"/>
    <x v="2"/>
    <s v="PM2.5"/>
  </r>
  <r>
    <x v="319"/>
    <x v="3"/>
    <n v="175.8"/>
    <n v="243.8"/>
    <n v="118.4"/>
    <n v="14.84"/>
    <n v="16.899999999999999"/>
    <n v="1.36"/>
    <x v="109"/>
    <x v="468"/>
    <n v="1.17"/>
    <n v="293.00000000000011"/>
    <n v="243.8"/>
    <n v="148"/>
    <n v="37.1"/>
    <n v="42.249999999999993"/>
    <n v="68"/>
    <n v="293"/>
    <x v="0"/>
    <s v="PM2.5"/>
  </r>
  <r>
    <x v="319"/>
    <x v="4"/>
    <n v="169"/>
    <n v="153.69999999999999"/>
    <n v="84.1"/>
    <n v="16.690000000000001"/>
    <n v="25"/>
    <n v="3.64"/>
    <x v="237"/>
    <x v="10"/>
    <n v="3.3"/>
    <n v="281.66666666666669"/>
    <n v="153.69999999999999"/>
    <n v="105.125"/>
    <n v="41.725000000000009"/>
    <n v="62.5"/>
    <n v="182"/>
    <n v="282"/>
    <x v="0"/>
    <s v="PM2.5"/>
  </r>
  <r>
    <x v="320"/>
    <x v="0"/>
    <n v="107.4"/>
    <n v="77.599999999999994"/>
    <n v="114.8"/>
    <n v="21.56"/>
    <n v="23.9"/>
    <n v="2.99"/>
    <x v="181"/>
    <x v="310"/>
    <n v="1.48"/>
    <n v="179"/>
    <n v="77.599999999999994"/>
    <n v="143.5"/>
    <n v="53.9"/>
    <n v="59.75"/>
    <n v="149.5"/>
    <n v="179"/>
    <x v="1"/>
    <s v="PM2.5"/>
  </r>
  <r>
    <x v="320"/>
    <x v="1"/>
    <n v="188.3"/>
    <n v="277.10000000000002"/>
    <n v="67.400000000000006"/>
    <n v="7.42"/>
    <n v="30.5"/>
    <n v="1.87"/>
    <x v="60"/>
    <x v="365"/>
    <n v="3.87"/>
    <n v="313.83333333333343"/>
    <n v="277.10000000000002"/>
    <n v="84.25"/>
    <n v="18.55"/>
    <n v="76.25"/>
    <n v="93.5"/>
    <n v="314"/>
    <x v="2"/>
    <s v="PM2.5"/>
  </r>
  <r>
    <x v="320"/>
    <x v="2"/>
    <n v="135.5"/>
    <n v="66.3"/>
    <n v="72.5"/>
    <n v="5.3"/>
    <n v="28.6"/>
    <n v="1.51"/>
    <x v="81"/>
    <x v="635"/>
    <n v="1.97"/>
    <n v="225.83333333333329"/>
    <n v="66.3"/>
    <n v="90.625"/>
    <n v="13.25"/>
    <n v="71.500000000000014"/>
    <n v="75.5"/>
    <n v="226"/>
    <x v="0"/>
    <s v="PM2.5"/>
  </r>
  <r>
    <x v="320"/>
    <x v="3"/>
    <n v="57.2"/>
    <n v="118.8"/>
    <n v="105.4"/>
    <n v="0.5"/>
    <n v="18.8"/>
    <n v="3.31"/>
    <x v="148"/>
    <x v="191"/>
    <n v="5.0599999999999996"/>
    <n v="95.333333333333343"/>
    <n v="118.8"/>
    <n v="131.75"/>
    <n v="1.25"/>
    <n v="47"/>
    <n v="165.5"/>
    <n v="166"/>
    <x v="1"/>
    <s v="CO"/>
  </r>
  <r>
    <x v="320"/>
    <x v="4"/>
    <n v="118.6"/>
    <n v="136.4"/>
    <n v="69.3"/>
    <n v="4.09"/>
    <n v="70.7"/>
    <n v="2.72"/>
    <x v="161"/>
    <x v="494"/>
    <n v="2.5"/>
    <n v="197.66666666666671"/>
    <n v="136.4"/>
    <n v="86.625"/>
    <n v="10.225"/>
    <n v="176.75"/>
    <n v="136"/>
    <n v="198"/>
    <x v="1"/>
    <s v="PM2.5"/>
  </r>
  <r>
    <x v="321"/>
    <x v="0"/>
    <n v="58.2"/>
    <n v="215.1"/>
    <n v="50.7"/>
    <n v="16.239999999999998"/>
    <n v="70.7"/>
    <n v="2.02"/>
    <x v="185"/>
    <x v="81"/>
    <n v="3.46"/>
    <n v="97"/>
    <n v="215.1"/>
    <n v="63.375"/>
    <n v="40.599999999999987"/>
    <n v="176.75"/>
    <n v="101"/>
    <n v="215"/>
    <x v="0"/>
    <s v="PM10"/>
  </r>
  <r>
    <x v="321"/>
    <x v="1"/>
    <n v="79.900000000000006"/>
    <n v="5"/>
    <n v="108.8"/>
    <n v="25.88"/>
    <n v="57.6"/>
    <n v="1.63"/>
    <x v="54"/>
    <x v="448"/>
    <n v="2.67"/>
    <n v="133.16666666666671"/>
    <n v="5"/>
    <n v="136"/>
    <n v="64.699999999999989"/>
    <n v="144"/>
    <n v="81.499999999999986"/>
    <n v="144"/>
    <x v="1"/>
    <s v="O3"/>
  </r>
  <r>
    <x v="321"/>
    <x v="2"/>
    <n v="85.5"/>
    <n v="348.6"/>
    <n v="39.6"/>
    <n v="25.65"/>
    <n v="34.9"/>
    <n v="0.15"/>
    <x v="208"/>
    <x v="457"/>
    <n v="2.06"/>
    <n v="142.5"/>
    <n v="348.6"/>
    <n v="49.5"/>
    <n v="64.125"/>
    <n v="87.25"/>
    <n v="7.5"/>
    <n v="349"/>
    <x v="2"/>
    <s v="PM10"/>
  </r>
  <r>
    <x v="321"/>
    <x v="3"/>
    <n v="25.2"/>
    <n v="176.2"/>
    <n v="44.6"/>
    <n v="16.73"/>
    <n v="53.4"/>
    <n v="0.91"/>
    <x v="67"/>
    <x v="142"/>
    <n v="1.47"/>
    <n v="41.999999999999993"/>
    <n v="176.2"/>
    <n v="55.75"/>
    <n v="41.825000000000003"/>
    <n v="133.5"/>
    <n v="45.5"/>
    <n v="176"/>
    <x v="1"/>
    <s v="PM10"/>
  </r>
  <r>
    <x v="321"/>
    <x v="4"/>
    <n v="48.5"/>
    <n v="86.7"/>
    <n v="91.6"/>
    <n v="16.8"/>
    <n v="22.7"/>
    <n v="2.12"/>
    <x v="246"/>
    <x v="17"/>
    <n v="0.66"/>
    <n v="80.833333333333329"/>
    <n v="86.7"/>
    <n v="114.5"/>
    <n v="42"/>
    <n v="56.749999999999993"/>
    <n v="106"/>
    <n v="114"/>
    <x v="1"/>
    <s v="NO2"/>
  </r>
  <r>
    <x v="322"/>
    <x v="0"/>
    <n v="135.5"/>
    <n v="208.6"/>
    <n v="56.7"/>
    <n v="20.72"/>
    <n v="63.1"/>
    <n v="0.05"/>
    <x v="110"/>
    <x v="62"/>
    <n v="3.2"/>
    <n v="225.83333333333329"/>
    <n v="208.6"/>
    <n v="70.875000000000014"/>
    <n v="51.8"/>
    <n v="157.75"/>
    <n v="2.5"/>
    <n v="226"/>
    <x v="0"/>
    <s v="PM2.5"/>
  </r>
  <r>
    <x v="322"/>
    <x v="1"/>
    <n v="160.6"/>
    <n v="380.7"/>
    <n v="90.7"/>
    <n v="23.97"/>
    <n v="65.2"/>
    <n v="3.05"/>
    <x v="20"/>
    <x v="133"/>
    <n v="1.79"/>
    <n v="267.66666666666669"/>
    <n v="380.7"/>
    <n v="113.375"/>
    <n v="59.924999999999997"/>
    <n v="163"/>
    <n v="152.5"/>
    <n v="381"/>
    <x v="2"/>
    <s v="PM10"/>
  </r>
  <r>
    <x v="322"/>
    <x v="2"/>
    <n v="91.8"/>
    <n v="75.8"/>
    <n v="44.4"/>
    <n v="10.01"/>
    <n v="14"/>
    <n v="1.36"/>
    <x v="101"/>
    <x v="409"/>
    <n v="3.64"/>
    <n v="153"/>
    <n v="75.8"/>
    <n v="55.5"/>
    <n v="25.024999999999999"/>
    <n v="35"/>
    <n v="68"/>
    <n v="153"/>
    <x v="1"/>
    <s v="PM2.5"/>
  </r>
  <r>
    <x v="322"/>
    <x v="3"/>
    <n v="73.7"/>
    <n v="320.2"/>
    <n v="102"/>
    <n v="16.829999999999998"/>
    <n v="39.5"/>
    <n v="2.23"/>
    <x v="168"/>
    <x v="398"/>
    <n v="4.0999999999999996"/>
    <n v="122.8333333333333"/>
    <n v="320.2"/>
    <n v="127.5"/>
    <n v="42.075000000000003"/>
    <n v="98.75"/>
    <n v="111.5"/>
    <n v="320"/>
    <x v="2"/>
    <s v="PM10"/>
  </r>
  <r>
    <x v="322"/>
    <x v="4"/>
    <n v="107.8"/>
    <n v="269.8"/>
    <n v="126.5"/>
    <n v="8.59"/>
    <n v="31.7"/>
    <n v="2.13"/>
    <x v="279"/>
    <x v="608"/>
    <n v="2.72"/>
    <n v="179.66666666666671"/>
    <n v="269.8"/>
    <n v="158.125"/>
    <n v="21.475000000000001"/>
    <n v="79.25"/>
    <n v="106.5"/>
    <n v="270"/>
    <x v="0"/>
    <s v="PM10"/>
  </r>
  <r>
    <x v="323"/>
    <x v="0"/>
    <n v="27.1"/>
    <n v="248"/>
    <n v="49"/>
    <n v="1.01"/>
    <n v="8.6999999999999993"/>
    <n v="2.57"/>
    <x v="155"/>
    <x v="517"/>
    <n v="2.75"/>
    <n v="45.166666666666657"/>
    <n v="248"/>
    <n v="61.25"/>
    <n v="2.5249999999999999"/>
    <n v="21.75"/>
    <n v="128.5"/>
    <n v="248"/>
    <x v="0"/>
    <s v="PM10"/>
  </r>
  <r>
    <x v="323"/>
    <x v="1"/>
    <n v="191"/>
    <n v="54.7"/>
    <n v="110.8"/>
    <n v="15.88"/>
    <n v="60.9"/>
    <n v="1.82"/>
    <x v="46"/>
    <x v="136"/>
    <n v="4.4800000000000004"/>
    <n v="318.33333333333343"/>
    <n v="54.7"/>
    <n v="138.5"/>
    <n v="39.700000000000003"/>
    <n v="152.25"/>
    <n v="91"/>
    <n v="318"/>
    <x v="2"/>
    <s v="PM2.5"/>
  </r>
  <r>
    <x v="323"/>
    <x v="2"/>
    <n v="130.5"/>
    <n v="136.1"/>
    <n v="27.6"/>
    <n v="0.5"/>
    <n v="62.3"/>
    <n v="0.95"/>
    <x v="20"/>
    <x v="636"/>
    <n v="0.56000000000000005"/>
    <n v="217.5"/>
    <n v="136.1"/>
    <n v="34.5"/>
    <n v="1.25"/>
    <n v="155.75"/>
    <n v="47.5"/>
    <n v="218"/>
    <x v="0"/>
    <s v="PM2.5"/>
  </r>
  <r>
    <x v="323"/>
    <x v="3"/>
    <n v="167.6"/>
    <n v="167.7"/>
    <n v="35.200000000000003"/>
    <n v="10.82"/>
    <n v="19.7"/>
    <n v="2.34"/>
    <x v="49"/>
    <x v="637"/>
    <n v="2.2400000000000002"/>
    <n v="279.33333333333331"/>
    <n v="167.7"/>
    <n v="44.000000000000007"/>
    <n v="27.05"/>
    <n v="49.249999999999993"/>
    <n v="117"/>
    <n v="279"/>
    <x v="0"/>
    <s v="PM2.5"/>
  </r>
  <r>
    <x v="323"/>
    <x v="4"/>
    <n v="34"/>
    <n v="232.8"/>
    <n v="37.4"/>
    <n v="9.7899999999999991"/>
    <n v="44.1"/>
    <n v="1.89"/>
    <x v="157"/>
    <x v="241"/>
    <n v="1.61"/>
    <n v="56.666666666666657"/>
    <n v="232.8"/>
    <n v="46.75"/>
    <n v="24.475000000000001"/>
    <n v="110.25"/>
    <n v="94.5"/>
    <n v="233"/>
    <x v="0"/>
    <s v="PM10"/>
  </r>
  <r>
    <x v="324"/>
    <x v="0"/>
    <n v="106.8"/>
    <n v="5"/>
    <n v="91.9"/>
    <n v="11.95"/>
    <n v="16"/>
    <n v="2.56"/>
    <x v="255"/>
    <x v="263"/>
    <n v="1.37"/>
    <n v="178"/>
    <n v="5"/>
    <n v="114.875"/>
    <n v="29.875"/>
    <n v="40"/>
    <n v="128"/>
    <n v="178"/>
    <x v="1"/>
    <s v="PM2.5"/>
  </r>
  <r>
    <x v="324"/>
    <x v="1"/>
    <n v="129.9"/>
    <n v="79.7"/>
    <n v="63.6"/>
    <n v="28.22"/>
    <n v="46.7"/>
    <n v="0.14000000000000001"/>
    <x v="147"/>
    <x v="606"/>
    <n v="3.53"/>
    <n v="216.5"/>
    <n v="79.7"/>
    <n v="79.5"/>
    <n v="70.55"/>
    <n v="116.75"/>
    <n v="7.0000000000000009"/>
    <n v="216"/>
    <x v="0"/>
    <s v="PM2.5"/>
  </r>
  <r>
    <x v="324"/>
    <x v="2"/>
    <n v="17.399999999999999"/>
    <n v="223.4"/>
    <n v="108.8"/>
    <n v="26.51"/>
    <n v="41.3"/>
    <n v="2.29"/>
    <x v="135"/>
    <x v="638"/>
    <n v="1.81"/>
    <n v="29"/>
    <n v="223.4"/>
    <n v="136"/>
    <n v="66.275000000000006"/>
    <n v="103.25"/>
    <n v="114.5"/>
    <n v="223"/>
    <x v="0"/>
    <s v="PM10"/>
  </r>
  <r>
    <x v="324"/>
    <x v="3"/>
    <n v="51.2"/>
    <n v="167.5"/>
    <n v="120.4"/>
    <n v="30.46"/>
    <n v="38.799999999999997"/>
    <n v="2.88"/>
    <x v="52"/>
    <x v="116"/>
    <n v="4.2699999999999996"/>
    <n v="85.333333333333343"/>
    <n v="167.5"/>
    <n v="150.5"/>
    <n v="76.149999999999991"/>
    <n v="96.999999999999986"/>
    <n v="144"/>
    <n v="168"/>
    <x v="1"/>
    <s v="PM10"/>
  </r>
  <r>
    <x v="324"/>
    <x v="4"/>
    <n v="72.8"/>
    <n v="373.4"/>
    <n v="124.9"/>
    <n v="19.48"/>
    <n v="84.9"/>
    <n v="4.47"/>
    <x v="104"/>
    <x v="340"/>
    <n v="0.76"/>
    <n v="121.3333333333333"/>
    <n v="373.4"/>
    <n v="156.125"/>
    <n v="48.7"/>
    <n v="212.25"/>
    <n v="223.5"/>
    <n v="373"/>
    <x v="2"/>
    <s v="PM10"/>
  </r>
  <r>
    <x v="325"/>
    <x v="0"/>
    <n v="234.3"/>
    <n v="172.3"/>
    <n v="124.6"/>
    <n v="7.9"/>
    <n v="81.2"/>
    <n v="1.44"/>
    <x v="57"/>
    <x v="38"/>
    <n v="1.86"/>
    <n v="390.5"/>
    <n v="172.3"/>
    <n v="155.75"/>
    <n v="19.75"/>
    <n v="203"/>
    <n v="72"/>
    <n v="390"/>
    <x v="2"/>
    <s v="PM2.5"/>
  </r>
  <r>
    <x v="325"/>
    <x v="1"/>
    <n v="155.80000000000001"/>
    <n v="233.8"/>
    <n v="115.1"/>
    <n v="13.09"/>
    <n v="26.3"/>
    <n v="1.7"/>
    <x v="295"/>
    <x v="555"/>
    <n v="0.2"/>
    <n v="259.66666666666669"/>
    <n v="233.8"/>
    <n v="143.875"/>
    <n v="32.724999999999987"/>
    <n v="65.75"/>
    <n v="84.999999999999986"/>
    <n v="260"/>
    <x v="0"/>
    <s v="PM2.5"/>
  </r>
  <r>
    <x v="325"/>
    <x v="2"/>
    <n v="67.5"/>
    <n v="191.2"/>
    <n v="124.5"/>
    <n v="19.98"/>
    <n v="14.5"/>
    <n v="4.03"/>
    <x v="22"/>
    <x v="420"/>
    <n v="1.1100000000000001"/>
    <n v="112.5"/>
    <n v="191.2"/>
    <n v="155.625"/>
    <n v="49.95"/>
    <n v="36.25"/>
    <n v="201.5"/>
    <n v="202"/>
    <x v="0"/>
    <s v="CO"/>
  </r>
  <r>
    <x v="325"/>
    <x v="3"/>
    <n v="2"/>
    <n v="56.8"/>
    <n v="2"/>
    <n v="29.7"/>
    <n v="40.799999999999997"/>
    <n v="1.03"/>
    <x v="247"/>
    <x v="163"/>
    <n v="3.25"/>
    <n v="3.333333333333333"/>
    <n v="56.8"/>
    <n v="2.5"/>
    <n v="74.25"/>
    <n v="102"/>
    <n v="51.500000000000007"/>
    <n v="102"/>
    <x v="1"/>
    <s v="O3"/>
  </r>
  <r>
    <x v="325"/>
    <x v="4"/>
    <n v="169.5"/>
    <n v="180.6"/>
    <n v="48.2"/>
    <n v="21.36"/>
    <n v="59.5"/>
    <n v="2.2200000000000002"/>
    <x v="232"/>
    <x v="29"/>
    <n v="1.92"/>
    <n v="282.5"/>
    <n v="180.6"/>
    <n v="60.250000000000007"/>
    <n v="53.4"/>
    <n v="148.75"/>
    <n v="111"/>
    <n v="282"/>
    <x v="0"/>
    <s v="PM2.5"/>
  </r>
  <r>
    <x v="326"/>
    <x v="0"/>
    <n v="133.5"/>
    <n v="146.30000000000001"/>
    <n v="101"/>
    <n v="7.06"/>
    <n v="31"/>
    <n v="4.3"/>
    <x v="105"/>
    <x v="93"/>
    <n v="3.9"/>
    <n v="222.5"/>
    <n v="146.30000000000001"/>
    <n v="126.25"/>
    <n v="17.649999999999999"/>
    <n v="77.5"/>
    <n v="215"/>
    <n v="222"/>
    <x v="0"/>
    <s v="PM2.5"/>
  </r>
  <r>
    <x v="326"/>
    <x v="1"/>
    <n v="56.9"/>
    <n v="156.80000000000001"/>
    <n v="113.1"/>
    <n v="25.38"/>
    <n v="79.3"/>
    <n v="1.5"/>
    <x v="165"/>
    <x v="209"/>
    <n v="1.77"/>
    <n v="94.833333333333329"/>
    <n v="156.80000000000001"/>
    <n v="141.375"/>
    <n v="63.45"/>
    <n v="198.25"/>
    <n v="75"/>
    <n v="198"/>
    <x v="1"/>
    <s v="O3"/>
  </r>
  <r>
    <x v="326"/>
    <x v="2"/>
    <n v="146.1"/>
    <n v="132.30000000000001"/>
    <n v="76.900000000000006"/>
    <n v="13.34"/>
    <n v="11.3"/>
    <n v="2.71"/>
    <x v="222"/>
    <x v="8"/>
    <n v="2.83"/>
    <n v="243.5"/>
    <n v="132.30000000000001"/>
    <n v="96.125"/>
    <n v="33.349999999999987"/>
    <n v="28.25"/>
    <n v="135.5"/>
    <n v="244"/>
    <x v="0"/>
    <s v="PM2.5"/>
  </r>
  <r>
    <x v="326"/>
    <x v="3"/>
    <n v="58.9"/>
    <n v="297.3"/>
    <n v="25.7"/>
    <n v="9.9499999999999993"/>
    <n v="44.1"/>
    <n v="1.97"/>
    <x v="113"/>
    <x v="397"/>
    <n v="4.4800000000000004"/>
    <n v="98.166666666666671"/>
    <n v="297.3"/>
    <n v="32.125"/>
    <n v="24.875"/>
    <n v="110.25"/>
    <n v="98.5"/>
    <n v="297"/>
    <x v="0"/>
    <s v="PM10"/>
  </r>
  <r>
    <x v="326"/>
    <x v="4"/>
    <n v="133.30000000000001"/>
    <n v="354.8"/>
    <n v="110"/>
    <n v="13.98"/>
    <n v="7.8"/>
    <n v="1.52"/>
    <x v="301"/>
    <x v="284"/>
    <n v="2.2599999999999998"/>
    <n v="222.16666666666671"/>
    <n v="354.8"/>
    <n v="137.5"/>
    <n v="34.950000000000003"/>
    <n v="19.5"/>
    <n v="76"/>
    <n v="355"/>
    <x v="2"/>
    <s v="PM10"/>
  </r>
  <r>
    <x v="327"/>
    <x v="0"/>
    <n v="2"/>
    <n v="197.3"/>
    <n v="72.2"/>
    <n v="12.42"/>
    <n v="55.1"/>
    <n v="3.18"/>
    <x v="327"/>
    <x v="171"/>
    <n v="0.34"/>
    <n v="3.333333333333333"/>
    <n v="197.3"/>
    <n v="90.25"/>
    <n v="31.05"/>
    <n v="137.75"/>
    <n v="159"/>
    <n v="197"/>
    <x v="1"/>
    <s v="PM10"/>
  </r>
  <r>
    <x v="327"/>
    <x v="1"/>
    <n v="99.5"/>
    <n v="516.5"/>
    <n v="105"/>
    <n v="19.68"/>
    <n v="55.1"/>
    <n v="2.9"/>
    <x v="309"/>
    <x v="416"/>
    <n v="2.4500000000000002"/>
    <n v="165.83333333333329"/>
    <n v="500"/>
    <n v="131.25"/>
    <n v="49.2"/>
    <n v="137.75"/>
    <n v="145"/>
    <n v="500"/>
    <x v="2"/>
    <s v="PM10"/>
  </r>
  <r>
    <x v="327"/>
    <x v="2"/>
    <n v="149.6"/>
    <n v="186.7"/>
    <n v="18.3"/>
    <n v="15.43"/>
    <n v="17"/>
    <n v="0.71"/>
    <x v="4"/>
    <x v="582"/>
    <n v="4.01"/>
    <n v="249.33333333333329"/>
    <n v="186.7"/>
    <n v="22.875"/>
    <n v="38.575000000000003"/>
    <n v="42.5"/>
    <n v="35.5"/>
    <n v="249"/>
    <x v="0"/>
    <s v="PM2.5"/>
  </r>
  <r>
    <x v="327"/>
    <x v="3"/>
    <n v="119.2"/>
    <n v="252.7"/>
    <n v="87.1"/>
    <n v="13.61"/>
    <n v="51.7"/>
    <n v="0.05"/>
    <x v="31"/>
    <x v="400"/>
    <n v="3.9"/>
    <n v="198.66666666666671"/>
    <n v="252.7"/>
    <n v="108.875"/>
    <n v="34.024999999999999"/>
    <n v="129.25"/>
    <n v="2.5"/>
    <n v="253"/>
    <x v="0"/>
    <s v="PM10"/>
  </r>
  <r>
    <x v="327"/>
    <x v="4"/>
    <n v="97.8"/>
    <n v="214.5"/>
    <n v="26.2"/>
    <n v="23.03"/>
    <n v="55.1"/>
    <n v="2.7"/>
    <x v="46"/>
    <x v="186"/>
    <n v="3.27"/>
    <n v="163"/>
    <n v="214.5"/>
    <n v="32.75"/>
    <n v="57.575000000000003"/>
    <n v="137.75"/>
    <n v="135"/>
    <n v="214"/>
    <x v="0"/>
    <s v="PM10"/>
  </r>
  <r>
    <x v="328"/>
    <x v="0"/>
    <n v="72.099999999999994"/>
    <n v="268.8"/>
    <n v="3.3"/>
    <n v="10.23"/>
    <n v="87.9"/>
    <n v="2.69"/>
    <x v="141"/>
    <x v="497"/>
    <n v="0.2"/>
    <n v="120.1666666666667"/>
    <n v="268.8"/>
    <n v="4.125"/>
    <n v="25.574999999999999"/>
    <n v="219.75"/>
    <n v="134.5"/>
    <n v="269"/>
    <x v="0"/>
    <s v="PM10"/>
  </r>
  <r>
    <x v="328"/>
    <x v="1"/>
    <n v="71.099999999999994"/>
    <n v="191.9"/>
    <n v="124.3"/>
    <n v="24.76"/>
    <n v="20.6"/>
    <n v="3.6"/>
    <x v="105"/>
    <x v="494"/>
    <n v="1.26"/>
    <n v="118.5"/>
    <n v="191.9"/>
    <n v="155.375"/>
    <n v="61.900000000000013"/>
    <n v="51.500000000000007"/>
    <n v="180"/>
    <n v="192"/>
    <x v="1"/>
    <s v="PM10"/>
  </r>
  <r>
    <x v="328"/>
    <x v="2"/>
    <n v="85.6"/>
    <n v="137.69999999999999"/>
    <n v="100.5"/>
    <n v="8.19"/>
    <n v="33.299999999999997"/>
    <n v="2.29"/>
    <x v="116"/>
    <x v="87"/>
    <n v="2.75"/>
    <n v="142.66666666666671"/>
    <n v="137.69999999999999"/>
    <n v="125.625"/>
    <n v="20.475000000000001"/>
    <n v="83.249999999999986"/>
    <n v="114.5"/>
    <n v="143"/>
    <x v="1"/>
    <s v="PM2.5"/>
  </r>
  <r>
    <x v="328"/>
    <x v="3"/>
    <n v="75.900000000000006"/>
    <n v="158.4"/>
    <n v="72.8"/>
    <n v="14.8"/>
    <n v="32.700000000000003"/>
    <n v="1.94"/>
    <x v="195"/>
    <x v="639"/>
    <n v="2.72"/>
    <n v="126.5"/>
    <n v="158.4"/>
    <n v="91"/>
    <n v="37.000000000000007"/>
    <n v="81.75"/>
    <n v="97"/>
    <n v="158"/>
    <x v="1"/>
    <s v="PM10"/>
  </r>
  <r>
    <x v="328"/>
    <x v="4"/>
    <n v="158.5"/>
    <n v="211.2"/>
    <n v="18"/>
    <n v="10.93"/>
    <n v="34.700000000000003"/>
    <n v="2.9"/>
    <x v="80"/>
    <x v="517"/>
    <n v="3.62"/>
    <n v="264.16666666666669"/>
    <n v="211.2"/>
    <n v="22.5"/>
    <n v="27.324999999999999"/>
    <n v="86.750000000000014"/>
    <n v="145"/>
    <n v="264"/>
    <x v="0"/>
    <s v="PM2.5"/>
  </r>
  <r>
    <x v="329"/>
    <x v="0"/>
    <n v="73.900000000000006"/>
    <n v="229"/>
    <n v="59.7"/>
    <n v="8.01"/>
    <n v="30.8"/>
    <n v="1.42"/>
    <x v="173"/>
    <x v="337"/>
    <n v="1.42"/>
    <n v="123.1666666666667"/>
    <n v="229"/>
    <n v="74.625"/>
    <n v="20.024999999999999"/>
    <n v="77"/>
    <n v="71"/>
    <n v="229"/>
    <x v="0"/>
    <s v="PM10"/>
  </r>
  <r>
    <x v="329"/>
    <x v="1"/>
    <n v="226.1"/>
    <n v="355.3"/>
    <n v="15.5"/>
    <n v="8.35"/>
    <n v="51.8"/>
    <n v="2.79"/>
    <x v="37"/>
    <x v="74"/>
    <n v="3.49"/>
    <n v="376.83333333333331"/>
    <n v="355.3"/>
    <n v="19.375"/>
    <n v="20.875"/>
    <n v="129.5"/>
    <n v="139.5"/>
    <n v="377"/>
    <x v="2"/>
    <s v="PM2.5"/>
  </r>
  <r>
    <x v="329"/>
    <x v="2"/>
    <n v="113.2"/>
    <n v="306.10000000000002"/>
    <n v="82.1"/>
    <n v="15.57"/>
    <n v="67.5"/>
    <n v="2.83"/>
    <x v="60"/>
    <x v="82"/>
    <n v="1.7"/>
    <n v="188.66666666666671"/>
    <n v="306.10000000000002"/>
    <n v="102.625"/>
    <n v="38.924999999999997"/>
    <n v="168.75"/>
    <n v="141.5"/>
    <n v="306"/>
    <x v="2"/>
    <s v="PM10"/>
  </r>
  <r>
    <x v="329"/>
    <x v="3"/>
    <n v="120.2"/>
    <n v="237.8"/>
    <n v="27.7"/>
    <n v="11.83"/>
    <n v="42"/>
    <n v="1.5"/>
    <x v="93"/>
    <x v="439"/>
    <n v="2.46"/>
    <n v="200.33333333333329"/>
    <n v="237.8"/>
    <n v="34.624999999999993"/>
    <n v="29.574999999999999"/>
    <n v="105"/>
    <n v="75"/>
    <n v="238"/>
    <x v="0"/>
    <s v="PM10"/>
  </r>
  <r>
    <x v="329"/>
    <x v="4"/>
    <n v="117.5"/>
    <n v="357.3"/>
    <n v="95.9"/>
    <n v="15.85"/>
    <n v="15.9"/>
    <n v="2.82"/>
    <x v="133"/>
    <x v="156"/>
    <n v="3.06"/>
    <n v="195.83333333333329"/>
    <n v="357.3"/>
    <n v="119.875"/>
    <n v="39.625"/>
    <n v="39.75"/>
    <n v="141"/>
    <n v="357"/>
    <x v="2"/>
    <s v="PM10"/>
  </r>
  <r>
    <x v="330"/>
    <x v="0"/>
    <n v="10.1"/>
    <n v="33.1"/>
    <n v="109.9"/>
    <n v="9.4700000000000006"/>
    <n v="52.7"/>
    <n v="2.33"/>
    <x v="104"/>
    <x v="81"/>
    <n v="1.46"/>
    <n v="16.833333333333329"/>
    <n v="33.1"/>
    <n v="137.375"/>
    <n v="23.675000000000001"/>
    <n v="131.75"/>
    <n v="116.5"/>
    <n v="137"/>
    <x v="1"/>
    <s v="NO2"/>
  </r>
  <r>
    <x v="330"/>
    <x v="1"/>
    <n v="119.1"/>
    <n v="169.9"/>
    <n v="75.099999999999994"/>
    <n v="12.76"/>
    <n v="38.6"/>
    <n v="3.51"/>
    <x v="78"/>
    <x v="473"/>
    <n v="4.3499999999999996"/>
    <n v="198.5"/>
    <n v="169.9"/>
    <n v="93.874999999999986"/>
    <n v="31.9"/>
    <n v="96.5"/>
    <n v="175.5"/>
    <n v="198"/>
    <x v="1"/>
    <s v="PM2.5"/>
  </r>
  <r>
    <x v="330"/>
    <x v="2"/>
    <n v="130.19999999999999"/>
    <n v="231.1"/>
    <n v="78.3"/>
    <n v="18.739999999999998"/>
    <n v="36.1"/>
    <n v="2.72"/>
    <x v="158"/>
    <x v="76"/>
    <n v="3.58"/>
    <n v="217"/>
    <n v="231.1"/>
    <n v="97.874999999999986"/>
    <n v="46.849999999999987"/>
    <n v="90.25"/>
    <n v="136"/>
    <n v="231"/>
    <x v="0"/>
    <s v="PM10"/>
  </r>
  <r>
    <x v="330"/>
    <x v="3"/>
    <n v="100.4"/>
    <n v="181.8"/>
    <n v="56.8"/>
    <n v="14.13"/>
    <n v="58.4"/>
    <n v="2.77"/>
    <x v="317"/>
    <x v="239"/>
    <n v="4.03"/>
    <n v="167.33333333333329"/>
    <n v="181.8"/>
    <n v="71"/>
    <n v="35.325000000000003"/>
    <n v="146"/>
    <n v="138.5"/>
    <n v="182"/>
    <x v="1"/>
    <s v="PM10"/>
  </r>
  <r>
    <x v="330"/>
    <x v="4"/>
    <n v="97.7"/>
    <n v="93.4"/>
    <n v="125"/>
    <n v="9.42"/>
    <n v="22.5"/>
    <n v="0.22"/>
    <x v="191"/>
    <x v="368"/>
    <n v="2.1"/>
    <n v="162.83333333333329"/>
    <n v="93.4"/>
    <n v="156.25"/>
    <n v="23.55"/>
    <n v="56.25"/>
    <n v="11"/>
    <n v="163"/>
    <x v="1"/>
    <s v="PM2.5"/>
  </r>
  <r>
    <x v="331"/>
    <x v="0"/>
    <n v="142.9"/>
    <n v="300.5"/>
    <n v="58.8"/>
    <n v="13.49"/>
    <n v="18.8"/>
    <n v="1.6"/>
    <x v="100"/>
    <x v="480"/>
    <n v="2.21"/>
    <n v="238.16666666666671"/>
    <n v="300.5"/>
    <n v="73.5"/>
    <n v="33.725000000000001"/>
    <n v="47"/>
    <n v="80"/>
    <n v="300"/>
    <x v="0"/>
    <s v="PM10"/>
  </r>
  <r>
    <x v="331"/>
    <x v="1"/>
    <n v="32.1"/>
    <n v="376"/>
    <n v="110.4"/>
    <n v="23.93"/>
    <n v="81.3"/>
    <n v="1.41"/>
    <x v="29"/>
    <x v="366"/>
    <n v="6.27"/>
    <n v="53.5"/>
    <n v="376"/>
    <n v="138"/>
    <n v="59.825000000000003"/>
    <n v="203.25"/>
    <n v="70.5"/>
    <n v="376"/>
    <x v="2"/>
    <s v="PM10"/>
  </r>
  <r>
    <x v="331"/>
    <x v="2"/>
    <n v="84.4"/>
    <n v="277.10000000000002"/>
    <n v="30.8"/>
    <n v="19.73"/>
    <n v="73.900000000000006"/>
    <n v="1.77"/>
    <x v="98"/>
    <x v="381"/>
    <n v="0.2"/>
    <n v="140.66666666666671"/>
    <n v="277.10000000000002"/>
    <n v="38.5"/>
    <n v="49.325000000000003"/>
    <n v="184.75"/>
    <n v="88.5"/>
    <n v="277"/>
    <x v="0"/>
    <s v="PM10"/>
  </r>
  <r>
    <x v="331"/>
    <x v="3"/>
    <n v="94.2"/>
    <n v="270.8"/>
    <n v="70.900000000000006"/>
    <n v="10.53"/>
    <n v="47.9"/>
    <n v="2.5"/>
    <x v="45"/>
    <x v="596"/>
    <n v="5.42"/>
    <n v="157"/>
    <n v="270.8"/>
    <n v="88.625000000000014"/>
    <n v="26.324999999999999"/>
    <n v="119.75"/>
    <n v="125"/>
    <n v="271"/>
    <x v="0"/>
    <s v="PM10"/>
  </r>
  <r>
    <x v="331"/>
    <x v="4"/>
    <n v="35.1"/>
    <n v="202.2"/>
    <n v="147.5"/>
    <n v="23.8"/>
    <n v="26.9"/>
    <n v="2.33"/>
    <x v="213"/>
    <x v="318"/>
    <n v="2.91"/>
    <n v="58.5"/>
    <n v="202.2"/>
    <n v="184.375"/>
    <n v="59.500000000000007"/>
    <n v="67.249999999999986"/>
    <n v="116.5"/>
    <n v="202"/>
    <x v="0"/>
    <s v="PM10"/>
  </r>
  <r>
    <x v="332"/>
    <x v="0"/>
    <n v="94.9"/>
    <n v="233.2"/>
    <n v="55.3"/>
    <n v="2.98"/>
    <n v="40.299999999999997"/>
    <n v="4.0999999999999996"/>
    <x v="169"/>
    <x v="279"/>
    <n v="3.4"/>
    <n v="158.16666666666671"/>
    <n v="233.2"/>
    <n v="69.124999999999986"/>
    <n v="7.45"/>
    <n v="100.75"/>
    <n v="205"/>
    <n v="233"/>
    <x v="0"/>
    <s v="PM10"/>
  </r>
  <r>
    <x v="332"/>
    <x v="1"/>
    <n v="110.5"/>
    <n v="464.2"/>
    <n v="89.8"/>
    <n v="23"/>
    <n v="23.8"/>
    <n v="3"/>
    <x v="100"/>
    <x v="47"/>
    <n v="1.9"/>
    <n v="184.16666666666671"/>
    <n v="464.2"/>
    <n v="112.25"/>
    <n v="57.5"/>
    <n v="59.500000000000007"/>
    <n v="150"/>
    <n v="464"/>
    <x v="2"/>
    <s v="PM10"/>
  </r>
  <r>
    <x v="332"/>
    <x v="2"/>
    <n v="62.1"/>
    <n v="208.2"/>
    <n v="87.5"/>
    <n v="11.19"/>
    <n v="40.299999999999997"/>
    <n v="1.79"/>
    <x v="109"/>
    <x v="359"/>
    <n v="2.52"/>
    <n v="103.5"/>
    <n v="208.2"/>
    <n v="109.375"/>
    <n v="27.975000000000001"/>
    <n v="100.75"/>
    <n v="89.5"/>
    <n v="208"/>
    <x v="0"/>
    <s v="PM10"/>
  </r>
  <r>
    <x v="332"/>
    <x v="3"/>
    <n v="225.5"/>
    <n v="221.9"/>
    <n v="92.6"/>
    <n v="16.3"/>
    <n v="30.1"/>
    <n v="3.16"/>
    <x v="97"/>
    <x v="469"/>
    <n v="2.1"/>
    <n v="375.83333333333343"/>
    <n v="221.9"/>
    <n v="115.75"/>
    <n v="40.75"/>
    <n v="75.25"/>
    <n v="158"/>
    <n v="376"/>
    <x v="2"/>
    <s v="PM2.5"/>
  </r>
  <r>
    <x v="332"/>
    <x v="4"/>
    <n v="54.9"/>
    <n v="249.8"/>
    <n v="40.299999999999997"/>
    <n v="18.79"/>
    <n v="10"/>
    <n v="1.78"/>
    <x v="34"/>
    <x v="62"/>
    <n v="1.02"/>
    <n v="91.5"/>
    <n v="249.8"/>
    <n v="50.374999999999993"/>
    <n v="46.974999999999987"/>
    <n v="25"/>
    <n v="89"/>
    <n v="250"/>
    <x v="0"/>
    <s v="PM10"/>
  </r>
  <r>
    <x v="333"/>
    <x v="0"/>
    <n v="110.9"/>
    <n v="347"/>
    <n v="120.9"/>
    <n v="22.55"/>
    <n v="33.200000000000003"/>
    <n v="3.7"/>
    <x v="106"/>
    <x v="188"/>
    <n v="2.79"/>
    <n v="184.83333333333329"/>
    <n v="347"/>
    <n v="151.125"/>
    <n v="56.375"/>
    <n v="83"/>
    <n v="185"/>
    <n v="347"/>
    <x v="2"/>
    <s v="PM10"/>
  </r>
  <r>
    <x v="333"/>
    <x v="1"/>
    <n v="101.8"/>
    <n v="130.80000000000001"/>
    <n v="139.5"/>
    <n v="29.12"/>
    <n v="20.100000000000001"/>
    <n v="2.2200000000000002"/>
    <x v="53"/>
    <x v="454"/>
    <n v="2.58"/>
    <n v="169.66666666666671"/>
    <n v="130.80000000000001"/>
    <n v="174.375"/>
    <n v="72.8"/>
    <n v="50.25"/>
    <n v="111"/>
    <n v="174"/>
    <x v="1"/>
    <s v="NO2"/>
  </r>
  <r>
    <x v="333"/>
    <x v="2"/>
    <n v="134.4"/>
    <n v="114.3"/>
    <n v="42.7"/>
    <n v="21.56"/>
    <n v="24.3"/>
    <n v="0.67"/>
    <x v="36"/>
    <x v="585"/>
    <n v="4.37"/>
    <n v="224"/>
    <n v="114.3"/>
    <n v="53.375000000000007"/>
    <n v="53.9"/>
    <n v="60.75"/>
    <n v="33.5"/>
    <n v="224"/>
    <x v="0"/>
    <s v="PM2.5"/>
  </r>
  <r>
    <x v="333"/>
    <x v="3"/>
    <n v="140.4"/>
    <n v="302.2"/>
    <n v="98.2"/>
    <n v="20.37"/>
    <n v="20.5"/>
    <n v="1.73"/>
    <x v="61"/>
    <x v="38"/>
    <n v="3.32"/>
    <n v="234"/>
    <n v="302.2"/>
    <n v="122.75"/>
    <n v="50.924999999999997"/>
    <n v="51.25"/>
    <n v="86.5"/>
    <n v="302"/>
    <x v="2"/>
    <s v="PM10"/>
  </r>
  <r>
    <x v="333"/>
    <x v="4"/>
    <n v="112.7"/>
    <n v="349.7"/>
    <n v="39"/>
    <n v="18.48"/>
    <n v="8.6999999999999993"/>
    <n v="2.21"/>
    <x v="18"/>
    <x v="305"/>
    <n v="3.66"/>
    <n v="187.83333333333329"/>
    <n v="349.7"/>
    <n v="48.75"/>
    <n v="46.2"/>
    <n v="21.75"/>
    <n v="110.5"/>
    <n v="350"/>
    <x v="2"/>
    <s v="PM10"/>
  </r>
  <r>
    <x v="334"/>
    <x v="0"/>
    <n v="57.4"/>
    <n v="37.1"/>
    <n v="103.3"/>
    <n v="30.76"/>
    <n v="15.6"/>
    <n v="3.56"/>
    <x v="52"/>
    <x v="83"/>
    <n v="1.1399999999999999"/>
    <n v="95.666666666666657"/>
    <n v="37.1"/>
    <n v="129.125"/>
    <n v="76.900000000000006"/>
    <n v="39"/>
    <n v="178"/>
    <n v="178"/>
    <x v="1"/>
    <s v="CO"/>
  </r>
  <r>
    <x v="334"/>
    <x v="1"/>
    <n v="120.9"/>
    <n v="191.5"/>
    <n v="37.5"/>
    <n v="0.5"/>
    <n v="21.2"/>
    <n v="2.63"/>
    <x v="213"/>
    <x v="480"/>
    <n v="2.74"/>
    <n v="201.5"/>
    <n v="191.5"/>
    <n v="46.875"/>
    <n v="1.25"/>
    <n v="53"/>
    <n v="131.5"/>
    <n v="202"/>
    <x v="0"/>
    <s v="PM2.5"/>
  </r>
  <r>
    <x v="334"/>
    <x v="2"/>
    <n v="138.6"/>
    <n v="218.3"/>
    <n v="64.7"/>
    <n v="19.21"/>
    <n v="13.7"/>
    <n v="1.62"/>
    <x v="68"/>
    <x v="640"/>
    <n v="2"/>
    <n v="231"/>
    <n v="218.3"/>
    <n v="80.875"/>
    <n v="48.025000000000013"/>
    <n v="34.249999999999993"/>
    <n v="81"/>
    <n v="231"/>
    <x v="0"/>
    <s v="PM2.5"/>
  </r>
  <r>
    <x v="334"/>
    <x v="3"/>
    <n v="2"/>
    <n v="375.6"/>
    <n v="42"/>
    <n v="25.49"/>
    <n v="36.9"/>
    <n v="2.46"/>
    <x v="36"/>
    <x v="588"/>
    <n v="3.28"/>
    <n v="3.333333333333333"/>
    <n v="375.6"/>
    <n v="52.5"/>
    <n v="63.724999999999987"/>
    <n v="92.25"/>
    <n v="123"/>
    <n v="376"/>
    <x v="2"/>
    <s v="PM10"/>
  </r>
  <r>
    <x v="334"/>
    <x v="4"/>
    <n v="140.69999999999999"/>
    <n v="293"/>
    <n v="66.2"/>
    <n v="9.85"/>
    <n v="1"/>
    <n v="2.66"/>
    <x v="86"/>
    <x v="549"/>
    <n v="3.37"/>
    <n v="234.5"/>
    <n v="293"/>
    <n v="82.75"/>
    <n v="24.625"/>
    <n v="2.5"/>
    <n v="133"/>
    <n v="293"/>
    <x v="0"/>
    <s v="PM10"/>
  </r>
  <r>
    <x v="335"/>
    <x v="0"/>
    <n v="68.099999999999994"/>
    <n v="33.4"/>
    <n v="121.1"/>
    <n v="0.5"/>
    <n v="32.6"/>
    <n v="1.96"/>
    <x v="175"/>
    <x v="528"/>
    <n v="2.67"/>
    <n v="113.5"/>
    <n v="33.4"/>
    <n v="151.375"/>
    <n v="1.25"/>
    <n v="81.5"/>
    <n v="98"/>
    <n v="151"/>
    <x v="1"/>
    <s v="NO2"/>
  </r>
  <r>
    <x v="335"/>
    <x v="1"/>
    <n v="2"/>
    <n v="241.8"/>
    <n v="2"/>
    <n v="23.32"/>
    <n v="29.4"/>
    <n v="0.05"/>
    <x v="305"/>
    <x v="641"/>
    <n v="3.93"/>
    <n v="3.333333333333333"/>
    <n v="241.8"/>
    <n v="2.5"/>
    <n v="58.3"/>
    <n v="73.5"/>
    <n v="2.5"/>
    <n v="242"/>
    <x v="0"/>
    <s v="PM10"/>
  </r>
  <r>
    <x v="335"/>
    <x v="2"/>
    <n v="100.2"/>
    <n v="213.8"/>
    <n v="104.3"/>
    <n v="11.43"/>
    <n v="50.3"/>
    <n v="2.4500000000000002"/>
    <x v="302"/>
    <x v="565"/>
    <n v="0.8"/>
    <n v="167"/>
    <n v="213.8"/>
    <n v="130.375"/>
    <n v="28.574999999999999"/>
    <n v="125.75"/>
    <n v="122.5"/>
    <n v="214"/>
    <x v="0"/>
    <s v="PM10"/>
  </r>
  <r>
    <x v="335"/>
    <x v="3"/>
    <n v="140"/>
    <n v="46.4"/>
    <n v="91.2"/>
    <n v="27.7"/>
    <n v="31.2"/>
    <n v="1.67"/>
    <x v="30"/>
    <x v="585"/>
    <n v="4.68"/>
    <n v="233.33333333333329"/>
    <n v="46.4"/>
    <n v="114"/>
    <n v="69.249999999999986"/>
    <n v="78"/>
    <n v="83.499999999999986"/>
    <n v="233"/>
    <x v="0"/>
    <s v="PM2.5"/>
  </r>
  <r>
    <x v="335"/>
    <x v="4"/>
    <n v="115.7"/>
    <n v="177.4"/>
    <n v="60.2"/>
    <n v="5.87"/>
    <n v="24.1"/>
    <n v="1.74"/>
    <x v="6"/>
    <x v="417"/>
    <n v="5.52"/>
    <n v="192.83333333333329"/>
    <n v="177.4"/>
    <n v="75.25"/>
    <n v="14.675000000000001"/>
    <n v="60.250000000000007"/>
    <n v="87"/>
    <n v="193"/>
    <x v="1"/>
    <s v="PM2.5"/>
  </r>
  <r>
    <x v="336"/>
    <x v="0"/>
    <n v="53.5"/>
    <n v="237"/>
    <n v="104.6"/>
    <n v="20.52"/>
    <n v="39.9"/>
    <n v="1.94"/>
    <x v="137"/>
    <x v="183"/>
    <n v="2.19"/>
    <n v="89.166666666666671"/>
    <n v="237"/>
    <n v="130.75"/>
    <n v="51.3"/>
    <n v="99.749999999999986"/>
    <n v="97"/>
    <n v="237"/>
    <x v="0"/>
    <s v="PM10"/>
  </r>
  <r>
    <x v="336"/>
    <x v="1"/>
    <n v="26.3"/>
    <n v="183.8"/>
    <n v="44.1"/>
    <n v="9.33"/>
    <n v="45.9"/>
    <n v="2.83"/>
    <x v="152"/>
    <x v="268"/>
    <n v="3.43"/>
    <n v="43.833333333333343"/>
    <n v="183.8"/>
    <n v="55.125"/>
    <n v="23.324999999999999"/>
    <n v="114.75"/>
    <n v="141.5"/>
    <n v="184"/>
    <x v="1"/>
    <s v="PM10"/>
  </r>
  <r>
    <x v="336"/>
    <x v="2"/>
    <n v="105.2"/>
    <n v="300.60000000000002"/>
    <n v="85.9"/>
    <n v="4.5"/>
    <n v="1"/>
    <n v="2.11"/>
    <x v="174"/>
    <x v="345"/>
    <n v="0.98"/>
    <n v="175.33333333333329"/>
    <n v="300.60000000000002"/>
    <n v="107.375"/>
    <n v="11.25"/>
    <n v="2.5"/>
    <n v="105.5"/>
    <n v="301"/>
    <x v="2"/>
    <s v="PM10"/>
  </r>
  <r>
    <x v="336"/>
    <x v="3"/>
    <n v="103.7"/>
    <n v="336.7"/>
    <n v="58.9"/>
    <n v="17.52"/>
    <n v="33.700000000000003"/>
    <n v="0.68"/>
    <x v="123"/>
    <x v="392"/>
    <n v="2.5299999999999998"/>
    <n v="172.83333333333329"/>
    <n v="336.7"/>
    <n v="73.625"/>
    <n v="43.8"/>
    <n v="84.25"/>
    <n v="34"/>
    <n v="337"/>
    <x v="2"/>
    <s v="PM10"/>
  </r>
  <r>
    <x v="336"/>
    <x v="4"/>
    <n v="87.6"/>
    <n v="305.5"/>
    <n v="42"/>
    <n v="17.52"/>
    <n v="18.8"/>
    <n v="1.57"/>
    <x v="333"/>
    <x v="642"/>
    <n v="3.66"/>
    <n v="146"/>
    <n v="305.5"/>
    <n v="52.5"/>
    <n v="43.8"/>
    <n v="47"/>
    <n v="78.5"/>
    <n v="306"/>
    <x v="2"/>
    <s v="PM10"/>
  </r>
  <r>
    <x v="337"/>
    <x v="0"/>
    <n v="68"/>
    <n v="96.6"/>
    <n v="64.599999999999994"/>
    <n v="21.32"/>
    <n v="1"/>
    <n v="2.0499999999999998"/>
    <x v="249"/>
    <x v="564"/>
    <n v="2.6"/>
    <n v="113.3333333333333"/>
    <n v="96.6"/>
    <n v="80.749999999999986"/>
    <n v="53.3"/>
    <n v="2.5"/>
    <n v="102.5"/>
    <n v="113"/>
    <x v="1"/>
    <s v="PM2.5"/>
  </r>
  <r>
    <x v="337"/>
    <x v="1"/>
    <n v="252.2"/>
    <n v="315.89999999999998"/>
    <n v="95"/>
    <n v="21.07"/>
    <n v="33.700000000000003"/>
    <n v="3.96"/>
    <x v="237"/>
    <x v="643"/>
    <n v="2.0299999999999998"/>
    <n v="420.33333333333331"/>
    <n v="315.89999999999998"/>
    <n v="118.75"/>
    <n v="52.674999999999997"/>
    <n v="84.25"/>
    <n v="198"/>
    <n v="420"/>
    <x v="2"/>
    <s v="PM2.5"/>
  </r>
  <r>
    <x v="337"/>
    <x v="2"/>
    <n v="47.1"/>
    <n v="156.80000000000001"/>
    <n v="60.5"/>
    <n v="21.26"/>
    <n v="49.1"/>
    <n v="2.06"/>
    <x v="40"/>
    <x v="472"/>
    <n v="0.2"/>
    <n v="78.5"/>
    <n v="156.80000000000001"/>
    <n v="75.625"/>
    <n v="53.150000000000013"/>
    <n v="122.75"/>
    <n v="103"/>
    <n v="157"/>
    <x v="1"/>
    <s v="PM10"/>
  </r>
  <r>
    <x v="337"/>
    <x v="3"/>
    <n v="101.4"/>
    <n v="268.3"/>
    <n v="68.5"/>
    <n v="8.52"/>
    <n v="46.5"/>
    <n v="1.84"/>
    <x v="313"/>
    <x v="644"/>
    <n v="3.65"/>
    <n v="169"/>
    <n v="268.3"/>
    <n v="85.625"/>
    <n v="21.3"/>
    <n v="116.25"/>
    <n v="92"/>
    <n v="268"/>
    <x v="0"/>
    <s v="PM10"/>
  </r>
  <r>
    <x v="337"/>
    <x v="4"/>
    <n v="145.6"/>
    <n v="75"/>
    <n v="102.5"/>
    <n v="17.39"/>
    <n v="54.6"/>
    <n v="2.63"/>
    <x v="137"/>
    <x v="62"/>
    <n v="2.91"/>
    <n v="242.66666666666671"/>
    <n v="75"/>
    <n v="128.125"/>
    <n v="43.475000000000001"/>
    <n v="136.5"/>
    <n v="131.5"/>
    <n v="243"/>
    <x v="0"/>
    <s v="PM2.5"/>
  </r>
  <r>
    <x v="338"/>
    <x v="0"/>
    <n v="162.1"/>
    <n v="168.8"/>
    <n v="111.9"/>
    <n v="23.36"/>
    <n v="50.8"/>
    <n v="4.05"/>
    <x v="219"/>
    <x v="59"/>
    <n v="2.75"/>
    <n v="270.16666666666669"/>
    <n v="168.8"/>
    <n v="139.875"/>
    <n v="58.4"/>
    <n v="127"/>
    <n v="202.5"/>
    <n v="270"/>
    <x v="0"/>
    <s v="PM2.5"/>
  </r>
  <r>
    <x v="338"/>
    <x v="1"/>
    <n v="172.8"/>
    <n v="261.5"/>
    <n v="141.4"/>
    <n v="9.3800000000000008"/>
    <n v="12.9"/>
    <n v="2.77"/>
    <x v="175"/>
    <x v="582"/>
    <n v="2.4700000000000002"/>
    <n v="288.00000000000011"/>
    <n v="261.5"/>
    <n v="176.75"/>
    <n v="23.45"/>
    <n v="32.25"/>
    <n v="138.5"/>
    <n v="288"/>
    <x v="0"/>
    <s v="PM2.5"/>
  </r>
  <r>
    <x v="338"/>
    <x v="2"/>
    <n v="75.7"/>
    <n v="175.6"/>
    <n v="69.3"/>
    <n v="9.84"/>
    <n v="29.9"/>
    <n v="1.46"/>
    <x v="185"/>
    <x v="191"/>
    <n v="5.21"/>
    <n v="126.1666666666667"/>
    <n v="175.6"/>
    <n v="86.625"/>
    <n v="24.6"/>
    <n v="74.75"/>
    <n v="73"/>
    <n v="176"/>
    <x v="1"/>
    <s v="PM10"/>
  </r>
  <r>
    <x v="338"/>
    <x v="3"/>
    <n v="103.7"/>
    <n v="139.1"/>
    <n v="157.5"/>
    <n v="16.11"/>
    <n v="58.3"/>
    <n v="2.4900000000000002"/>
    <x v="56"/>
    <x v="539"/>
    <n v="1.18"/>
    <n v="172.83333333333329"/>
    <n v="139.1"/>
    <n v="196.875"/>
    <n v="40.274999999999999"/>
    <n v="145.75"/>
    <n v="124.5"/>
    <n v="197"/>
    <x v="1"/>
    <s v="NO2"/>
  </r>
  <r>
    <x v="338"/>
    <x v="4"/>
    <n v="125"/>
    <n v="71.3"/>
    <n v="73.099999999999994"/>
    <n v="7.69"/>
    <n v="48.4"/>
    <n v="2.46"/>
    <x v="59"/>
    <x v="350"/>
    <n v="2.27"/>
    <n v="208.33333333333329"/>
    <n v="71.3"/>
    <n v="91.375"/>
    <n v="19.225000000000001"/>
    <n v="121"/>
    <n v="123"/>
    <n v="208"/>
    <x v="0"/>
    <s v="PM2.5"/>
  </r>
  <r>
    <x v="339"/>
    <x v="0"/>
    <n v="96"/>
    <n v="322.39999999999998"/>
    <n v="122.1"/>
    <n v="4.17"/>
    <n v="1.8"/>
    <n v="1.41"/>
    <x v="133"/>
    <x v="645"/>
    <n v="1.39"/>
    <n v="160"/>
    <n v="322.39999999999998"/>
    <n v="152.625"/>
    <n v="10.425000000000001"/>
    <n v="4.5000000000000009"/>
    <n v="70.5"/>
    <n v="322"/>
    <x v="2"/>
    <s v="PM10"/>
  </r>
  <r>
    <x v="339"/>
    <x v="1"/>
    <n v="138.4"/>
    <n v="460.1"/>
    <n v="106.6"/>
    <n v="30.22"/>
    <n v="73.099999999999994"/>
    <n v="1.31"/>
    <x v="12"/>
    <x v="528"/>
    <n v="2.62"/>
    <n v="230.66666666666671"/>
    <n v="460.1"/>
    <n v="133.25"/>
    <n v="75.55"/>
    <n v="182.75"/>
    <n v="65.5"/>
    <n v="460"/>
    <x v="2"/>
    <s v="PM10"/>
  </r>
  <r>
    <x v="339"/>
    <x v="2"/>
    <n v="133"/>
    <n v="219.7"/>
    <n v="2"/>
    <n v="2.1800000000000002"/>
    <n v="1"/>
    <n v="1.98"/>
    <x v="149"/>
    <x v="360"/>
    <n v="1.35"/>
    <n v="221.66666666666671"/>
    <n v="219.7"/>
    <n v="2.5"/>
    <n v="5.45"/>
    <n v="2.5"/>
    <n v="99"/>
    <n v="222"/>
    <x v="0"/>
    <s v="PM2.5"/>
  </r>
  <r>
    <x v="339"/>
    <x v="3"/>
    <n v="128.4"/>
    <n v="260.8"/>
    <n v="31.8"/>
    <n v="1.07"/>
    <n v="36"/>
    <n v="3.64"/>
    <x v="327"/>
    <x v="325"/>
    <n v="1.62"/>
    <n v="214"/>
    <n v="260.8"/>
    <n v="39.75"/>
    <n v="2.6749999999999998"/>
    <n v="90"/>
    <n v="182"/>
    <n v="261"/>
    <x v="0"/>
    <s v="PM10"/>
  </r>
  <r>
    <x v="339"/>
    <x v="4"/>
    <n v="152.4"/>
    <n v="163.4"/>
    <n v="52.2"/>
    <n v="0.5"/>
    <n v="42.1"/>
    <n v="1.45"/>
    <x v="227"/>
    <x v="646"/>
    <n v="3.2"/>
    <n v="254"/>
    <n v="163.4"/>
    <n v="65.25"/>
    <n v="1.25"/>
    <n v="105.25"/>
    <n v="72.5"/>
    <n v="254"/>
    <x v="0"/>
    <s v="PM2.5"/>
  </r>
  <r>
    <x v="340"/>
    <x v="0"/>
    <n v="2"/>
    <n v="340.9"/>
    <n v="102"/>
    <n v="12.16"/>
    <n v="56"/>
    <n v="1.1299999999999999"/>
    <x v="49"/>
    <x v="333"/>
    <n v="0.2"/>
    <n v="3.333333333333333"/>
    <n v="340.9"/>
    <n v="127.5"/>
    <n v="30.4"/>
    <n v="140"/>
    <n v="56.499999999999993"/>
    <n v="341"/>
    <x v="2"/>
    <s v="PM10"/>
  </r>
  <r>
    <x v="340"/>
    <x v="1"/>
    <n v="93.2"/>
    <n v="237.3"/>
    <n v="82.1"/>
    <n v="30.57"/>
    <n v="13.4"/>
    <n v="1.65"/>
    <x v="334"/>
    <x v="594"/>
    <n v="2.2000000000000002"/>
    <n v="155.33333333333329"/>
    <n v="237.3"/>
    <n v="102.625"/>
    <n v="76.425000000000011"/>
    <n v="33.5"/>
    <n v="82.499999999999986"/>
    <n v="237"/>
    <x v="0"/>
    <s v="PM10"/>
  </r>
  <r>
    <x v="340"/>
    <x v="2"/>
    <n v="71.2"/>
    <n v="177.6"/>
    <n v="87.7"/>
    <n v="14.8"/>
    <n v="90.8"/>
    <n v="2.2400000000000002"/>
    <x v="57"/>
    <x v="404"/>
    <n v="2.0299999999999998"/>
    <n v="118.6666666666667"/>
    <n v="177.6"/>
    <n v="109.625"/>
    <n v="37.000000000000007"/>
    <n v="227"/>
    <n v="112"/>
    <n v="227"/>
    <x v="0"/>
    <s v="O3"/>
  </r>
  <r>
    <x v="340"/>
    <x v="3"/>
    <n v="23.9"/>
    <n v="195.8"/>
    <n v="97.1"/>
    <n v="7.89"/>
    <n v="17.8"/>
    <n v="3.38"/>
    <x v="26"/>
    <x v="527"/>
    <n v="1.1200000000000001"/>
    <n v="39.833333333333329"/>
    <n v="195.8"/>
    <n v="121.375"/>
    <n v="19.725000000000001"/>
    <n v="44.500000000000007"/>
    <n v="169"/>
    <n v="196"/>
    <x v="1"/>
    <s v="PM10"/>
  </r>
  <r>
    <x v="340"/>
    <x v="4"/>
    <n v="24.3"/>
    <n v="252"/>
    <n v="66.5"/>
    <n v="12.15"/>
    <n v="68.099999999999994"/>
    <n v="1.38"/>
    <x v="276"/>
    <x v="594"/>
    <n v="2.4500000000000002"/>
    <n v="40.5"/>
    <n v="252"/>
    <n v="83.125"/>
    <n v="30.375"/>
    <n v="170.25"/>
    <n v="68.999999999999986"/>
    <n v="252"/>
    <x v="0"/>
    <s v="PM10"/>
  </r>
  <r>
    <x v="341"/>
    <x v="0"/>
    <n v="151.1"/>
    <n v="194.1"/>
    <n v="116.8"/>
    <n v="0.5"/>
    <n v="1"/>
    <n v="1.78"/>
    <x v="219"/>
    <x v="411"/>
    <n v="2.2400000000000002"/>
    <n v="251.83333333333329"/>
    <n v="194.1"/>
    <n v="146"/>
    <n v="1.25"/>
    <n v="2.5"/>
    <n v="89"/>
    <n v="252"/>
    <x v="0"/>
    <s v="PM2.5"/>
  </r>
  <r>
    <x v="341"/>
    <x v="1"/>
    <n v="163.19999999999999"/>
    <n v="191.1"/>
    <n v="57"/>
    <n v="12.48"/>
    <n v="23.4"/>
    <n v="1.28"/>
    <x v="335"/>
    <x v="68"/>
    <n v="1.82"/>
    <n v="271.99999999999989"/>
    <n v="191.1"/>
    <n v="71.25"/>
    <n v="31.2"/>
    <n v="58.5"/>
    <n v="64"/>
    <n v="272"/>
    <x v="0"/>
    <s v="PM2.5"/>
  </r>
  <r>
    <x v="341"/>
    <x v="2"/>
    <n v="135.30000000000001"/>
    <n v="50.4"/>
    <n v="51.9"/>
    <n v="25.94"/>
    <n v="14.1"/>
    <n v="1.61"/>
    <x v="286"/>
    <x v="401"/>
    <n v="4.3600000000000003"/>
    <n v="225.5"/>
    <n v="50.4"/>
    <n v="64.875"/>
    <n v="64.850000000000009"/>
    <n v="35.25"/>
    <n v="80.5"/>
    <n v="226"/>
    <x v="0"/>
    <s v="PM2.5"/>
  </r>
  <r>
    <x v="341"/>
    <x v="3"/>
    <n v="104.2"/>
    <n v="204.8"/>
    <n v="17.7"/>
    <n v="15.67"/>
    <n v="62"/>
    <n v="3.02"/>
    <x v="226"/>
    <x v="461"/>
    <n v="2.88"/>
    <n v="173.66666666666671"/>
    <n v="204.8"/>
    <n v="22.125"/>
    <n v="39.174999999999997"/>
    <n v="155"/>
    <n v="151"/>
    <n v="205"/>
    <x v="0"/>
    <s v="PM10"/>
  </r>
  <r>
    <x v="341"/>
    <x v="4"/>
    <n v="140.80000000000001"/>
    <n v="21.7"/>
    <n v="39.700000000000003"/>
    <n v="21.9"/>
    <n v="61.3"/>
    <n v="0.48"/>
    <x v="169"/>
    <x v="173"/>
    <n v="3.94"/>
    <n v="234.66666666666671"/>
    <n v="21.7"/>
    <n v="49.625"/>
    <n v="54.749999999999993"/>
    <n v="153.25"/>
    <n v="24"/>
    <n v="235"/>
    <x v="0"/>
    <s v="PM2.5"/>
  </r>
  <r>
    <x v="342"/>
    <x v="0"/>
    <n v="75.400000000000006"/>
    <n v="292"/>
    <n v="113.9"/>
    <n v="11.49"/>
    <n v="41.9"/>
    <n v="1.49"/>
    <x v="150"/>
    <x v="422"/>
    <n v="1.39"/>
    <n v="125.6666666666667"/>
    <n v="292"/>
    <n v="142.375"/>
    <n v="28.725000000000001"/>
    <n v="104.75"/>
    <n v="74.5"/>
    <n v="292"/>
    <x v="0"/>
    <s v="PM10"/>
  </r>
  <r>
    <x v="342"/>
    <x v="1"/>
    <n v="77.099999999999994"/>
    <n v="255.2"/>
    <n v="120.1"/>
    <n v="2.64"/>
    <n v="97"/>
    <n v="2.77"/>
    <x v="19"/>
    <x v="81"/>
    <n v="2.52"/>
    <n v="128.5"/>
    <n v="255.2"/>
    <n v="150.125"/>
    <n v="6.6"/>
    <n v="242.5"/>
    <n v="138.5"/>
    <n v="255"/>
    <x v="0"/>
    <s v="PM10"/>
  </r>
  <r>
    <x v="342"/>
    <x v="2"/>
    <n v="84.4"/>
    <n v="275.2"/>
    <n v="68.2"/>
    <n v="17.989999999999998"/>
    <n v="24.9"/>
    <n v="2"/>
    <x v="195"/>
    <x v="645"/>
    <n v="1.5"/>
    <n v="140.66666666666671"/>
    <n v="275.2"/>
    <n v="85.25"/>
    <n v="44.974999999999987"/>
    <n v="62.25"/>
    <n v="100"/>
    <n v="275"/>
    <x v="0"/>
    <s v="PM10"/>
  </r>
  <r>
    <x v="342"/>
    <x v="3"/>
    <n v="80.400000000000006"/>
    <n v="161.80000000000001"/>
    <n v="60.7"/>
    <n v="18.579999999999998"/>
    <n v="28.9"/>
    <n v="3.26"/>
    <x v="305"/>
    <x v="90"/>
    <n v="1.57"/>
    <n v="134"/>
    <n v="161.80000000000001"/>
    <n v="75.875"/>
    <n v="46.45"/>
    <n v="72.25"/>
    <n v="163"/>
    <n v="163"/>
    <x v="1"/>
    <s v="CO"/>
  </r>
  <r>
    <x v="342"/>
    <x v="4"/>
    <n v="127.8"/>
    <n v="209.5"/>
    <n v="73.7"/>
    <n v="24.54"/>
    <n v="23.4"/>
    <n v="2.73"/>
    <x v="37"/>
    <x v="2"/>
    <n v="1.57"/>
    <n v="213"/>
    <n v="209.5"/>
    <n v="92.125"/>
    <n v="61.349999999999987"/>
    <n v="58.5"/>
    <n v="136.5"/>
    <n v="213"/>
    <x v="0"/>
    <s v="PM2.5"/>
  </r>
  <r>
    <x v="343"/>
    <x v="0"/>
    <n v="73.8"/>
    <n v="211.7"/>
    <n v="149.6"/>
    <n v="15.65"/>
    <n v="84.2"/>
    <n v="2.4500000000000002"/>
    <x v="5"/>
    <x v="440"/>
    <n v="3.02"/>
    <n v="123"/>
    <n v="211.7"/>
    <n v="187"/>
    <n v="39.125"/>
    <n v="210.5"/>
    <n v="122.5"/>
    <n v="212"/>
    <x v="0"/>
    <s v="PM10"/>
  </r>
  <r>
    <x v="343"/>
    <x v="1"/>
    <n v="81.400000000000006"/>
    <n v="296.5"/>
    <n v="78.3"/>
    <n v="0.5"/>
    <n v="71.3"/>
    <n v="3.71"/>
    <x v="161"/>
    <x v="578"/>
    <n v="2.2000000000000002"/>
    <n v="135.66666666666671"/>
    <n v="296.5"/>
    <n v="97.874999999999986"/>
    <n v="1.25"/>
    <n v="178.25"/>
    <n v="185.5"/>
    <n v="296"/>
    <x v="0"/>
    <s v="PM10"/>
  </r>
  <r>
    <x v="343"/>
    <x v="2"/>
    <n v="129.30000000000001"/>
    <n v="259.89999999999998"/>
    <n v="118.2"/>
    <n v="11.82"/>
    <n v="30.7"/>
    <n v="1.17"/>
    <x v="104"/>
    <x v="378"/>
    <n v="3.43"/>
    <n v="215.5"/>
    <n v="259.89999999999998"/>
    <n v="147.75"/>
    <n v="29.55"/>
    <n v="76.75"/>
    <n v="58.5"/>
    <n v="260"/>
    <x v="0"/>
    <s v="PM10"/>
  </r>
  <r>
    <x v="343"/>
    <x v="3"/>
    <n v="124.2"/>
    <n v="248.2"/>
    <n v="76.400000000000006"/>
    <n v="25.06"/>
    <n v="55.6"/>
    <n v="1.34"/>
    <x v="190"/>
    <x v="647"/>
    <n v="3.16"/>
    <n v="207"/>
    <n v="248.2"/>
    <n v="95.5"/>
    <n v="62.65"/>
    <n v="139"/>
    <n v="67"/>
    <n v="248"/>
    <x v="0"/>
    <s v="PM10"/>
  </r>
  <r>
    <x v="343"/>
    <x v="4"/>
    <n v="52.8"/>
    <n v="325.60000000000002"/>
    <n v="125.8"/>
    <n v="6.34"/>
    <n v="35"/>
    <n v="2.13"/>
    <x v="141"/>
    <x v="118"/>
    <n v="0.98"/>
    <n v="88"/>
    <n v="325.60000000000002"/>
    <n v="157.25"/>
    <n v="15.85"/>
    <n v="87.5"/>
    <n v="106.5"/>
    <n v="326"/>
    <x v="2"/>
    <s v="PM10"/>
  </r>
  <r>
    <x v="344"/>
    <x v="0"/>
    <n v="92.8"/>
    <n v="191.4"/>
    <n v="31.3"/>
    <n v="10.26"/>
    <n v="52.5"/>
    <n v="1.9"/>
    <x v="336"/>
    <x v="62"/>
    <n v="2.82"/>
    <n v="154.66666666666671"/>
    <n v="191.4"/>
    <n v="39.125"/>
    <n v="25.65"/>
    <n v="131.25"/>
    <n v="95"/>
    <n v="191"/>
    <x v="1"/>
    <s v="PM10"/>
  </r>
  <r>
    <x v="344"/>
    <x v="1"/>
    <n v="126.7"/>
    <n v="108.2"/>
    <n v="100.4"/>
    <n v="14.36"/>
    <n v="1"/>
    <n v="1.1200000000000001"/>
    <x v="169"/>
    <x v="648"/>
    <n v="2.94"/>
    <n v="211.16666666666671"/>
    <n v="108.2"/>
    <n v="125.5"/>
    <n v="35.9"/>
    <n v="2.5"/>
    <n v="56.000000000000007"/>
    <n v="211"/>
    <x v="0"/>
    <s v="PM2.5"/>
  </r>
  <r>
    <x v="344"/>
    <x v="2"/>
    <n v="141.5"/>
    <n v="168.2"/>
    <n v="65.8"/>
    <n v="20.45"/>
    <n v="69.7"/>
    <n v="3.01"/>
    <x v="223"/>
    <x v="295"/>
    <n v="2.83"/>
    <n v="235.83333333333329"/>
    <n v="168.2"/>
    <n v="82.249999999999986"/>
    <n v="51.125"/>
    <n v="174.25"/>
    <n v="150.5"/>
    <n v="236"/>
    <x v="0"/>
    <s v="PM2.5"/>
  </r>
  <r>
    <x v="344"/>
    <x v="3"/>
    <n v="83.5"/>
    <n v="229.2"/>
    <n v="98.3"/>
    <n v="20.82"/>
    <n v="73.900000000000006"/>
    <n v="1.6"/>
    <x v="80"/>
    <x v="553"/>
    <n v="4.76"/>
    <n v="139.16666666666671"/>
    <n v="229.2"/>
    <n v="122.875"/>
    <n v="52.05"/>
    <n v="184.75"/>
    <n v="80"/>
    <n v="229"/>
    <x v="0"/>
    <s v="PM10"/>
  </r>
  <r>
    <x v="344"/>
    <x v="4"/>
    <n v="80.400000000000006"/>
    <n v="283.7"/>
    <n v="103.7"/>
    <n v="15.76"/>
    <n v="39.799999999999997"/>
    <n v="1.1399999999999999"/>
    <x v="337"/>
    <x v="314"/>
    <n v="2.5299999999999998"/>
    <n v="134"/>
    <n v="283.7"/>
    <n v="129.625"/>
    <n v="39.4"/>
    <n v="99.499999999999986"/>
    <n v="56.999999999999993"/>
    <n v="284"/>
    <x v="0"/>
    <s v="PM10"/>
  </r>
  <r>
    <x v="345"/>
    <x v="0"/>
    <n v="171"/>
    <n v="209.4"/>
    <n v="63.7"/>
    <n v="6.52"/>
    <n v="58.4"/>
    <n v="3.71"/>
    <x v="69"/>
    <x v="97"/>
    <n v="0.73"/>
    <n v="285"/>
    <n v="209.4"/>
    <n v="79.625"/>
    <n v="16.3"/>
    <n v="146"/>
    <n v="185.5"/>
    <n v="285"/>
    <x v="0"/>
    <s v="PM2.5"/>
  </r>
  <r>
    <x v="345"/>
    <x v="1"/>
    <n v="98.9"/>
    <n v="473.7"/>
    <n v="134.9"/>
    <n v="0.62"/>
    <n v="43.4"/>
    <n v="2.84"/>
    <x v="38"/>
    <x v="624"/>
    <n v="2.62"/>
    <n v="164.83333333333329"/>
    <n v="473.7"/>
    <n v="168.625"/>
    <n v="1.55"/>
    <n v="108.5"/>
    <n v="142"/>
    <n v="474"/>
    <x v="2"/>
    <s v="PM10"/>
  </r>
  <r>
    <x v="345"/>
    <x v="2"/>
    <n v="55.3"/>
    <n v="110.9"/>
    <n v="57.6"/>
    <n v="11.14"/>
    <n v="34"/>
    <n v="1.02"/>
    <x v="47"/>
    <x v="267"/>
    <n v="2.87"/>
    <n v="92.166666666666657"/>
    <n v="110.9"/>
    <n v="72.000000000000014"/>
    <n v="27.85"/>
    <n v="85"/>
    <n v="51.000000000000007"/>
    <n v="111"/>
    <x v="1"/>
    <s v="PM10"/>
  </r>
  <r>
    <x v="345"/>
    <x v="3"/>
    <n v="2"/>
    <n v="164.2"/>
    <n v="101.4"/>
    <n v="4.33"/>
    <n v="52.1"/>
    <n v="3.03"/>
    <x v="338"/>
    <x v="31"/>
    <n v="0.2"/>
    <n v="3.333333333333333"/>
    <n v="164.2"/>
    <n v="126.75"/>
    <n v="10.824999999999999"/>
    <n v="130.25"/>
    <n v="151.5"/>
    <n v="164"/>
    <x v="1"/>
    <s v="PM10"/>
  </r>
  <r>
    <x v="345"/>
    <x v="4"/>
    <n v="99.4"/>
    <n v="210.4"/>
    <n v="2"/>
    <n v="31.02"/>
    <n v="46.7"/>
    <n v="1.22"/>
    <x v="113"/>
    <x v="649"/>
    <n v="1.52"/>
    <n v="165.66666666666671"/>
    <n v="210.4"/>
    <n v="2.5"/>
    <n v="77.55"/>
    <n v="116.75"/>
    <n v="61"/>
    <n v="210"/>
    <x v="0"/>
    <s v="PM10"/>
  </r>
  <r>
    <x v="346"/>
    <x v="0"/>
    <n v="2"/>
    <n v="419.6"/>
    <n v="95"/>
    <n v="20.79"/>
    <n v="49.2"/>
    <n v="2.84"/>
    <x v="49"/>
    <x v="369"/>
    <n v="2.63"/>
    <n v="3.333333333333333"/>
    <n v="419.6"/>
    <n v="118.75"/>
    <n v="51.975000000000001"/>
    <n v="123"/>
    <n v="142"/>
    <n v="420"/>
    <x v="2"/>
    <s v="PM10"/>
  </r>
  <r>
    <x v="346"/>
    <x v="1"/>
    <n v="83.5"/>
    <n v="234.4"/>
    <n v="100.9"/>
    <n v="17.11"/>
    <n v="3.4"/>
    <n v="0.79"/>
    <x v="181"/>
    <x v="427"/>
    <n v="3.2"/>
    <n v="139.16666666666671"/>
    <n v="234.4"/>
    <n v="126.125"/>
    <n v="42.774999999999999"/>
    <n v="8.5"/>
    <n v="39.5"/>
    <n v="234"/>
    <x v="0"/>
    <s v="PM10"/>
  </r>
  <r>
    <x v="346"/>
    <x v="2"/>
    <n v="41.4"/>
    <n v="48"/>
    <n v="42.8"/>
    <n v="10.47"/>
    <n v="20"/>
    <n v="3"/>
    <x v="120"/>
    <x v="650"/>
    <n v="2.99"/>
    <n v="68.999999999999986"/>
    <n v="48"/>
    <n v="53.5"/>
    <n v="26.175000000000001"/>
    <n v="50"/>
    <n v="150"/>
    <n v="150"/>
    <x v="1"/>
    <s v="CO"/>
  </r>
  <r>
    <x v="346"/>
    <x v="3"/>
    <n v="2"/>
    <n v="293.39999999999998"/>
    <n v="23.7"/>
    <n v="14.64"/>
    <n v="18.600000000000001"/>
    <n v="3.98"/>
    <x v="151"/>
    <x v="487"/>
    <n v="2.35"/>
    <n v="3.333333333333333"/>
    <n v="293.39999999999998"/>
    <n v="29.625"/>
    <n v="36.6"/>
    <n v="46.500000000000007"/>
    <n v="199"/>
    <n v="293"/>
    <x v="0"/>
    <s v="PM10"/>
  </r>
  <r>
    <x v="346"/>
    <x v="4"/>
    <n v="118.5"/>
    <n v="302.39999999999998"/>
    <n v="80.2"/>
    <n v="5.0599999999999996"/>
    <n v="21.8"/>
    <n v="2.11"/>
    <x v="118"/>
    <x v="84"/>
    <n v="2.0699999999999998"/>
    <n v="197.5"/>
    <n v="302.39999999999998"/>
    <n v="100.25"/>
    <n v="12.65"/>
    <n v="54.5"/>
    <n v="105.5"/>
    <n v="302"/>
    <x v="2"/>
    <s v="PM10"/>
  </r>
  <r>
    <x v="347"/>
    <x v="0"/>
    <n v="146.19999999999999"/>
    <n v="178.1"/>
    <n v="115.6"/>
    <n v="37.97"/>
    <n v="32.1"/>
    <n v="3.09"/>
    <x v="299"/>
    <x v="309"/>
    <n v="2.54"/>
    <n v="243.6666666666666"/>
    <n v="178.1"/>
    <n v="144.5"/>
    <n v="94.924999999999997"/>
    <n v="80.25"/>
    <n v="154.5"/>
    <n v="244"/>
    <x v="0"/>
    <s v="PM2.5"/>
  </r>
  <r>
    <x v="347"/>
    <x v="1"/>
    <n v="108.4"/>
    <n v="535.6"/>
    <n v="77.7"/>
    <n v="21.87"/>
    <n v="1"/>
    <n v="2.92"/>
    <x v="145"/>
    <x v="9"/>
    <n v="0.2"/>
    <n v="180.66666666666671"/>
    <n v="500"/>
    <n v="97.125"/>
    <n v="54.674999999999997"/>
    <n v="2.5"/>
    <n v="146"/>
    <n v="500"/>
    <x v="2"/>
    <s v="PM10"/>
  </r>
  <r>
    <x v="347"/>
    <x v="2"/>
    <n v="89.4"/>
    <n v="184"/>
    <n v="90.4"/>
    <n v="27.44"/>
    <n v="26.1"/>
    <n v="1.04"/>
    <x v="339"/>
    <x v="108"/>
    <n v="3.08"/>
    <n v="149"/>
    <n v="184"/>
    <n v="113"/>
    <n v="68.600000000000009"/>
    <n v="65.25"/>
    <n v="52.000000000000007"/>
    <n v="184"/>
    <x v="1"/>
    <s v="PM10"/>
  </r>
  <r>
    <x v="347"/>
    <x v="3"/>
    <n v="69.8"/>
    <n v="266.8"/>
    <n v="86.9"/>
    <n v="13.15"/>
    <n v="15.7"/>
    <n v="1.46"/>
    <x v="340"/>
    <x v="89"/>
    <n v="2.5299999999999998"/>
    <n v="116.3333333333333"/>
    <n v="266.8"/>
    <n v="108.625"/>
    <n v="32.875"/>
    <n v="39.25"/>
    <n v="73"/>
    <n v="267"/>
    <x v="0"/>
    <s v="PM10"/>
  </r>
  <r>
    <x v="347"/>
    <x v="4"/>
    <n v="115.6"/>
    <n v="264.5"/>
    <n v="92.8"/>
    <n v="13.11"/>
    <n v="40.799999999999997"/>
    <n v="0.63"/>
    <x v="190"/>
    <x v="124"/>
    <n v="2.12"/>
    <n v="192.66666666666671"/>
    <n v="264.5"/>
    <n v="116"/>
    <n v="32.774999999999999"/>
    <n v="102"/>
    <n v="31.5"/>
    <n v="264"/>
    <x v="0"/>
    <s v="PM10"/>
  </r>
  <r>
    <x v="348"/>
    <x v="0"/>
    <n v="157.9"/>
    <n v="148.1"/>
    <n v="90.8"/>
    <n v="15.79"/>
    <n v="60.7"/>
    <n v="3.2"/>
    <x v="177"/>
    <x v="651"/>
    <n v="3.93"/>
    <n v="263.16666666666669"/>
    <n v="148.1"/>
    <n v="113.5"/>
    <n v="39.474999999999987"/>
    <n v="151.75"/>
    <n v="160"/>
    <n v="263"/>
    <x v="0"/>
    <s v="PM2.5"/>
  </r>
  <r>
    <x v="348"/>
    <x v="1"/>
    <n v="211.6"/>
    <n v="182.1"/>
    <n v="99.5"/>
    <n v="7.09"/>
    <n v="1"/>
    <n v="1.51"/>
    <x v="2"/>
    <x v="377"/>
    <n v="1.35"/>
    <n v="352.66666666666669"/>
    <n v="182.1"/>
    <n v="124.375"/>
    <n v="17.725000000000001"/>
    <n v="2.5"/>
    <n v="75.5"/>
    <n v="353"/>
    <x v="2"/>
    <s v="PM2.5"/>
  </r>
  <r>
    <x v="348"/>
    <x v="2"/>
    <n v="57.8"/>
    <n v="181.4"/>
    <n v="45"/>
    <n v="16.29"/>
    <n v="48.8"/>
    <n v="3.99"/>
    <x v="178"/>
    <x v="628"/>
    <n v="1.76"/>
    <n v="96.333333333333329"/>
    <n v="181.4"/>
    <n v="56.25"/>
    <n v="40.724999999999987"/>
    <n v="122"/>
    <n v="199.5"/>
    <n v="200"/>
    <x v="1"/>
    <s v="CO"/>
  </r>
  <r>
    <x v="348"/>
    <x v="3"/>
    <n v="110.1"/>
    <n v="223.4"/>
    <n v="55.6"/>
    <n v="19.07"/>
    <n v="4.5"/>
    <n v="1.69"/>
    <x v="101"/>
    <x v="354"/>
    <n v="2.25"/>
    <n v="183.5"/>
    <n v="223.4"/>
    <n v="69.5"/>
    <n v="47.674999999999997"/>
    <n v="11.25"/>
    <n v="84.499999999999986"/>
    <n v="223"/>
    <x v="0"/>
    <s v="PM10"/>
  </r>
  <r>
    <x v="348"/>
    <x v="4"/>
    <n v="98.3"/>
    <n v="123"/>
    <n v="120.5"/>
    <n v="5.12"/>
    <n v="47.5"/>
    <n v="2.5499999999999998"/>
    <x v="45"/>
    <x v="68"/>
    <n v="1.91"/>
    <n v="163.83333333333329"/>
    <n v="123"/>
    <n v="150.625"/>
    <n v="12.8"/>
    <n v="118.75"/>
    <n v="127.5"/>
    <n v="164"/>
    <x v="1"/>
    <s v="PM2.5"/>
  </r>
  <r>
    <x v="349"/>
    <x v="0"/>
    <n v="187.2"/>
    <n v="95.1"/>
    <n v="58.7"/>
    <n v="3.46"/>
    <n v="6.3"/>
    <n v="3.96"/>
    <x v="104"/>
    <x v="136"/>
    <n v="1.71"/>
    <n v="312"/>
    <n v="95.1"/>
    <n v="73.375000000000014"/>
    <n v="8.65"/>
    <n v="15.75"/>
    <n v="198"/>
    <n v="312"/>
    <x v="2"/>
    <s v="PM2.5"/>
  </r>
  <r>
    <x v="349"/>
    <x v="1"/>
    <n v="174.5"/>
    <n v="141.1"/>
    <n v="121.7"/>
    <n v="7.27"/>
    <n v="26.9"/>
    <n v="3.31"/>
    <x v="185"/>
    <x v="239"/>
    <n v="1.24"/>
    <n v="290.83333333333331"/>
    <n v="141.1"/>
    <n v="152.125"/>
    <n v="18.175000000000001"/>
    <n v="67.249999999999986"/>
    <n v="165.5"/>
    <n v="291"/>
    <x v="0"/>
    <s v="PM2.5"/>
  </r>
  <r>
    <x v="349"/>
    <x v="2"/>
    <n v="70.8"/>
    <n v="196.7"/>
    <n v="42.6"/>
    <n v="22.58"/>
    <n v="1"/>
    <n v="1.1100000000000001"/>
    <x v="225"/>
    <x v="154"/>
    <n v="0.82"/>
    <n v="118"/>
    <n v="196.7"/>
    <n v="53.25"/>
    <n v="56.45"/>
    <n v="2.5"/>
    <n v="55.500000000000007"/>
    <n v="197"/>
    <x v="1"/>
    <s v="PM10"/>
  </r>
  <r>
    <x v="349"/>
    <x v="3"/>
    <n v="126"/>
    <n v="194.9"/>
    <n v="122.3"/>
    <n v="25.16"/>
    <n v="45.7"/>
    <n v="2.2200000000000002"/>
    <x v="49"/>
    <x v="652"/>
    <n v="0.83"/>
    <n v="210"/>
    <n v="194.9"/>
    <n v="152.875"/>
    <n v="62.9"/>
    <n v="114.25"/>
    <n v="111"/>
    <n v="210"/>
    <x v="0"/>
    <s v="PM2.5"/>
  </r>
  <r>
    <x v="349"/>
    <x v="4"/>
    <n v="110.9"/>
    <n v="276.3"/>
    <n v="89.4"/>
    <n v="6.23"/>
    <n v="62.8"/>
    <n v="3.68"/>
    <x v="102"/>
    <x v="532"/>
    <n v="2.33"/>
    <n v="184.83333333333329"/>
    <n v="276.3"/>
    <n v="111.75"/>
    <n v="15.574999999999999"/>
    <n v="157"/>
    <n v="184"/>
    <n v="276"/>
    <x v="0"/>
    <s v="PM10"/>
  </r>
  <r>
    <x v="350"/>
    <x v="0"/>
    <n v="169.8"/>
    <n v="236.9"/>
    <n v="101.6"/>
    <n v="18.079999999999998"/>
    <n v="38.299999999999997"/>
    <n v="1.26"/>
    <x v="94"/>
    <x v="532"/>
    <n v="1.97"/>
    <n v="283.00000000000011"/>
    <n v="236.9"/>
    <n v="127"/>
    <n v="45.2"/>
    <n v="95.749999999999986"/>
    <n v="63"/>
    <n v="283"/>
    <x v="0"/>
    <s v="PM2.5"/>
  </r>
  <r>
    <x v="350"/>
    <x v="1"/>
    <n v="173.6"/>
    <n v="328.4"/>
    <n v="78"/>
    <n v="29.89"/>
    <n v="35"/>
    <n v="4.21"/>
    <x v="97"/>
    <x v="196"/>
    <n v="1.43"/>
    <n v="289.33333333333331"/>
    <n v="328.4"/>
    <n v="97.5"/>
    <n v="74.724999999999994"/>
    <n v="87.5"/>
    <n v="210.5"/>
    <n v="328"/>
    <x v="2"/>
    <s v="PM10"/>
  </r>
  <r>
    <x v="350"/>
    <x v="2"/>
    <n v="87.2"/>
    <n v="163.80000000000001"/>
    <n v="30.1"/>
    <n v="10.51"/>
    <n v="17"/>
    <n v="2.36"/>
    <x v="14"/>
    <x v="518"/>
    <n v="4.55"/>
    <n v="145.33333333333329"/>
    <n v="163.80000000000001"/>
    <n v="37.625"/>
    <n v="26.274999999999999"/>
    <n v="42.5"/>
    <n v="118"/>
    <n v="164"/>
    <x v="1"/>
    <s v="PM10"/>
  </r>
  <r>
    <x v="350"/>
    <x v="3"/>
    <n v="89.8"/>
    <n v="98.4"/>
    <n v="96.2"/>
    <n v="9.23"/>
    <n v="34.200000000000003"/>
    <n v="1.53"/>
    <x v="305"/>
    <x v="286"/>
    <n v="2.16"/>
    <n v="149.66666666666671"/>
    <n v="98.4"/>
    <n v="120.25"/>
    <n v="23.074999999999999"/>
    <n v="85.5"/>
    <n v="76.5"/>
    <n v="150"/>
    <x v="1"/>
    <s v="PM2.5"/>
  </r>
  <r>
    <x v="350"/>
    <x v="4"/>
    <n v="29.7"/>
    <n v="269.39999999999998"/>
    <n v="36.799999999999997"/>
    <n v="3.93"/>
    <n v="69.099999999999994"/>
    <n v="0.85"/>
    <x v="341"/>
    <x v="243"/>
    <n v="2.64"/>
    <n v="49.499999999999993"/>
    <n v="269.39999999999998"/>
    <n v="46"/>
    <n v="9.8250000000000011"/>
    <n v="172.75"/>
    <n v="42.499999999999993"/>
    <n v="269"/>
    <x v="0"/>
    <s v="PM10"/>
  </r>
  <r>
    <x v="351"/>
    <x v="0"/>
    <n v="98.4"/>
    <n v="186.1"/>
    <n v="91.3"/>
    <n v="7.79"/>
    <n v="79.599999999999994"/>
    <n v="0.57999999999999996"/>
    <x v="25"/>
    <x v="110"/>
    <n v="1.59"/>
    <n v="164"/>
    <n v="186.1"/>
    <n v="114.125"/>
    <n v="19.475000000000001"/>
    <n v="199"/>
    <n v="29"/>
    <n v="199"/>
    <x v="1"/>
    <s v="O3"/>
  </r>
  <r>
    <x v="351"/>
    <x v="1"/>
    <n v="58.6"/>
    <n v="362.1"/>
    <n v="50.4"/>
    <n v="9.93"/>
    <n v="70"/>
    <n v="2.44"/>
    <x v="342"/>
    <x v="653"/>
    <n v="1.86"/>
    <n v="97.666666666666671"/>
    <n v="362.1"/>
    <n v="63"/>
    <n v="24.824999999999999"/>
    <n v="175"/>
    <n v="122"/>
    <n v="362"/>
    <x v="2"/>
    <s v="PM10"/>
  </r>
  <r>
    <x v="351"/>
    <x v="2"/>
    <n v="72.8"/>
    <n v="205.7"/>
    <n v="87.4"/>
    <n v="27.06"/>
    <n v="1"/>
    <n v="2.58"/>
    <x v="300"/>
    <x v="381"/>
    <n v="3.44"/>
    <n v="121.3333333333333"/>
    <n v="205.7"/>
    <n v="109.25"/>
    <n v="67.650000000000006"/>
    <n v="2.5"/>
    <n v="129"/>
    <n v="206"/>
    <x v="0"/>
    <s v="PM10"/>
  </r>
  <r>
    <x v="351"/>
    <x v="3"/>
    <n v="140.80000000000001"/>
    <n v="59.3"/>
    <n v="128"/>
    <n v="0.5"/>
    <n v="10.5"/>
    <n v="1.67"/>
    <x v="263"/>
    <x v="427"/>
    <n v="2.46"/>
    <n v="234.66666666666671"/>
    <n v="59.3"/>
    <n v="160"/>
    <n v="1.25"/>
    <n v="26.25"/>
    <n v="83.499999999999986"/>
    <n v="235"/>
    <x v="0"/>
    <s v="PM2.5"/>
  </r>
  <r>
    <x v="351"/>
    <x v="4"/>
    <n v="181.2"/>
    <n v="179.5"/>
    <n v="37.700000000000003"/>
    <n v="10.41"/>
    <n v="73.5"/>
    <n v="2.19"/>
    <x v="263"/>
    <x v="151"/>
    <n v="2.23"/>
    <n v="302"/>
    <n v="179.5"/>
    <n v="47.125"/>
    <n v="26.024999999999999"/>
    <n v="183.75"/>
    <n v="109.5"/>
    <n v="302"/>
    <x v="2"/>
    <s v="PM2.5"/>
  </r>
  <r>
    <x v="352"/>
    <x v="0"/>
    <n v="113.2"/>
    <n v="126.6"/>
    <n v="58.2"/>
    <n v="55.93"/>
    <n v="67.8"/>
    <n v="3.16"/>
    <x v="90"/>
    <x v="654"/>
    <n v="3.82"/>
    <n v="188.66666666666671"/>
    <n v="126.6"/>
    <n v="72.750000000000014"/>
    <n v="139.82499999999999"/>
    <n v="169.5"/>
    <n v="158"/>
    <n v="189"/>
    <x v="1"/>
    <s v="PM2.5"/>
  </r>
  <r>
    <x v="352"/>
    <x v="1"/>
    <n v="232.9"/>
    <n v="460"/>
    <n v="30.8"/>
    <n v="4.9000000000000004"/>
    <n v="16.8"/>
    <n v="1.27"/>
    <x v="9"/>
    <x v="145"/>
    <n v="4.99"/>
    <n v="388.16666666666669"/>
    <n v="460"/>
    <n v="38.5"/>
    <n v="12.25"/>
    <n v="42"/>
    <n v="63.5"/>
    <n v="460"/>
    <x v="2"/>
    <s v="PM10"/>
  </r>
  <r>
    <x v="352"/>
    <x v="2"/>
    <n v="178.1"/>
    <n v="181.8"/>
    <n v="127.8"/>
    <n v="23.47"/>
    <n v="24.6"/>
    <n v="0.05"/>
    <x v="47"/>
    <x v="273"/>
    <n v="2.75"/>
    <n v="296.83333333333331"/>
    <n v="181.8"/>
    <n v="159.75"/>
    <n v="58.674999999999997"/>
    <n v="61.500000000000007"/>
    <n v="2.5"/>
    <n v="297"/>
    <x v="0"/>
    <s v="PM2.5"/>
  </r>
  <r>
    <x v="352"/>
    <x v="3"/>
    <n v="100.3"/>
    <n v="198"/>
    <n v="88.8"/>
    <n v="3.1"/>
    <n v="45.3"/>
    <n v="1.5"/>
    <x v="27"/>
    <x v="498"/>
    <n v="1.03"/>
    <n v="167.16666666666671"/>
    <n v="198"/>
    <n v="111"/>
    <n v="7.75"/>
    <n v="113.25"/>
    <n v="75"/>
    <n v="198"/>
    <x v="1"/>
    <s v="PM10"/>
  </r>
  <r>
    <x v="352"/>
    <x v="4"/>
    <n v="90.7"/>
    <n v="198.7"/>
    <n v="61.1"/>
    <n v="22"/>
    <n v="21.8"/>
    <n v="1.53"/>
    <x v="34"/>
    <x v="655"/>
    <n v="2.41"/>
    <n v="151.16666666666671"/>
    <n v="198.7"/>
    <n v="76.375"/>
    <n v="55"/>
    <n v="54.5"/>
    <n v="76.5"/>
    <n v="199"/>
    <x v="1"/>
    <s v="PM10"/>
  </r>
  <r>
    <x v="353"/>
    <x v="0"/>
    <n v="135.80000000000001"/>
    <n v="438.9"/>
    <n v="80"/>
    <n v="24.95"/>
    <n v="84.6"/>
    <n v="3.34"/>
    <x v="33"/>
    <x v="110"/>
    <n v="0.96"/>
    <n v="226.3333333333334"/>
    <n v="438.9"/>
    <n v="100"/>
    <n v="62.375"/>
    <n v="211.5"/>
    <n v="167"/>
    <n v="439"/>
    <x v="2"/>
    <s v="PM10"/>
  </r>
  <r>
    <x v="353"/>
    <x v="1"/>
    <n v="73.2"/>
    <n v="167.4"/>
    <n v="179.6"/>
    <n v="7.87"/>
    <n v="21.7"/>
    <n v="1.1499999999999999"/>
    <x v="101"/>
    <x v="438"/>
    <n v="3.8"/>
    <n v="122"/>
    <n v="167.4"/>
    <n v="224.5"/>
    <n v="19.675000000000001"/>
    <n v="54.25"/>
    <n v="57.499999999999993"/>
    <n v="224"/>
    <x v="0"/>
    <s v="NO2"/>
  </r>
  <r>
    <x v="353"/>
    <x v="2"/>
    <n v="121.8"/>
    <n v="56.5"/>
    <n v="43.9"/>
    <n v="22.54"/>
    <n v="29.9"/>
    <n v="2.91"/>
    <x v="183"/>
    <x v="265"/>
    <n v="2.14"/>
    <n v="203"/>
    <n v="56.5"/>
    <n v="54.875"/>
    <n v="56.349999999999987"/>
    <n v="74.75"/>
    <n v="145.5"/>
    <n v="203"/>
    <x v="0"/>
    <s v="PM2.5"/>
  </r>
  <r>
    <x v="353"/>
    <x v="3"/>
    <n v="49.5"/>
    <n v="137.69999999999999"/>
    <n v="78.400000000000006"/>
    <n v="16.89"/>
    <n v="1"/>
    <n v="1.9"/>
    <x v="190"/>
    <x v="202"/>
    <n v="2.66"/>
    <n v="82.5"/>
    <n v="137.69999999999999"/>
    <n v="98"/>
    <n v="42.225000000000001"/>
    <n v="2.5"/>
    <n v="95"/>
    <n v="138"/>
    <x v="1"/>
    <s v="PM10"/>
  </r>
  <r>
    <x v="353"/>
    <x v="4"/>
    <n v="76.5"/>
    <n v="357.2"/>
    <n v="121"/>
    <n v="24.48"/>
    <n v="27.4"/>
    <n v="1.1000000000000001"/>
    <x v="8"/>
    <x v="31"/>
    <n v="2.27"/>
    <n v="127.5"/>
    <n v="357.2"/>
    <n v="151.25"/>
    <n v="61.2"/>
    <n v="68.499999999999986"/>
    <n v="55.000000000000007"/>
    <n v="357"/>
    <x v="2"/>
    <s v="PM10"/>
  </r>
  <r>
    <x v="354"/>
    <x v="0"/>
    <n v="45.5"/>
    <n v="216.2"/>
    <n v="67.900000000000006"/>
    <n v="21.05"/>
    <n v="58.6"/>
    <n v="3.42"/>
    <x v="343"/>
    <x v="409"/>
    <n v="1.63"/>
    <n v="75.833333333333343"/>
    <n v="216.2"/>
    <n v="84.875"/>
    <n v="52.625000000000007"/>
    <n v="146.5"/>
    <n v="171"/>
    <n v="216"/>
    <x v="0"/>
    <s v="PM10"/>
  </r>
  <r>
    <x v="354"/>
    <x v="1"/>
    <n v="46.8"/>
    <n v="188.6"/>
    <n v="132.69999999999999"/>
    <n v="12.28"/>
    <n v="89"/>
    <n v="3.06"/>
    <x v="237"/>
    <x v="74"/>
    <n v="3.03"/>
    <n v="78"/>
    <n v="188.6"/>
    <n v="165.875"/>
    <n v="30.7"/>
    <n v="222.5"/>
    <n v="153"/>
    <n v="222"/>
    <x v="0"/>
    <s v="O3"/>
  </r>
  <r>
    <x v="354"/>
    <x v="2"/>
    <n v="48.7"/>
    <n v="351.9"/>
    <n v="76.3"/>
    <n v="12.3"/>
    <n v="15.9"/>
    <n v="2.9"/>
    <x v="68"/>
    <x v="656"/>
    <n v="1.89"/>
    <n v="81.166666666666671"/>
    <n v="351.9"/>
    <n v="95.375"/>
    <n v="30.75"/>
    <n v="39.75"/>
    <n v="145"/>
    <n v="352"/>
    <x v="2"/>
    <s v="PM10"/>
  </r>
  <r>
    <x v="354"/>
    <x v="3"/>
    <n v="136"/>
    <n v="279.5"/>
    <n v="50.6"/>
    <n v="1.46"/>
    <n v="49.1"/>
    <n v="0.41"/>
    <x v="66"/>
    <x v="657"/>
    <n v="3.96"/>
    <n v="226.66666666666671"/>
    <n v="279.5"/>
    <n v="63.25"/>
    <n v="3.65"/>
    <n v="122.75"/>
    <n v="20.5"/>
    <n v="280"/>
    <x v="0"/>
    <s v="PM10"/>
  </r>
  <r>
    <x v="354"/>
    <x v="4"/>
    <n v="84.9"/>
    <n v="328.1"/>
    <n v="61.1"/>
    <n v="22.88"/>
    <n v="90.6"/>
    <n v="0.98"/>
    <x v="81"/>
    <x v="62"/>
    <n v="3.08"/>
    <n v="141.5"/>
    <n v="328.1"/>
    <n v="76.375"/>
    <n v="57.2"/>
    <n v="226.5"/>
    <n v="49"/>
    <n v="328"/>
    <x v="2"/>
    <s v="PM10"/>
  </r>
  <r>
    <x v="355"/>
    <x v="0"/>
    <n v="113.8"/>
    <n v="307.89999999999998"/>
    <n v="84.3"/>
    <n v="0.5"/>
    <n v="70.7"/>
    <n v="0.05"/>
    <x v="54"/>
    <x v="95"/>
    <n v="2.0699999999999998"/>
    <n v="189.66666666666671"/>
    <n v="307.89999999999998"/>
    <n v="105.375"/>
    <n v="1.25"/>
    <n v="176.75"/>
    <n v="2.5"/>
    <n v="308"/>
    <x v="2"/>
    <s v="PM10"/>
  </r>
  <r>
    <x v="355"/>
    <x v="1"/>
    <n v="78.400000000000006"/>
    <n v="345.5"/>
    <n v="56"/>
    <n v="3.78"/>
    <n v="52.7"/>
    <n v="2.1800000000000002"/>
    <x v="344"/>
    <x v="106"/>
    <n v="3.06"/>
    <n v="130.66666666666671"/>
    <n v="345.5"/>
    <n v="70"/>
    <n v="9.4499999999999993"/>
    <n v="131.75"/>
    <n v="109"/>
    <n v="346"/>
    <x v="2"/>
    <s v="PM10"/>
  </r>
  <r>
    <x v="355"/>
    <x v="2"/>
    <n v="74.8"/>
    <n v="155.80000000000001"/>
    <n v="82.7"/>
    <n v="21.21"/>
    <n v="28.2"/>
    <n v="2.42"/>
    <x v="53"/>
    <x v="501"/>
    <n v="2.5499999999999998"/>
    <n v="124.6666666666667"/>
    <n v="155.80000000000001"/>
    <n v="103.375"/>
    <n v="53.025000000000013"/>
    <n v="70.5"/>
    <n v="121"/>
    <n v="156"/>
    <x v="1"/>
    <s v="PM10"/>
  </r>
  <r>
    <x v="355"/>
    <x v="3"/>
    <n v="52.2"/>
    <n v="147.6"/>
    <n v="83"/>
    <n v="27.35"/>
    <n v="25.1"/>
    <n v="2.69"/>
    <x v="251"/>
    <x v="2"/>
    <n v="4.32"/>
    <n v="87.000000000000014"/>
    <n v="147.6"/>
    <n v="103.75"/>
    <n v="68.375"/>
    <n v="62.75"/>
    <n v="134.5"/>
    <n v="148"/>
    <x v="1"/>
    <s v="PM10"/>
  </r>
  <r>
    <x v="355"/>
    <x v="4"/>
    <n v="146"/>
    <n v="80.099999999999994"/>
    <n v="59"/>
    <n v="25.13"/>
    <n v="43.1"/>
    <n v="0.9"/>
    <x v="305"/>
    <x v="577"/>
    <n v="4.1900000000000004"/>
    <n v="243.33333333333329"/>
    <n v="80.099999999999994"/>
    <n v="73.75"/>
    <n v="62.824999999999989"/>
    <n v="107.75"/>
    <n v="45"/>
    <n v="243"/>
    <x v="0"/>
    <s v="PM2.5"/>
  </r>
  <r>
    <x v="356"/>
    <x v="0"/>
    <n v="111.4"/>
    <n v="494.1"/>
    <n v="113.1"/>
    <n v="12.48"/>
    <n v="20.3"/>
    <n v="1.1299999999999999"/>
    <x v="9"/>
    <x v="59"/>
    <n v="4.51"/>
    <n v="185.66666666666671"/>
    <n v="494.1"/>
    <n v="141.375"/>
    <n v="31.2"/>
    <n v="50.75"/>
    <n v="56.499999999999993"/>
    <n v="494"/>
    <x v="2"/>
    <s v="PM10"/>
  </r>
  <r>
    <x v="356"/>
    <x v="1"/>
    <n v="208"/>
    <n v="316"/>
    <n v="42.8"/>
    <n v="9.2799999999999994"/>
    <n v="80.3"/>
    <n v="1.72"/>
    <x v="178"/>
    <x v="14"/>
    <n v="2.56"/>
    <n v="346.66666666666669"/>
    <n v="316"/>
    <n v="53.5"/>
    <n v="23.2"/>
    <n v="200.75"/>
    <n v="86"/>
    <n v="347"/>
    <x v="2"/>
    <s v="PM2.5"/>
  </r>
  <r>
    <x v="356"/>
    <x v="2"/>
    <n v="59.2"/>
    <n v="173.8"/>
    <n v="74.2"/>
    <n v="20.010000000000002"/>
    <n v="15.3"/>
    <n v="1.58"/>
    <x v="198"/>
    <x v="394"/>
    <n v="1.41"/>
    <n v="98.666666666666671"/>
    <n v="173.8"/>
    <n v="92.75"/>
    <n v="50.025000000000013"/>
    <n v="38.25"/>
    <n v="79"/>
    <n v="174"/>
    <x v="1"/>
    <s v="PM10"/>
  </r>
  <r>
    <x v="356"/>
    <x v="3"/>
    <n v="32.799999999999997"/>
    <n v="256.7"/>
    <n v="23.4"/>
    <n v="23.08"/>
    <n v="32.5"/>
    <n v="0.43"/>
    <x v="6"/>
    <x v="568"/>
    <n v="1.86"/>
    <n v="54.666666666666657"/>
    <n v="256.7"/>
    <n v="29.25"/>
    <n v="57.7"/>
    <n v="81.25"/>
    <n v="21.5"/>
    <n v="257"/>
    <x v="0"/>
    <s v="PM10"/>
  </r>
  <r>
    <x v="356"/>
    <x v="4"/>
    <n v="106.7"/>
    <n v="289.39999999999998"/>
    <n v="72.099999999999994"/>
    <n v="5.83"/>
    <n v="32.200000000000003"/>
    <n v="3.61"/>
    <x v="313"/>
    <x v="614"/>
    <n v="4.3099999999999996"/>
    <n v="177.83333333333329"/>
    <n v="289.39999999999998"/>
    <n v="90.125"/>
    <n v="14.574999999999999"/>
    <n v="80.5"/>
    <n v="180.5"/>
    <n v="289"/>
    <x v="0"/>
    <s v="PM10"/>
  </r>
  <r>
    <x v="357"/>
    <x v="0"/>
    <n v="124.2"/>
    <n v="322.8"/>
    <n v="62.5"/>
    <n v="0.5"/>
    <n v="56.5"/>
    <n v="1.17"/>
    <x v="186"/>
    <x v="384"/>
    <n v="3.22"/>
    <n v="207"/>
    <n v="322.8"/>
    <n v="78.125"/>
    <n v="1.25"/>
    <n v="141.25"/>
    <n v="58.5"/>
    <n v="323"/>
    <x v="2"/>
    <s v="PM10"/>
  </r>
  <r>
    <x v="357"/>
    <x v="1"/>
    <n v="128.4"/>
    <n v="333.9"/>
    <n v="116.8"/>
    <n v="11.79"/>
    <n v="43"/>
    <n v="1.79"/>
    <x v="47"/>
    <x v="265"/>
    <n v="2.97"/>
    <n v="214"/>
    <n v="333.9"/>
    <n v="146"/>
    <n v="29.475000000000001"/>
    <n v="107.5"/>
    <n v="89.5"/>
    <n v="334"/>
    <x v="2"/>
    <s v="PM10"/>
  </r>
  <r>
    <x v="357"/>
    <x v="2"/>
    <n v="140.19999999999999"/>
    <n v="107.9"/>
    <n v="107.4"/>
    <n v="13.02"/>
    <n v="39.4"/>
    <n v="0.27"/>
    <x v="308"/>
    <x v="438"/>
    <n v="3.45"/>
    <n v="233.66666666666671"/>
    <n v="107.9"/>
    <n v="134.25"/>
    <n v="32.549999999999997"/>
    <n v="98.499999999999986"/>
    <n v="13.5"/>
    <n v="234"/>
    <x v="0"/>
    <s v="PM2.5"/>
  </r>
  <r>
    <x v="357"/>
    <x v="3"/>
    <n v="63.8"/>
    <n v="352.3"/>
    <n v="95.5"/>
    <n v="5.53"/>
    <n v="36.700000000000003"/>
    <n v="4.3"/>
    <x v="344"/>
    <x v="131"/>
    <n v="2.11"/>
    <n v="106.3333333333333"/>
    <n v="352.3"/>
    <n v="119.375"/>
    <n v="13.824999999999999"/>
    <n v="91.750000000000014"/>
    <n v="215"/>
    <n v="352"/>
    <x v="2"/>
    <s v="PM10"/>
  </r>
  <r>
    <x v="357"/>
    <x v="4"/>
    <n v="142.9"/>
    <n v="345"/>
    <n v="65.599999999999994"/>
    <n v="23.93"/>
    <n v="94.6"/>
    <n v="2.1800000000000002"/>
    <x v="275"/>
    <x v="308"/>
    <n v="3.02"/>
    <n v="238.16666666666671"/>
    <n v="345"/>
    <n v="81.999999999999986"/>
    <n v="59.825000000000003"/>
    <n v="236.5"/>
    <n v="109"/>
    <n v="345"/>
    <x v="2"/>
    <s v="PM10"/>
  </r>
  <r>
    <x v="358"/>
    <x v="0"/>
    <n v="100.6"/>
    <n v="308.8"/>
    <n v="127.1"/>
    <n v="13.71"/>
    <n v="81.099999999999994"/>
    <n v="3.9"/>
    <x v="108"/>
    <x v="411"/>
    <n v="1.77"/>
    <n v="167.66666666666671"/>
    <n v="308.8"/>
    <n v="158.875"/>
    <n v="34.274999999999999"/>
    <n v="202.75"/>
    <n v="195"/>
    <n v="309"/>
    <x v="2"/>
    <s v="PM10"/>
  </r>
  <r>
    <x v="358"/>
    <x v="1"/>
    <n v="71.3"/>
    <n v="353.9"/>
    <n v="41.5"/>
    <n v="22.77"/>
    <n v="14.6"/>
    <n v="3.39"/>
    <x v="67"/>
    <x v="526"/>
    <n v="3.87"/>
    <n v="118.8333333333333"/>
    <n v="353.9"/>
    <n v="51.875"/>
    <n v="56.924999999999997"/>
    <n v="36.5"/>
    <n v="169.5"/>
    <n v="354"/>
    <x v="2"/>
    <s v="PM10"/>
  </r>
  <r>
    <x v="358"/>
    <x v="2"/>
    <n v="156.6"/>
    <n v="315.60000000000002"/>
    <n v="72.8"/>
    <n v="3.35"/>
    <n v="11.7"/>
    <n v="0.05"/>
    <x v="147"/>
    <x v="522"/>
    <n v="1.83"/>
    <n v="261"/>
    <n v="315.60000000000002"/>
    <n v="91"/>
    <n v="8.375"/>
    <n v="29.25"/>
    <n v="2.5"/>
    <n v="316"/>
    <x v="2"/>
    <s v="PM10"/>
  </r>
  <r>
    <x v="358"/>
    <x v="3"/>
    <n v="87.4"/>
    <n v="239.3"/>
    <n v="62.3"/>
    <n v="3.83"/>
    <n v="34.799999999999997"/>
    <n v="1.06"/>
    <x v="61"/>
    <x v="407"/>
    <n v="2.1800000000000002"/>
    <n v="145.66666666666671"/>
    <n v="239.3"/>
    <n v="77.875"/>
    <n v="9.5749999999999993"/>
    <n v="87"/>
    <n v="53.000000000000007"/>
    <n v="239"/>
    <x v="0"/>
    <s v="PM10"/>
  </r>
  <r>
    <x v="358"/>
    <x v="4"/>
    <n v="199.1"/>
    <n v="362.4"/>
    <n v="58.8"/>
    <n v="4.3"/>
    <n v="38.299999999999997"/>
    <n v="3.33"/>
    <x v="6"/>
    <x v="574"/>
    <n v="4.45"/>
    <n v="331.83333333333331"/>
    <n v="362.4"/>
    <n v="73.5"/>
    <n v="10.75"/>
    <n v="95.749999999999986"/>
    <n v="166.5"/>
    <n v="362"/>
    <x v="2"/>
    <s v="PM10"/>
  </r>
  <r>
    <x v="359"/>
    <x v="0"/>
    <n v="67.7"/>
    <n v="146.19999999999999"/>
    <n v="109"/>
    <n v="16.12"/>
    <n v="23.6"/>
    <n v="1.82"/>
    <x v="175"/>
    <x v="658"/>
    <n v="3.42"/>
    <n v="112.8333333333333"/>
    <n v="146.19999999999999"/>
    <n v="136.25"/>
    <n v="40.299999999999997"/>
    <n v="59.000000000000007"/>
    <n v="91"/>
    <n v="146"/>
    <x v="1"/>
    <s v="PM10"/>
  </r>
  <r>
    <x v="359"/>
    <x v="1"/>
    <n v="91.3"/>
    <n v="5"/>
    <n v="89"/>
    <n v="8.58"/>
    <n v="92.5"/>
    <n v="1.7"/>
    <x v="345"/>
    <x v="371"/>
    <n v="1.71"/>
    <n v="152.16666666666671"/>
    <n v="5"/>
    <n v="111.25"/>
    <n v="21.45"/>
    <n v="231.25"/>
    <n v="84.999999999999986"/>
    <n v="231"/>
    <x v="0"/>
    <s v="O3"/>
  </r>
  <r>
    <x v="359"/>
    <x v="2"/>
    <n v="55.7"/>
    <n v="228.9"/>
    <n v="36.799999999999997"/>
    <n v="1.08"/>
    <n v="71.099999999999994"/>
    <n v="2.35"/>
    <x v="156"/>
    <x v="586"/>
    <n v="3.11"/>
    <n v="92.833333333333343"/>
    <n v="228.9"/>
    <n v="46"/>
    <n v="2.7"/>
    <n v="177.75"/>
    <n v="117.5"/>
    <n v="229"/>
    <x v="0"/>
    <s v="PM10"/>
  </r>
  <r>
    <x v="359"/>
    <x v="3"/>
    <n v="142.69999999999999"/>
    <n v="119.4"/>
    <n v="83.7"/>
    <n v="8.75"/>
    <n v="31.7"/>
    <n v="2.0699999999999998"/>
    <x v="40"/>
    <x v="358"/>
    <n v="3.08"/>
    <n v="237.83333333333329"/>
    <n v="119.4"/>
    <n v="104.625"/>
    <n v="21.875"/>
    <n v="79.25"/>
    <n v="103.5"/>
    <n v="238"/>
    <x v="0"/>
    <s v="PM2.5"/>
  </r>
  <r>
    <x v="359"/>
    <x v="4"/>
    <n v="26"/>
    <n v="67.8"/>
    <n v="66.2"/>
    <n v="30.17"/>
    <n v="18.5"/>
    <n v="1.89"/>
    <x v="2"/>
    <x v="352"/>
    <n v="3.21"/>
    <n v="43.333333333333343"/>
    <n v="67.8"/>
    <n v="82.75"/>
    <n v="75.425000000000011"/>
    <n v="46.25"/>
    <n v="94.5"/>
    <n v="94"/>
    <x v="3"/>
    <s v="CO"/>
  </r>
  <r>
    <x v="360"/>
    <x v="0"/>
    <n v="187.7"/>
    <n v="271.10000000000002"/>
    <n v="53.2"/>
    <n v="40.049999999999997"/>
    <n v="43.4"/>
    <n v="1.57"/>
    <x v="170"/>
    <x v="209"/>
    <n v="4.5"/>
    <n v="312.83333333333331"/>
    <n v="271.10000000000002"/>
    <n v="66.5"/>
    <n v="100.125"/>
    <n v="108.5"/>
    <n v="78.5"/>
    <n v="313"/>
    <x v="2"/>
    <s v="PM2.5"/>
  </r>
  <r>
    <x v="360"/>
    <x v="1"/>
    <n v="67.8"/>
    <n v="411.6"/>
    <n v="98"/>
    <n v="28.91"/>
    <n v="98.5"/>
    <n v="1.04"/>
    <x v="222"/>
    <x v="432"/>
    <n v="1.24"/>
    <n v="113"/>
    <n v="411.6"/>
    <n v="122.5"/>
    <n v="72.275000000000006"/>
    <n v="246.25"/>
    <n v="52.000000000000007"/>
    <n v="412"/>
    <x v="2"/>
    <s v="PM10"/>
  </r>
  <r>
    <x v="360"/>
    <x v="2"/>
    <n v="54.6"/>
    <n v="228.3"/>
    <n v="69.400000000000006"/>
    <n v="10.89"/>
    <n v="37.299999999999997"/>
    <n v="2.36"/>
    <x v="226"/>
    <x v="655"/>
    <n v="4.68"/>
    <n v="91"/>
    <n v="228.3"/>
    <n v="86.750000000000014"/>
    <n v="27.225000000000001"/>
    <n v="93.25"/>
    <n v="118"/>
    <n v="228"/>
    <x v="0"/>
    <s v="PM10"/>
  </r>
  <r>
    <x v="360"/>
    <x v="3"/>
    <n v="95"/>
    <n v="142"/>
    <n v="91.6"/>
    <n v="3.65"/>
    <n v="20.7"/>
    <n v="2.88"/>
    <x v="60"/>
    <x v="659"/>
    <n v="0.71"/>
    <n v="158.33333333333329"/>
    <n v="142"/>
    <n v="114.5"/>
    <n v="9.125"/>
    <n v="51.75"/>
    <n v="144"/>
    <n v="158"/>
    <x v="1"/>
    <s v="PM2.5"/>
  </r>
  <r>
    <x v="360"/>
    <x v="4"/>
    <n v="108.2"/>
    <n v="331.8"/>
    <n v="118.9"/>
    <n v="15.06"/>
    <n v="89.3"/>
    <n v="2"/>
    <x v="183"/>
    <x v="660"/>
    <n v="2.46"/>
    <n v="180.33333333333329"/>
    <n v="331.8"/>
    <n v="148.625"/>
    <n v="37.650000000000013"/>
    <n v="223.25"/>
    <n v="100"/>
    <n v="332"/>
    <x v="2"/>
    <s v="PM10"/>
  </r>
  <r>
    <x v="361"/>
    <x v="0"/>
    <n v="157.4"/>
    <n v="393.5"/>
    <n v="52.2"/>
    <n v="18.97"/>
    <n v="68.5"/>
    <n v="2.2200000000000002"/>
    <x v="337"/>
    <x v="520"/>
    <n v="3.41"/>
    <n v="262.33333333333343"/>
    <n v="393.5"/>
    <n v="65.25"/>
    <n v="47.424999999999997"/>
    <n v="171.25"/>
    <n v="111"/>
    <n v="394"/>
    <x v="2"/>
    <s v="PM10"/>
  </r>
  <r>
    <x v="361"/>
    <x v="1"/>
    <n v="63.2"/>
    <n v="209.5"/>
    <n v="43.8"/>
    <n v="0.5"/>
    <n v="73.900000000000006"/>
    <n v="2.4"/>
    <x v="130"/>
    <x v="431"/>
    <n v="2.0699999999999998"/>
    <n v="105.3333333333333"/>
    <n v="209.5"/>
    <n v="54.749999999999993"/>
    <n v="1.25"/>
    <n v="184.75"/>
    <n v="120"/>
    <n v="210"/>
    <x v="0"/>
    <s v="PM10"/>
  </r>
  <r>
    <x v="361"/>
    <x v="2"/>
    <n v="87.4"/>
    <n v="234"/>
    <n v="97.8"/>
    <n v="14.61"/>
    <n v="57.8"/>
    <n v="1.55"/>
    <x v="304"/>
    <x v="295"/>
    <n v="2.75"/>
    <n v="145.66666666666671"/>
    <n v="234"/>
    <n v="122.25"/>
    <n v="36.524999999999999"/>
    <n v="144.5"/>
    <n v="77.5"/>
    <n v="234"/>
    <x v="0"/>
    <s v="PM10"/>
  </r>
  <r>
    <x v="361"/>
    <x v="3"/>
    <n v="38.299999999999997"/>
    <n v="63.7"/>
    <n v="86.3"/>
    <n v="9.5500000000000007"/>
    <n v="32.299999999999997"/>
    <n v="1.57"/>
    <x v="139"/>
    <x v="184"/>
    <n v="1.02"/>
    <n v="63.833333333333329"/>
    <n v="63.70000000000001"/>
    <n v="107.875"/>
    <n v="23.875"/>
    <n v="80.749999999999986"/>
    <n v="78.5"/>
    <n v="108"/>
    <x v="1"/>
    <s v="NO2"/>
  </r>
  <r>
    <x v="361"/>
    <x v="4"/>
    <n v="77.5"/>
    <n v="301"/>
    <n v="100.4"/>
    <n v="13.72"/>
    <n v="11.4"/>
    <n v="1.39"/>
    <x v="225"/>
    <x v="253"/>
    <n v="5.04"/>
    <n v="129.16666666666671"/>
    <n v="301"/>
    <n v="125.5"/>
    <n v="34.299999999999997"/>
    <n v="28.5"/>
    <n v="69.499999999999986"/>
    <n v="301"/>
    <x v="2"/>
    <s v="PM10"/>
  </r>
  <r>
    <x v="362"/>
    <x v="0"/>
    <n v="72.5"/>
    <n v="107.5"/>
    <n v="78.8"/>
    <n v="24.21"/>
    <n v="4"/>
    <n v="3.81"/>
    <x v="76"/>
    <x v="337"/>
    <n v="0.57999999999999996"/>
    <n v="120.8333333333333"/>
    <n v="107.5"/>
    <n v="98.499999999999986"/>
    <n v="60.525000000000013"/>
    <n v="10"/>
    <n v="190.5"/>
    <n v="190"/>
    <x v="1"/>
    <s v="CO"/>
  </r>
  <r>
    <x v="362"/>
    <x v="1"/>
    <n v="162.4"/>
    <n v="219.5"/>
    <n v="96.8"/>
    <n v="6.99"/>
    <n v="36"/>
    <n v="1.82"/>
    <x v="46"/>
    <x v="405"/>
    <n v="0.66"/>
    <n v="270.66666666666669"/>
    <n v="219.5"/>
    <n v="121"/>
    <n v="17.475000000000001"/>
    <n v="90"/>
    <n v="91"/>
    <n v="271"/>
    <x v="0"/>
    <s v="PM2.5"/>
  </r>
  <r>
    <x v="362"/>
    <x v="2"/>
    <n v="215.6"/>
    <n v="58.1"/>
    <n v="73.900000000000006"/>
    <n v="0.5"/>
    <n v="1"/>
    <n v="1.91"/>
    <x v="71"/>
    <x v="184"/>
    <n v="2.98"/>
    <n v="359.33333333333331"/>
    <n v="58.1"/>
    <n v="92.375000000000014"/>
    <n v="1.25"/>
    <n v="2.5"/>
    <n v="95.5"/>
    <n v="359"/>
    <x v="2"/>
    <s v="PM2.5"/>
  </r>
  <r>
    <x v="362"/>
    <x v="3"/>
    <n v="88.8"/>
    <n v="100.8"/>
    <n v="120"/>
    <n v="20.23"/>
    <n v="8"/>
    <n v="1.96"/>
    <x v="79"/>
    <x v="294"/>
    <n v="3.43"/>
    <n v="148"/>
    <n v="100.8"/>
    <n v="150"/>
    <n v="50.575000000000003"/>
    <n v="20"/>
    <n v="98"/>
    <n v="150"/>
    <x v="1"/>
    <s v="NO2"/>
  </r>
  <r>
    <x v="362"/>
    <x v="4"/>
    <n v="149.5"/>
    <n v="191.1"/>
    <n v="69.3"/>
    <n v="27.27"/>
    <n v="62.7"/>
    <n v="2.19"/>
    <x v="330"/>
    <x v="16"/>
    <n v="3.84"/>
    <n v="249.16666666666671"/>
    <n v="191.1"/>
    <n v="86.625"/>
    <n v="68.174999999999997"/>
    <n v="156.75"/>
    <n v="109.5"/>
    <n v="249"/>
    <x v="0"/>
    <s v="PM2.5"/>
  </r>
  <r>
    <x v="363"/>
    <x v="0"/>
    <n v="2"/>
    <n v="248.6"/>
    <n v="67.5"/>
    <n v="12.69"/>
    <n v="17.899999999999999"/>
    <n v="2.04"/>
    <x v="211"/>
    <x v="275"/>
    <n v="3.66"/>
    <n v="3.333333333333333"/>
    <n v="248.6"/>
    <n v="84.375"/>
    <n v="31.725000000000001"/>
    <n v="44.75"/>
    <n v="102"/>
    <n v="249"/>
    <x v="0"/>
    <s v="PM10"/>
  </r>
  <r>
    <x v="363"/>
    <x v="1"/>
    <n v="71.599999999999994"/>
    <n v="331.1"/>
    <n v="90.1"/>
    <n v="19.52"/>
    <n v="45.2"/>
    <n v="3.17"/>
    <x v="346"/>
    <x v="536"/>
    <n v="3"/>
    <n v="119.3333333333333"/>
    <n v="331.1"/>
    <n v="112.625"/>
    <n v="48.8"/>
    <n v="113"/>
    <n v="158.5"/>
    <n v="331"/>
    <x v="2"/>
    <s v="PM10"/>
  </r>
  <r>
    <x v="363"/>
    <x v="2"/>
    <n v="2"/>
    <n v="134"/>
    <n v="66.7"/>
    <n v="5.87"/>
    <n v="19.399999999999999"/>
    <n v="2.0699999999999998"/>
    <x v="131"/>
    <x v="550"/>
    <n v="1.81"/>
    <n v="3.333333333333333"/>
    <n v="134"/>
    <n v="83.375"/>
    <n v="14.675000000000001"/>
    <n v="48.499999999999993"/>
    <n v="103.5"/>
    <n v="134"/>
    <x v="1"/>
    <s v="PM10"/>
  </r>
  <r>
    <x v="363"/>
    <x v="3"/>
    <n v="60.9"/>
    <n v="5"/>
    <n v="76.5"/>
    <n v="20.28"/>
    <n v="58.9"/>
    <n v="1.08"/>
    <x v="343"/>
    <x v="197"/>
    <n v="3.5"/>
    <n v="101.5"/>
    <n v="5"/>
    <n v="95.625"/>
    <n v="50.7"/>
    <n v="147.25"/>
    <n v="54.000000000000007"/>
    <n v="147"/>
    <x v="1"/>
    <s v="O3"/>
  </r>
  <r>
    <x v="363"/>
    <x v="4"/>
    <n v="113.8"/>
    <n v="241.8"/>
    <n v="119.4"/>
    <n v="7.58"/>
    <n v="34.200000000000003"/>
    <n v="3.84"/>
    <x v="290"/>
    <x v="292"/>
    <n v="2.2000000000000002"/>
    <n v="189.66666666666671"/>
    <n v="241.8"/>
    <n v="149.25"/>
    <n v="18.95"/>
    <n v="85.5"/>
    <n v="192"/>
    <n v="242"/>
    <x v="0"/>
    <s v="PM10"/>
  </r>
  <r>
    <x v="364"/>
    <x v="0"/>
    <n v="58.6"/>
    <n v="260.2"/>
    <n v="49.8"/>
    <n v="17.21"/>
    <n v="22.4"/>
    <n v="0.05"/>
    <x v="10"/>
    <x v="42"/>
    <n v="3.12"/>
    <n v="97.666666666666671"/>
    <n v="260.2"/>
    <n v="62.25"/>
    <n v="43.024999999999999"/>
    <n v="55.999999999999993"/>
    <n v="2.5"/>
    <n v="260"/>
    <x v="0"/>
    <s v="PM10"/>
  </r>
  <r>
    <x v="364"/>
    <x v="1"/>
    <n v="79.599999999999994"/>
    <n v="146.5"/>
    <n v="106.1"/>
    <n v="31.19"/>
    <n v="45.3"/>
    <n v="2.91"/>
    <x v="251"/>
    <x v="661"/>
    <n v="3.66"/>
    <n v="132.66666666666671"/>
    <n v="146.5"/>
    <n v="132.625"/>
    <n v="77.975000000000009"/>
    <n v="113.25"/>
    <n v="145.5"/>
    <n v="146"/>
    <x v="1"/>
    <s v="PM10"/>
  </r>
  <r>
    <x v="364"/>
    <x v="2"/>
    <n v="132.6"/>
    <n v="247.2"/>
    <n v="62.9"/>
    <n v="16.7"/>
    <n v="53.3"/>
    <n v="3.3"/>
    <x v="100"/>
    <x v="70"/>
    <n v="0.93"/>
    <n v="221"/>
    <n v="247.2"/>
    <n v="78.625"/>
    <n v="41.749999999999993"/>
    <n v="133.25"/>
    <n v="165"/>
    <n v="247"/>
    <x v="0"/>
    <s v="PM10"/>
  </r>
  <r>
    <x v="364"/>
    <x v="3"/>
    <n v="103.5"/>
    <n v="216.6"/>
    <n v="94.7"/>
    <n v="23.63"/>
    <n v="33.9"/>
    <n v="3.94"/>
    <x v="43"/>
    <x v="534"/>
    <n v="1.54"/>
    <n v="172.5"/>
    <n v="216.6"/>
    <n v="118.375"/>
    <n v="59.075000000000003"/>
    <n v="84.749999999999986"/>
    <n v="197"/>
    <n v="217"/>
    <x v="0"/>
    <s v="PM10"/>
  </r>
  <r>
    <x v="364"/>
    <x v="4"/>
    <n v="4.9000000000000004"/>
    <n v="189.9"/>
    <n v="27.9"/>
    <n v="12.66"/>
    <n v="40.5"/>
    <n v="3.29"/>
    <x v="75"/>
    <x v="519"/>
    <n v="3.12"/>
    <n v="8.1666666666666679"/>
    <n v="189.9"/>
    <n v="34.874999999999993"/>
    <n v="31.65"/>
    <n v="101.25"/>
    <n v="164.5"/>
    <n v="190"/>
    <x v="1"/>
    <s v="PM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5">
  <r>
    <x v="0"/>
    <n v="137.80000000000001"/>
    <n v="205.5"/>
    <n v="106.6"/>
    <n v="28.73"/>
    <n v="35.299999999999997"/>
    <n v="1.95"/>
    <n v="31.1"/>
    <n v="73.8"/>
    <n v="1.94"/>
    <n v="229.66666666666671"/>
    <n v="205.5"/>
    <n v="133.25"/>
    <n v="71.825000000000003"/>
    <n v="88.25"/>
    <n v="97.5"/>
    <n v="230"/>
    <x v="0"/>
    <x v="0"/>
  </r>
  <r>
    <x v="1"/>
    <n v="152.6"/>
    <n v="184.4"/>
    <n v="71.400000000000006"/>
    <n v="18.420000000000002"/>
    <n v="1"/>
    <n v="0.33"/>
    <n v="16.100000000000001"/>
    <n v="41.8"/>
    <n v="2.88"/>
    <n v="254.33333333333329"/>
    <n v="184.4"/>
    <n v="89.250000000000014"/>
    <n v="46.05"/>
    <n v="2.5"/>
    <n v="16.5"/>
    <n v="254"/>
    <x v="0"/>
    <x v="0"/>
  </r>
  <r>
    <x v="2"/>
    <n v="49.8"/>
    <n v="53.6"/>
    <n v="113"/>
    <n v="10.44"/>
    <n v="35.6"/>
    <n v="0.52"/>
    <n v="16.2"/>
    <n v="62"/>
    <n v="1.1200000000000001"/>
    <n v="82.999999999999986"/>
    <n v="53.6"/>
    <n v="141.25"/>
    <n v="26.1"/>
    <n v="89.000000000000014"/>
    <n v="26"/>
    <n v="141"/>
    <x v="1"/>
    <x v="1"/>
  </r>
  <r>
    <x v="3"/>
    <n v="114"/>
    <n v="134.30000000000001"/>
    <n v="62.7"/>
    <n v="7.99"/>
    <n v="77.7"/>
    <n v="1.91"/>
    <n v="12.6"/>
    <n v="74.8"/>
    <n v="1.03"/>
    <n v="190"/>
    <n v="134.30000000000001"/>
    <n v="78.375"/>
    <n v="19.975000000000001"/>
    <n v="194.25"/>
    <n v="95.5"/>
    <n v="194"/>
    <x v="1"/>
    <x v="2"/>
  </r>
  <r>
    <x v="4"/>
    <n v="116.6"/>
    <n v="5"/>
    <n v="32.4"/>
    <n v="15.81"/>
    <n v="57.9"/>
    <n v="2.29"/>
    <n v="19.2"/>
    <n v="54.6"/>
    <n v="1.23"/>
    <n v="194.33333333333329"/>
    <n v="5"/>
    <n v="40.5"/>
    <n v="39.525000000000013"/>
    <n v="144.75"/>
    <n v="114.5"/>
    <n v="194"/>
    <x v="1"/>
    <x v="0"/>
  </r>
  <r>
    <x v="0"/>
    <n v="70.7"/>
    <n v="169.9"/>
    <n v="121.7"/>
    <n v="17.88"/>
    <n v="1"/>
    <n v="2.57"/>
    <n v="17.3"/>
    <n v="47.8"/>
    <n v="3.23"/>
    <n v="117.8333333333333"/>
    <n v="169.9"/>
    <n v="152.125"/>
    <n v="44.7"/>
    <n v="2.5"/>
    <n v="128.5"/>
    <n v="170"/>
    <x v="1"/>
    <x v="3"/>
  </r>
  <r>
    <x v="1"/>
    <n v="181.9"/>
    <n v="351.8"/>
    <n v="56.4"/>
    <n v="12.91"/>
    <n v="54.3"/>
    <n v="3.57"/>
    <n v="16.600000000000001"/>
    <n v="56.7"/>
    <n v="1.17"/>
    <n v="303.16666666666669"/>
    <n v="351.8"/>
    <n v="70.5"/>
    <n v="32.274999999999999"/>
    <n v="135.75"/>
    <n v="178.5"/>
    <n v="352"/>
    <x v="2"/>
    <x v="3"/>
  </r>
  <r>
    <x v="2"/>
    <n v="36.700000000000003"/>
    <n v="256.5"/>
    <n v="109.6"/>
    <n v="11.61"/>
    <n v="55.7"/>
    <n v="2.15"/>
    <n v="15.5"/>
    <n v="66.5"/>
    <n v="4.3499999999999996"/>
    <n v="61.166666666666671"/>
    <n v="256.5"/>
    <n v="137"/>
    <n v="29.024999999999999"/>
    <n v="139.25"/>
    <n v="107.5"/>
    <n v="256"/>
    <x v="0"/>
    <x v="3"/>
  </r>
  <r>
    <x v="3"/>
    <n v="94.3"/>
    <n v="342.2"/>
    <n v="2"/>
    <n v="19.38"/>
    <n v="38"/>
    <n v="1.63"/>
    <n v="20.6"/>
    <n v="24.2"/>
    <n v="2.2400000000000002"/>
    <n v="157.16666666666671"/>
    <n v="342.2"/>
    <n v="2.5"/>
    <n v="48.45"/>
    <n v="95"/>
    <n v="81.499999999999986"/>
    <n v="342"/>
    <x v="2"/>
    <x v="3"/>
  </r>
  <r>
    <x v="4"/>
    <n v="124.5"/>
    <n v="367.3"/>
    <n v="61"/>
    <n v="6.97"/>
    <n v="27.2"/>
    <n v="3.08"/>
    <n v="22.3"/>
    <n v="50.5"/>
    <n v="3.62"/>
    <n v="207.5"/>
    <n v="367.3"/>
    <n v="76.25"/>
    <n v="17.425000000000001"/>
    <n v="68"/>
    <n v="154"/>
    <n v="367"/>
    <x v="2"/>
    <x v="3"/>
  </r>
  <r>
    <x v="0"/>
    <n v="115.8"/>
    <n v="327.7"/>
    <n v="57"/>
    <n v="11.71"/>
    <n v="31.3"/>
    <n v="0.59"/>
    <n v="22.1"/>
    <n v="64.7"/>
    <n v="2.5099999999999998"/>
    <n v="193"/>
    <n v="327.7"/>
    <n v="71.25"/>
    <n v="29.274999999999999"/>
    <n v="78.25"/>
    <n v="29.5"/>
    <n v="328"/>
    <x v="2"/>
    <x v="3"/>
  </r>
  <r>
    <x v="1"/>
    <n v="105.9"/>
    <n v="70.2"/>
    <n v="73.2"/>
    <n v="12.57"/>
    <n v="22.4"/>
    <n v="2.21"/>
    <n v="22.8"/>
    <n v="94"/>
    <n v="2.71"/>
    <n v="176.5"/>
    <n v="70.2"/>
    <n v="91.5"/>
    <n v="31.425000000000001"/>
    <n v="55.999999999999993"/>
    <n v="110.5"/>
    <n v="177"/>
    <x v="1"/>
    <x v="0"/>
  </r>
  <r>
    <x v="2"/>
    <n v="102.9"/>
    <n v="175.6"/>
    <n v="10.1"/>
    <n v="11.96"/>
    <n v="35.5"/>
    <n v="4.07"/>
    <n v="18.7"/>
    <n v="65.400000000000006"/>
    <n v="2.46"/>
    <n v="171.5"/>
    <n v="175.6"/>
    <n v="12.625"/>
    <n v="29.9"/>
    <n v="88.75"/>
    <n v="203.5"/>
    <n v="204"/>
    <x v="0"/>
    <x v="4"/>
  </r>
  <r>
    <x v="3"/>
    <n v="39.9"/>
    <n v="301.7"/>
    <n v="96.1"/>
    <n v="19.13"/>
    <n v="15.5"/>
    <n v="3.27"/>
    <n v="10.199999999999999"/>
    <n v="70.599999999999994"/>
    <n v="5.13"/>
    <n v="66.5"/>
    <n v="301.7"/>
    <n v="120.125"/>
    <n v="47.825000000000003"/>
    <n v="38.75"/>
    <n v="163.5"/>
    <n v="302"/>
    <x v="2"/>
    <x v="3"/>
  </r>
  <r>
    <x v="4"/>
    <n v="53.3"/>
    <n v="151.4"/>
    <n v="82.7"/>
    <n v="9.65"/>
    <n v="1.2"/>
    <n v="2.1800000000000002"/>
    <n v="12.6"/>
    <n v="68.5"/>
    <n v="1.9"/>
    <n v="88.833333333333329"/>
    <n v="151.4"/>
    <n v="103.375"/>
    <n v="24.125"/>
    <n v="3"/>
    <n v="109"/>
    <n v="151"/>
    <x v="1"/>
    <x v="3"/>
  </r>
  <r>
    <x v="0"/>
    <n v="196"/>
    <n v="134.30000000000001"/>
    <n v="70.900000000000006"/>
    <n v="22.2"/>
    <n v="9.6"/>
    <n v="2.46"/>
    <n v="29.1"/>
    <n v="31.1"/>
    <n v="2.72"/>
    <n v="326.66666666666669"/>
    <n v="134.30000000000001"/>
    <n v="88.625000000000014"/>
    <n v="55.5"/>
    <n v="24"/>
    <n v="123"/>
    <n v="327"/>
    <x v="2"/>
    <x v="0"/>
  </r>
  <r>
    <x v="1"/>
    <n v="135.6"/>
    <n v="333.8"/>
    <n v="40.5"/>
    <n v="2.8"/>
    <n v="59.7"/>
    <n v="2.76"/>
    <n v="21.8"/>
    <n v="66.2"/>
    <n v="1.68"/>
    <n v="226"/>
    <n v="333.8"/>
    <n v="50.625"/>
    <n v="6.9999999999999991"/>
    <n v="149.25"/>
    <n v="138"/>
    <n v="334"/>
    <x v="2"/>
    <x v="3"/>
  </r>
  <r>
    <x v="2"/>
    <n v="101.8"/>
    <n v="209.1"/>
    <n v="46.7"/>
    <n v="26.34"/>
    <n v="44.3"/>
    <n v="0.74"/>
    <n v="24.6"/>
    <n v="42.5"/>
    <n v="3.44"/>
    <n v="169.66666666666671"/>
    <n v="209.1"/>
    <n v="58.375"/>
    <n v="65.850000000000009"/>
    <n v="110.75"/>
    <n v="37"/>
    <n v="209"/>
    <x v="0"/>
    <x v="3"/>
  </r>
  <r>
    <x v="3"/>
    <n v="151.6"/>
    <n v="113.2"/>
    <n v="102.8"/>
    <n v="16.100000000000001"/>
    <n v="54.5"/>
    <n v="3.74"/>
    <n v="18.3"/>
    <n v="46.4"/>
    <n v="1.43"/>
    <n v="252.66666666666671"/>
    <n v="113.2"/>
    <n v="128.5"/>
    <n v="40.25"/>
    <n v="136.25"/>
    <n v="187"/>
    <n v="253"/>
    <x v="0"/>
    <x v="0"/>
  </r>
  <r>
    <x v="4"/>
    <n v="62.5"/>
    <n v="203.1"/>
    <n v="91.2"/>
    <n v="16.510000000000002"/>
    <n v="60.1"/>
    <n v="2.13"/>
    <n v="30.2"/>
    <n v="55.2"/>
    <n v="6.26"/>
    <n v="104.1666666666667"/>
    <n v="203.1"/>
    <n v="114"/>
    <n v="41.275000000000013"/>
    <n v="150.25"/>
    <n v="106.5"/>
    <n v="203"/>
    <x v="0"/>
    <x v="3"/>
  </r>
  <r>
    <x v="0"/>
    <n v="144.9"/>
    <n v="126.2"/>
    <n v="43.4"/>
    <n v="19.16"/>
    <n v="35.6"/>
    <n v="3"/>
    <n v="23.3"/>
    <n v="58.7"/>
    <n v="1.48"/>
    <n v="241.5"/>
    <n v="126.2"/>
    <n v="54.25"/>
    <n v="47.9"/>
    <n v="89.000000000000014"/>
    <n v="150"/>
    <n v="242"/>
    <x v="0"/>
    <x v="0"/>
  </r>
  <r>
    <x v="1"/>
    <n v="29.1"/>
    <n v="186.4"/>
    <n v="124.3"/>
    <n v="18.14"/>
    <n v="10"/>
    <n v="2.61"/>
    <n v="22.7"/>
    <n v="44.1"/>
    <n v="2.68"/>
    <n v="48.5"/>
    <n v="186.4"/>
    <n v="155.375"/>
    <n v="45.35"/>
    <n v="25"/>
    <n v="130.5"/>
    <n v="186"/>
    <x v="1"/>
    <x v="3"/>
  </r>
  <r>
    <x v="2"/>
    <n v="93.9"/>
    <n v="78.2"/>
    <n v="79.3"/>
    <n v="16.420000000000002"/>
    <n v="57.4"/>
    <n v="2.79"/>
    <n v="10.4"/>
    <n v="43.1"/>
    <n v="3.12"/>
    <n v="156.5"/>
    <n v="78.2"/>
    <n v="99.124999999999986"/>
    <n v="41.05"/>
    <n v="143.5"/>
    <n v="139.5"/>
    <n v="156"/>
    <x v="1"/>
    <x v="0"/>
  </r>
  <r>
    <x v="3"/>
    <n v="120.7"/>
    <n v="241.4"/>
    <n v="195.3"/>
    <n v="17.37"/>
    <n v="61.6"/>
    <n v="2.84"/>
    <n v="24.6"/>
    <n v="54.3"/>
    <n v="3.41"/>
    <n v="201.16666666666671"/>
    <n v="241.4"/>
    <n v="244.125"/>
    <n v="43.424999999999997"/>
    <n v="154"/>
    <n v="142"/>
    <n v="244"/>
    <x v="0"/>
    <x v="1"/>
  </r>
  <r>
    <x v="4"/>
    <n v="64.8"/>
    <n v="186.2"/>
    <n v="62.1"/>
    <n v="14.8"/>
    <n v="96.9"/>
    <n v="0.14000000000000001"/>
    <n v="24.8"/>
    <n v="31"/>
    <n v="2.4300000000000002"/>
    <n v="108"/>
    <n v="186.2"/>
    <n v="77.625"/>
    <n v="37.000000000000007"/>
    <n v="242.25"/>
    <n v="7.0000000000000009"/>
    <n v="242"/>
    <x v="0"/>
    <x v="2"/>
  </r>
  <r>
    <x v="0"/>
    <n v="170.5"/>
    <n v="227.9"/>
    <n v="43.1"/>
    <n v="8.14"/>
    <n v="59"/>
    <n v="1.4"/>
    <n v="21.5"/>
    <n v="60.8"/>
    <n v="1.72"/>
    <n v="284.16666666666669"/>
    <n v="227.9"/>
    <n v="53.875"/>
    <n v="20.350000000000001"/>
    <n v="147.5"/>
    <n v="69.999999999999986"/>
    <n v="284"/>
    <x v="0"/>
    <x v="0"/>
  </r>
  <r>
    <x v="1"/>
    <n v="248.6"/>
    <n v="316.10000000000002"/>
    <n v="9"/>
    <n v="17.86"/>
    <n v="26.4"/>
    <n v="3.42"/>
    <n v="14.5"/>
    <n v="57.9"/>
    <n v="3.11"/>
    <n v="414.33333333333331"/>
    <n v="316.10000000000002"/>
    <n v="11.25"/>
    <n v="44.65"/>
    <n v="66"/>
    <n v="171"/>
    <n v="414"/>
    <x v="2"/>
    <x v="0"/>
  </r>
  <r>
    <x v="2"/>
    <n v="130.69999999999999"/>
    <n v="72.900000000000006"/>
    <n v="58.2"/>
    <n v="8.5500000000000007"/>
    <n v="20.2"/>
    <n v="3.43"/>
    <n v="22.8"/>
    <n v="37.299999999999997"/>
    <n v="3.6"/>
    <n v="217.83333333333329"/>
    <n v="72.900000000000006"/>
    <n v="72.750000000000014"/>
    <n v="21.375"/>
    <n v="50.499999999999993"/>
    <n v="171.5"/>
    <n v="218"/>
    <x v="0"/>
    <x v="0"/>
  </r>
  <r>
    <x v="3"/>
    <n v="197.9"/>
    <n v="291.10000000000002"/>
    <n v="23.4"/>
    <n v="8.93"/>
    <n v="64.5"/>
    <n v="1.24"/>
    <n v="23.1"/>
    <n v="73.900000000000006"/>
    <n v="1.39"/>
    <n v="329.83333333333343"/>
    <n v="291.10000000000002"/>
    <n v="29.25"/>
    <n v="22.324999999999999"/>
    <n v="161.25"/>
    <n v="62"/>
    <n v="330"/>
    <x v="2"/>
    <x v="0"/>
  </r>
  <r>
    <x v="4"/>
    <n v="102.5"/>
    <n v="5"/>
    <n v="43.1"/>
    <n v="11.86"/>
    <n v="8.6999999999999993"/>
    <n v="3.84"/>
    <n v="10"/>
    <n v="52.1"/>
    <n v="3.16"/>
    <n v="170.83333333333329"/>
    <n v="5"/>
    <n v="53.875"/>
    <n v="29.65"/>
    <n v="21.75"/>
    <n v="192"/>
    <n v="192"/>
    <x v="1"/>
    <x v="4"/>
  </r>
  <r>
    <x v="0"/>
    <n v="190"/>
    <n v="62.3"/>
    <n v="125.6"/>
    <n v="14.81"/>
    <n v="16"/>
    <n v="2.72"/>
    <n v="21.4"/>
    <n v="49.2"/>
    <n v="2.58"/>
    <n v="316.66666666666657"/>
    <n v="62.3"/>
    <n v="157"/>
    <n v="37.025000000000013"/>
    <n v="40"/>
    <n v="136"/>
    <n v="317"/>
    <x v="2"/>
    <x v="0"/>
  </r>
  <r>
    <x v="1"/>
    <n v="96.9"/>
    <n v="253.6"/>
    <n v="116.5"/>
    <n v="31.86"/>
    <n v="10.199999999999999"/>
    <n v="4.96"/>
    <n v="6.3"/>
    <n v="57.3"/>
    <n v="3.21"/>
    <n v="161.5"/>
    <n v="253.6"/>
    <n v="145.625"/>
    <n v="79.650000000000006"/>
    <n v="25.5"/>
    <n v="248"/>
    <n v="254"/>
    <x v="0"/>
    <x v="3"/>
  </r>
  <r>
    <x v="2"/>
    <n v="104"/>
    <n v="125.6"/>
    <n v="62.1"/>
    <n v="8.41"/>
    <n v="21.6"/>
    <n v="2.6"/>
    <n v="22.5"/>
    <n v="47.5"/>
    <n v="3.58"/>
    <n v="173.33333333333329"/>
    <n v="125.6"/>
    <n v="77.625"/>
    <n v="21.024999999999999"/>
    <n v="54.000000000000007"/>
    <n v="130"/>
    <n v="173"/>
    <x v="1"/>
    <x v="0"/>
  </r>
  <r>
    <x v="3"/>
    <n v="110.8"/>
    <n v="270"/>
    <n v="92.1"/>
    <n v="6.17"/>
    <n v="23.4"/>
    <n v="2.64"/>
    <n v="24.3"/>
    <n v="59.6"/>
    <n v="2.64"/>
    <n v="184.66666666666671"/>
    <n v="270"/>
    <n v="115.125"/>
    <n v="15.425000000000001"/>
    <n v="58.5"/>
    <n v="132"/>
    <n v="270"/>
    <x v="0"/>
    <x v="3"/>
  </r>
  <r>
    <x v="4"/>
    <n v="173.1"/>
    <n v="148.69999999999999"/>
    <n v="98.5"/>
    <n v="12.3"/>
    <n v="34.200000000000003"/>
    <n v="3.27"/>
    <n v="25.8"/>
    <n v="74.599999999999994"/>
    <n v="4.57"/>
    <n v="288.5"/>
    <n v="148.69999999999999"/>
    <n v="123.125"/>
    <n v="30.75"/>
    <n v="85.5"/>
    <n v="163.5"/>
    <n v="288"/>
    <x v="0"/>
    <x v="0"/>
  </r>
  <r>
    <x v="0"/>
    <n v="111.6"/>
    <n v="296.10000000000002"/>
    <n v="71.400000000000006"/>
    <n v="17.7"/>
    <n v="38"/>
    <n v="2.3199999999999998"/>
    <n v="24.2"/>
    <n v="45.3"/>
    <n v="5.01"/>
    <n v="186"/>
    <n v="296.10000000000002"/>
    <n v="89.250000000000014"/>
    <n v="44.25"/>
    <n v="95"/>
    <n v="116"/>
    <n v="296"/>
    <x v="0"/>
    <x v="3"/>
  </r>
  <r>
    <x v="1"/>
    <n v="59.6"/>
    <n v="94.3"/>
    <n v="136.30000000000001"/>
    <n v="23.92"/>
    <n v="62.6"/>
    <n v="3.15"/>
    <n v="19.899999999999999"/>
    <n v="43.8"/>
    <n v="2.59"/>
    <n v="99.333333333333329"/>
    <n v="94.3"/>
    <n v="170.375"/>
    <n v="59.8"/>
    <n v="156.5"/>
    <n v="157.5"/>
    <n v="170"/>
    <x v="1"/>
    <x v="1"/>
  </r>
  <r>
    <x v="2"/>
    <n v="60.3"/>
    <n v="271.3"/>
    <n v="63.9"/>
    <n v="5.89"/>
    <n v="27.3"/>
    <n v="2.2000000000000002"/>
    <n v="16.100000000000001"/>
    <n v="45.2"/>
    <n v="2.79"/>
    <n v="100.5"/>
    <n v="271.3"/>
    <n v="79.875"/>
    <n v="14.725"/>
    <n v="68.25"/>
    <n v="110"/>
    <n v="271"/>
    <x v="0"/>
    <x v="3"/>
  </r>
  <r>
    <x v="3"/>
    <n v="107.8"/>
    <n v="143.30000000000001"/>
    <n v="56.9"/>
    <n v="14.66"/>
    <n v="3.4"/>
    <n v="0.56999999999999995"/>
    <n v="15"/>
    <n v="56.2"/>
    <n v="2.87"/>
    <n v="179.66666666666671"/>
    <n v="143.30000000000001"/>
    <n v="71.125"/>
    <n v="36.65"/>
    <n v="8.5"/>
    <n v="28.5"/>
    <n v="180"/>
    <x v="1"/>
    <x v="0"/>
  </r>
  <r>
    <x v="4"/>
    <n v="183.5"/>
    <n v="301.8"/>
    <n v="73.599999999999994"/>
    <n v="13.91"/>
    <n v="14.8"/>
    <n v="2.09"/>
    <n v="18"/>
    <n v="65.8"/>
    <n v="2.0099999999999998"/>
    <n v="305.83333333333343"/>
    <n v="301.8"/>
    <n v="92"/>
    <n v="34.774999999999999"/>
    <n v="37.000000000000007"/>
    <n v="104.5"/>
    <n v="306"/>
    <x v="2"/>
    <x v="0"/>
  </r>
  <r>
    <x v="0"/>
    <n v="139.1"/>
    <n v="390"/>
    <n v="78.8"/>
    <n v="18.420000000000002"/>
    <n v="59.3"/>
    <n v="1.77"/>
    <n v="21.6"/>
    <n v="60.2"/>
    <n v="2.62"/>
    <n v="231.83333333333329"/>
    <n v="390"/>
    <n v="98.499999999999986"/>
    <n v="46.05"/>
    <n v="148.25"/>
    <n v="88.5"/>
    <n v="390"/>
    <x v="2"/>
    <x v="3"/>
  </r>
  <r>
    <x v="1"/>
    <n v="73.599999999999994"/>
    <n v="242.9"/>
    <n v="109.9"/>
    <n v="30.51"/>
    <n v="72"/>
    <n v="4.9800000000000004"/>
    <n v="14.6"/>
    <n v="75.7"/>
    <n v="2.72"/>
    <n v="122.6666666666667"/>
    <n v="242.9"/>
    <n v="137.375"/>
    <n v="76.275000000000006"/>
    <n v="180"/>
    <n v="249"/>
    <n v="249"/>
    <x v="0"/>
    <x v="4"/>
  </r>
  <r>
    <x v="2"/>
    <n v="191.1"/>
    <n v="108.7"/>
    <n v="42.9"/>
    <n v="7.6"/>
    <n v="1"/>
    <n v="1.34"/>
    <n v="14.7"/>
    <n v="62.7"/>
    <n v="2.91"/>
    <n v="318.5"/>
    <n v="108.7"/>
    <n v="53.625"/>
    <n v="19"/>
    <n v="2.5"/>
    <n v="67"/>
    <n v="318"/>
    <x v="2"/>
    <x v="0"/>
  </r>
  <r>
    <x v="3"/>
    <n v="186.1"/>
    <n v="283.2"/>
    <n v="53.5"/>
    <n v="5.61"/>
    <n v="47.1"/>
    <n v="0.65"/>
    <n v="32.799999999999997"/>
    <n v="81.2"/>
    <n v="1.94"/>
    <n v="310.16666666666657"/>
    <n v="283.2"/>
    <n v="66.875"/>
    <n v="14.025"/>
    <n v="117.75"/>
    <n v="32.5"/>
    <n v="310"/>
    <x v="2"/>
    <x v="0"/>
  </r>
  <r>
    <x v="4"/>
    <n v="15.1"/>
    <n v="354.2"/>
    <n v="75.2"/>
    <n v="24.97"/>
    <n v="1"/>
    <n v="1.48"/>
    <n v="20"/>
    <n v="60.8"/>
    <n v="2.46"/>
    <n v="25.166666666666671"/>
    <n v="354.2"/>
    <n v="94"/>
    <n v="62.424999999999997"/>
    <n v="2.5"/>
    <n v="74"/>
    <n v="354"/>
    <x v="2"/>
    <x v="3"/>
  </r>
  <r>
    <x v="0"/>
    <n v="144.80000000000001"/>
    <n v="102.9"/>
    <n v="77.599999999999994"/>
    <n v="15.83"/>
    <n v="54.7"/>
    <n v="2.99"/>
    <n v="12.1"/>
    <n v="32.4"/>
    <n v="4.03"/>
    <n v="241.33333333333329"/>
    <n v="102.9"/>
    <n v="96.999999999999986"/>
    <n v="39.575000000000003"/>
    <n v="136.75"/>
    <n v="149.5"/>
    <n v="241"/>
    <x v="0"/>
    <x v="0"/>
  </r>
  <r>
    <x v="1"/>
    <n v="139.9"/>
    <n v="150.19999999999999"/>
    <n v="152"/>
    <n v="17.16"/>
    <n v="78.2"/>
    <n v="2.48"/>
    <n v="34.4"/>
    <n v="91.6"/>
    <n v="2.2000000000000002"/>
    <n v="233.16666666666671"/>
    <n v="150.19999999999999"/>
    <n v="190"/>
    <n v="42.9"/>
    <n v="195.5"/>
    <n v="124"/>
    <n v="233"/>
    <x v="0"/>
    <x v="0"/>
  </r>
  <r>
    <x v="2"/>
    <n v="135.5"/>
    <n v="241.3"/>
    <n v="110"/>
    <n v="4.83"/>
    <n v="48.9"/>
    <n v="2.79"/>
    <n v="7.7"/>
    <n v="38.700000000000003"/>
    <n v="0.2"/>
    <n v="225.83333333333329"/>
    <n v="241.3"/>
    <n v="137.5"/>
    <n v="12.074999999999999"/>
    <n v="122.25"/>
    <n v="139.5"/>
    <n v="241"/>
    <x v="0"/>
    <x v="3"/>
  </r>
  <r>
    <x v="3"/>
    <n v="83.1"/>
    <n v="260.89999999999998"/>
    <n v="120.1"/>
    <n v="13.39"/>
    <n v="72.599999999999994"/>
    <n v="0.6"/>
    <n v="8.1"/>
    <n v="59"/>
    <n v="2.96"/>
    <n v="138.5"/>
    <n v="260.89999999999998"/>
    <n v="150.125"/>
    <n v="33.475000000000001"/>
    <n v="181.5"/>
    <n v="30"/>
    <n v="261"/>
    <x v="0"/>
    <x v="3"/>
  </r>
  <r>
    <x v="4"/>
    <n v="103.9"/>
    <n v="5"/>
    <n v="76.099999999999994"/>
    <n v="2.6"/>
    <n v="56.2"/>
    <n v="2.5"/>
    <n v="13.4"/>
    <n v="50.8"/>
    <n v="1.73"/>
    <n v="173.16666666666671"/>
    <n v="5"/>
    <n v="95.124999999999986"/>
    <n v="6.5000000000000009"/>
    <n v="140.5"/>
    <n v="125"/>
    <n v="173"/>
    <x v="1"/>
    <x v="0"/>
  </r>
  <r>
    <x v="0"/>
    <n v="106.9"/>
    <n v="326.2"/>
    <n v="46.5"/>
    <n v="19.36"/>
    <n v="27.7"/>
    <n v="1.33"/>
    <n v="19.3"/>
    <n v="41.4"/>
    <n v="1.84"/>
    <n v="178.16666666666671"/>
    <n v="326.2"/>
    <n v="58.125"/>
    <n v="48.4"/>
    <n v="69.249999999999986"/>
    <n v="66.5"/>
    <n v="326"/>
    <x v="2"/>
    <x v="3"/>
  </r>
  <r>
    <x v="1"/>
    <n v="48.1"/>
    <n v="475.8"/>
    <n v="91.4"/>
    <n v="9"/>
    <n v="51"/>
    <n v="2.27"/>
    <n v="18.5"/>
    <n v="71.099999999999994"/>
    <n v="3.41"/>
    <n v="80.166666666666657"/>
    <n v="475.8"/>
    <n v="114.25"/>
    <n v="22.5"/>
    <n v="127.5"/>
    <n v="113.5"/>
    <n v="476"/>
    <x v="2"/>
    <x v="3"/>
  </r>
  <r>
    <x v="2"/>
    <n v="67"/>
    <n v="129.9"/>
    <n v="60"/>
    <n v="0.5"/>
    <n v="1.8"/>
    <n v="3.07"/>
    <n v="31.5"/>
    <n v="55.5"/>
    <n v="3.19"/>
    <n v="111.6666666666667"/>
    <n v="129.9"/>
    <n v="75"/>
    <n v="1.25"/>
    <n v="4.5000000000000009"/>
    <n v="153.5"/>
    <n v="154"/>
    <x v="1"/>
    <x v="4"/>
  </r>
  <r>
    <x v="3"/>
    <n v="110.9"/>
    <n v="487.6"/>
    <n v="107.8"/>
    <n v="11.78"/>
    <n v="14.5"/>
    <n v="0.38"/>
    <n v="21.4"/>
    <n v="46.4"/>
    <n v="0.79"/>
    <n v="184.83333333333329"/>
    <n v="487.6"/>
    <n v="134.75"/>
    <n v="29.45"/>
    <n v="36.25"/>
    <n v="19"/>
    <n v="488"/>
    <x v="2"/>
    <x v="3"/>
  </r>
  <r>
    <x v="4"/>
    <n v="71.5"/>
    <n v="97"/>
    <n v="138.6"/>
    <n v="21.84"/>
    <n v="39.4"/>
    <n v="3.67"/>
    <n v="20.5"/>
    <n v="44.5"/>
    <n v="4.83"/>
    <n v="119.1666666666667"/>
    <n v="97"/>
    <n v="173.25"/>
    <n v="54.6"/>
    <n v="98.499999999999986"/>
    <n v="183.5"/>
    <n v="184"/>
    <x v="1"/>
    <x v="4"/>
  </r>
  <r>
    <x v="0"/>
    <n v="140.1"/>
    <n v="106.3"/>
    <n v="75.8"/>
    <n v="6.66"/>
    <n v="5.6"/>
    <n v="3.23"/>
    <n v="33.4"/>
    <n v="34.799999999999997"/>
    <n v="3.18"/>
    <n v="233.5"/>
    <n v="106.3"/>
    <n v="94.75"/>
    <n v="16.649999999999999"/>
    <n v="14"/>
    <n v="161.5"/>
    <n v="233"/>
    <x v="0"/>
    <x v="0"/>
  </r>
  <r>
    <x v="1"/>
    <n v="81"/>
    <n v="181.5"/>
    <n v="66.3"/>
    <n v="7.36"/>
    <n v="46.4"/>
    <n v="1.4"/>
    <n v="21.9"/>
    <n v="59.1"/>
    <n v="2.21"/>
    <n v="135"/>
    <n v="181.5"/>
    <n v="82.874999999999986"/>
    <n v="18.399999999999999"/>
    <n v="116"/>
    <n v="69.999999999999986"/>
    <n v="182"/>
    <x v="1"/>
    <x v="3"/>
  </r>
  <r>
    <x v="2"/>
    <n v="49.8"/>
    <n v="129.80000000000001"/>
    <n v="91.4"/>
    <n v="15.97"/>
    <n v="13.3"/>
    <n v="1.91"/>
    <n v="25.3"/>
    <n v="30"/>
    <n v="3.15"/>
    <n v="82.999999999999986"/>
    <n v="129.80000000000001"/>
    <n v="114.25"/>
    <n v="39.924999999999997"/>
    <n v="33.25"/>
    <n v="95.5"/>
    <n v="130"/>
    <x v="1"/>
    <x v="3"/>
  </r>
  <r>
    <x v="3"/>
    <n v="64.2"/>
    <n v="246.8"/>
    <n v="47.6"/>
    <n v="0.5"/>
    <n v="1"/>
    <n v="1.97"/>
    <n v="21.8"/>
    <n v="43.7"/>
    <n v="3.27"/>
    <n v="107"/>
    <n v="246.8"/>
    <n v="59.500000000000007"/>
    <n v="1.25"/>
    <n v="2.5"/>
    <n v="98.5"/>
    <n v="247"/>
    <x v="0"/>
    <x v="3"/>
  </r>
  <r>
    <x v="4"/>
    <n v="17.899999999999999"/>
    <n v="204.2"/>
    <n v="36.6"/>
    <n v="8.34"/>
    <n v="40.799999999999997"/>
    <n v="1.2"/>
    <n v="17.3"/>
    <n v="78.099999999999994"/>
    <n v="2.31"/>
    <n v="29.833333333333329"/>
    <n v="204.2"/>
    <n v="45.75"/>
    <n v="20.85"/>
    <n v="102"/>
    <n v="60"/>
    <n v="204"/>
    <x v="0"/>
    <x v="3"/>
  </r>
  <r>
    <x v="0"/>
    <n v="156.5"/>
    <n v="96.1"/>
    <n v="102.3"/>
    <n v="27.98"/>
    <n v="1"/>
    <n v="1.33"/>
    <n v="24"/>
    <n v="56.3"/>
    <n v="2.95"/>
    <n v="260.83333333333331"/>
    <n v="96.1"/>
    <n v="127.875"/>
    <n v="69.95"/>
    <n v="2.5"/>
    <n v="66.5"/>
    <n v="261"/>
    <x v="0"/>
    <x v="0"/>
  </r>
  <r>
    <x v="1"/>
    <n v="83.8"/>
    <n v="250.4"/>
    <n v="83.8"/>
    <n v="27.68"/>
    <n v="52.2"/>
    <n v="2.81"/>
    <n v="17.100000000000001"/>
    <n v="51.2"/>
    <n v="1.98"/>
    <n v="139.66666666666671"/>
    <n v="250.4"/>
    <n v="104.75"/>
    <n v="69.2"/>
    <n v="130.5"/>
    <n v="140.5"/>
    <n v="250"/>
    <x v="0"/>
    <x v="3"/>
  </r>
  <r>
    <x v="2"/>
    <n v="109.2"/>
    <n v="144"/>
    <n v="77.2"/>
    <n v="27.93"/>
    <n v="52.8"/>
    <n v="1.53"/>
    <n v="28.4"/>
    <n v="52.7"/>
    <n v="0.2"/>
    <n v="182"/>
    <n v="144"/>
    <n v="96.5"/>
    <n v="69.825000000000003"/>
    <n v="132"/>
    <n v="76.5"/>
    <n v="182"/>
    <x v="1"/>
    <x v="0"/>
  </r>
  <r>
    <x v="3"/>
    <n v="47.6"/>
    <n v="12.4"/>
    <n v="60.8"/>
    <n v="12.95"/>
    <n v="73.7"/>
    <n v="2.23"/>
    <n v="18.5"/>
    <n v="74.900000000000006"/>
    <n v="0.2"/>
    <n v="79.333333333333343"/>
    <n v="12.4"/>
    <n v="76"/>
    <n v="32.375"/>
    <n v="184.25"/>
    <n v="111.5"/>
    <n v="184"/>
    <x v="1"/>
    <x v="2"/>
  </r>
  <r>
    <x v="4"/>
    <n v="118"/>
    <n v="292.60000000000002"/>
    <n v="27.2"/>
    <n v="24.15"/>
    <n v="48"/>
    <n v="1.67"/>
    <n v="24.4"/>
    <n v="100"/>
    <n v="3.22"/>
    <n v="196.66666666666671"/>
    <n v="292.60000000000002"/>
    <n v="34"/>
    <n v="60.375"/>
    <n v="120"/>
    <n v="83.499999999999986"/>
    <n v="293"/>
    <x v="0"/>
    <x v="3"/>
  </r>
  <r>
    <x v="0"/>
    <n v="124.1"/>
    <n v="170.1"/>
    <n v="51.5"/>
    <n v="22.36"/>
    <n v="19.2"/>
    <n v="2.29"/>
    <n v="16.7"/>
    <n v="68.599999999999994"/>
    <n v="2.9"/>
    <n v="206.83333333333329"/>
    <n v="170.1"/>
    <n v="64.375"/>
    <n v="55.9"/>
    <n v="48"/>
    <n v="114.5"/>
    <n v="207"/>
    <x v="0"/>
    <x v="0"/>
  </r>
  <r>
    <x v="1"/>
    <n v="182.3"/>
    <n v="178.8"/>
    <n v="79.2"/>
    <n v="6.21"/>
    <n v="32.5"/>
    <n v="2.85"/>
    <n v="25.3"/>
    <n v="43.4"/>
    <n v="3.54"/>
    <n v="303.83333333333343"/>
    <n v="178.8"/>
    <n v="99"/>
    <n v="15.525"/>
    <n v="81.25"/>
    <n v="142.5"/>
    <n v="304"/>
    <x v="2"/>
    <x v="0"/>
  </r>
  <r>
    <x v="2"/>
    <n v="153"/>
    <n v="220.1"/>
    <n v="125.5"/>
    <n v="6.28"/>
    <n v="7.6"/>
    <n v="0.2"/>
    <n v="30.5"/>
    <n v="71.8"/>
    <n v="2.4300000000000002"/>
    <n v="255"/>
    <n v="220.1"/>
    <n v="156.875"/>
    <n v="15.7"/>
    <n v="19"/>
    <n v="10"/>
    <n v="255"/>
    <x v="0"/>
    <x v="0"/>
  </r>
  <r>
    <x v="3"/>
    <n v="109.4"/>
    <n v="84"/>
    <n v="150.30000000000001"/>
    <n v="13.83"/>
    <n v="38.5"/>
    <n v="2.62"/>
    <n v="23.4"/>
    <n v="64"/>
    <n v="1.55"/>
    <n v="182.33333333333329"/>
    <n v="84"/>
    <n v="187.875"/>
    <n v="34.575000000000003"/>
    <n v="96.25"/>
    <n v="131"/>
    <n v="188"/>
    <x v="1"/>
    <x v="1"/>
  </r>
  <r>
    <x v="4"/>
    <n v="130.5"/>
    <n v="409.9"/>
    <n v="126.6"/>
    <n v="28.1"/>
    <n v="26.9"/>
    <n v="1.07"/>
    <n v="19.100000000000001"/>
    <n v="61"/>
    <n v="4.3099999999999996"/>
    <n v="217.5"/>
    <n v="409.9"/>
    <n v="158.25"/>
    <n v="70.25"/>
    <n v="67.249999999999986"/>
    <n v="53.500000000000007"/>
    <n v="410"/>
    <x v="2"/>
    <x v="3"/>
  </r>
  <r>
    <x v="0"/>
    <n v="17"/>
    <n v="389.7"/>
    <n v="77"/>
    <n v="10.79"/>
    <n v="15.2"/>
    <n v="0.38"/>
    <n v="25.8"/>
    <n v="61.3"/>
    <n v="0.95"/>
    <n v="28.333333333333329"/>
    <n v="389.7"/>
    <n v="96.25"/>
    <n v="26.975000000000001"/>
    <n v="38"/>
    <n v="19"/>
    <n v="390"/>
    <x v="2"/>
    <x v="3"/>
  </r>
  <r>
    <x v="1"/>
    <n v="42.3"/>
    <n v="199.7"/>
    <n v="156.80000000000001"/>
    <n v="13.4"/>
    <n v="2.7"/>
    <n v="2.11"/>
    <n v="18.100000000000001"/>
    <n v="11.5"/>
    <n v="2.4300000000000002"/>
    <n v="70.5"/>
    <n v="199.7"/>
    <n v="196"/>
    <n v="33.5"/>
    <n v="6.7500000000000009"/>
    <n v="105.5"/>
    <n v="200"/>
    <x v="1"/>
    <x v="3"/>
  </r>
  <r>
    <x v="2"/>
    <n v="80.7"/>
    <n v="245.9"/>
    <n v="124.6"/>
    <n v="20.72"/>
    <n v="28.5"/>
    <n v="0.81"/>
    <n v="38"/>
    <n v="61.1"/>
    <n v="2.52"/>
    <n v="134.5"/>
    <n v="245.9"/>
    <n v="155.75"/>
    <n v="51.8"/>
    <n v="71.25"/>
    <n v="40.5"/>
    <n v="246"/>
    <x v="0"/>
    <x v="3"/>
  </r>
  <r>
    <x v="3"/>
    <n v="94.8"/>
    <n v="211"/>
    <n v="67.400000000000006"/>
    <n v="8.2100000000000009"/>
    <n v="23.7"/>
    <n v="1.89"/>
    <n v="16.2"/>
    <n v="47.2"/>
    <n v="2.63"/>
    <n v="158"/>
    <n v="211"/>
    <n v="84.25"/>
    <n v="20.524999999999999"/>
    <n v="59.25"/>
    <n v="94.5"/>
    <n v="211"/>
    <x v="0"/>
    <x v="3"/>
  </r>
  <r>
    <x v="4"/>
    <n v="92.1"/>
    <n v="370"/>
    <n v="2"/>
    <n v="23.69"/>
    <n v="70.400000000000006"/>
    <n v="0.05"/>
    <n v="17.600000000000001"/>
    <n v="53.3"/>
    <n v="1.31"/>
    <n v="153.5"/>
    <n v="370"/>
    <n v="2.5"/>
    <n v="59.225000000000001"/>
    <n v="176"/>
    <n v="2.5"/>
    <n v="370"/>
    <x v="2"/>
    <x v="3"/>
  </r>
  <r>
    <x v="0"/>
    <n v="67.5"/>
    <n v="98.2"/>
    <n v="147.30000000000001"/>
    <n v="23.33"/>
    <n v="74.3"/>
    <n v="3"/>
    <n v="12.1"/>
    <n v="50.6"/>
    <n v="3.09"/>
    <n v="112.5"/>
    <n v="98.2"/>
    <n v="184.125"/>
    <n v="58.325000000000003"/>
    <n v="185.75"/>
    <n v="150"/>
    <n v="186"/>
    <x v="1"/>
    <x v="2"/>
  </r>
  <r>
    <x v="1"/>
    <n v="46.7"/>
    <n v="325.60000000000002"/>
    <n v="80.400000000000006"/>
    <n v="12.25"/>
    <n v="65"/>
    <n v="2.93"/>
    <n v="17.5"/>
    <n v="80.900000000000006"/>
    <n v="1.2"/>
    <n v="77.833333333333343"/>
    <n v="325.60000000000002"/>
    <n v="100.5"/>
    <n v="30.625"/>
    <n v="162.5"/>
    <n v="146.5"/>
    <n v="326"/>
    <x v="2"/>
    <x v="3"/>
  </r>
  <r>
    <x v="2"/>
    <n v="119.3"/>
    <n v="236.5"/>
    <n v="59"/>
    <n v="14.64"/>
    <n v="7.5"/>
    <n v="2.67"/>
    <n v="18.7"/>
    <n v="50.6"/>
    <n v="3.76"/>
    <n v="198.83333333333329"/>
    <n v="236.5"/>
    <n v="73.75"/>
    <n v="36.6"/>
    <n v="18.75"/>
    <n v="133.5"/>
    <n v="236"/>
    <x v="0"/>
    <x v="3"/>
  </r>
  <r>
    <x v="3"/>
    <n v="62.2"/>
    <n v="56.8"/>
    <n v="22.2"/>
    <n v="17.649999999999999"/>
    <n v="7.2"/>
    <n v="3.6"/>
    <n v="5.4"/>
    <n v="90.5"/>
    <n v="2.75"/>
    <n v="103.6666666666667"/>
    <n v="56.8"/>
    <n v="27.75"/>
    <n v="44.125"/>
    <n v="18"/>
    <n v="180"/>
    <n v="180"/>
    <x v="1"/>
    <x v="4"/>
  </r>
  <r>
    <x v="4"/>
    <n v="100.5"/>
    <n v="153.69999999999999"/>
    <n v="93.2"/>
    <n v="13.75"/>
    <n v="66.900000000000006"/>
    <n v="2.23"/>
    <n v="21.1"/>
    <n v="53.5"/>
    <n v="2.93"/>
    <n v="167.5"/>
    <n v="153.69999999999999"/>
    <n v="116.5"/>
    <n v="34.375"/>
    <n v="167.25"/>
    <n v="111.5"/>
    <n v="168"/>
    <x v="1"/>
    <x v="0"/>
  </r>
  <r>
    <x v="0"/>
    <n v="127.4"/>
    <n v="32"/>
    <n v="33.200000000000003"/>
    <n v="21.56"/>
    <n v="45.8"/>
    <n v="2"/>
    <n v="20.100000000000001"/>
    <n v="66.3"/>
    <n v="1.85"/>
    <n v="212.33333333333329"/>
    <n v="32"/>
    <n v="41.5"/>
    <n v="53.9"/>
    <n v="114.5"/>
    <n v="100"/>
    <n v="212"/>
    <x v="0"/>
    <x v="0"/>
  </r>
  <r>
    <x v="1"/>
    <n v="73.3"/>
    <n v="263.5"/>
    <n v="50.9"/>
    <n v="20.079999999999998"/>
    <n v="1"/>
    <n v="3.63"/>
    <n v="23.3"/>
    <n v="64.599999999999994"/>
    <n v="3.68"/>
    <n v="122.1666666666667"/>
    <n v="263.5"/>
    <n v="63.625"/>
    <n v="50.2"/>
    <n v="2.5"/>
    <n v="181.5"/>
    <n v="264"/>
    <x v="0"/>
    <x v="3"/>
  </r>
  <r>
    <x v="2"/>
    <n v="167.1"/>
    <n v="274.89999999999998"/>
    <n v="12.4"/>
    <n v="2.44"/>
    <n v="20.8"/>
    <n v="1.85"/>
    <n v="23.6"/>
    <n v="46.9"/>
    <n v="2.72"/>
    <n v="278.49999999999989"/>
    <n v="274.89999999999998"/>
    <n v="15.5"/>
    <n v="6.1"/>
    <n v="52.000000000000007"/>
    <n v="92.5"/>
    <n v="278"/>
    <x v="0"/>
    <x v="0"/>
  </r>
  <r>
    <x v="3"/>
    <n v="59.7"/>
    <n v="133.30000000000001"/>
    <n v="27"/>
    <n v="5.41"/>
    <n v="5.6"/>
    <n v="0.98"/>
    <n v="27.4"/>
    <n v="42.9"/>
    <n v="5.66"/>
    <n v="99.5"/>
    <n v="133.30000000000001"/>
    <n v="33.75"/>
    <n v="13.525"/>
    <n v="14"/>
    <n v="49"/>
    <n v="133"/>
    <x v="1"/>
    <x v="3"/>
  </r>
  <r>
    <x v="4"/>
    <n v="131.6"/>
    <n v="230.7"/>
    <n v="49"/>
    <n v="20.239999999999998"/>
    <n v="25.4"/>
    <n v="2.2400000000000002"/>
    <n v="37.9"/>
    <n v="58.3"/>
    <n v="4.38"/>
    <n v="219.33333333333329"/>
    <n v="230.7"/>
    <n v="61.25"/>
    <n v="50.6"/>
    <n v="63.5"/>
    <n v="112"/>
    <n v="231"/>
    <x v="0"/>
    <x v="3"/>
  </r>
  <r>
    <x v="0"/>
    <n v="71.599999999999994"/>
    <n v="216.9"/>
    <n v="148"/>
    <n v="8.9499999999999993"/>
    <n v="88.3"/>
    <n v="2.99"/>
    <n v="16.100000000000001"/>
    <n v="71.400000000000006"/>
    <n v="3.67"/>
    <n v="119.3333333333333"/>
    <n v="216.9"/>
    <n v="185"/>
    <n v="22.375"/>
    <n v="220.75"/>
    <n v="149.5"/>
    <n v="221"/>
    <x v="0"/>
    <x v="2"/>
  </r>
  <r>
    <x v="1"/>
    <n v="157.30000000000001"/>
    <n v="51.6"/>
    <n v="60.9"/>
    <n v="13.52"/>
    <n v="42.9"/>
    <n v="3.14"/>
    <n v="21.2"/>
    <n v="36"/>
    <n v="2.96"/>
    <n v="262.16666666666669"/>
    <n v="51.6"/>
    <n v="76.125"/>
    <n v="33.799999999999997"/>
    <n v="107.25"/>
    <n v="157"/>
    <n v="262"/>
    <x v="0"/>
    <x v="0"/>
  </r>
  <r>
    <x v="2"/>
    <n v="119"/>
    <n v="233.5"/>
    <n v="101.3"/>
    <n v="18.5"/>
    <n v="44"/>
    <n v="1.76"/>
    <n v="8.4"/>
    <n v="67.7"/>
    <n v="2.75"/>
    <n v="198.33333333333329"/>
    <n v="233.5"/>
    <n v="126.625"/>
    <n v="46.25"/>
    <n v="110"/>
    <n v="88"/>
    <n v="234"/>
    <x v="0"/>
    <x v="3"/>
  </r>
  <r>
    <x v="3"/>
    <n v="109"/>
    <n v="69.400000000000006"/>
    <n v="37.4"/>
    <n v="21.23"/>
    <n v="35.1"/>
    <n v="2.57"/>
    <n v="20.2"/>
    <n v="60.5"/>
    <n v="3.63"/>
    <n v="181.66666666666671"/>
    <n v="69.400000000000006"/>
    <n v="46.75"/>
    <n v="53.075000000000003"/>
    <n v="87.750000000000014"/>
    <n v="128.5"/>
    <n v="182"/>
    <x v="1"/>
    <x v="0"/>
  </r>
  <r>
    <x v="4"/>
    <n v="78.400000000000006"/>
    <n v="221.4"/>
    <n v="62.9"/>
    <n v="10.26"/>
    <n v="31.9"/>
    <n v="2.35"/>
    <n v="16.600000000000001"/>
    <n v="82.6"/>
    <n v="1.93"/>
    <n v="130.66666666666671"/>
    <n v="221.4"/>
    <n v="78.625"/>
    <n v="25.65"/>
    <n v="79.75"/>
    <n v="117.5"/>
    <n v="221"/>
    <x v="0"/>
    <x v="3"/>
  </r>
  <r>
    <x v="0"/>
    <n v="100.1"/>
    <n v="172.3"/>
    <n v="136"/>
    <n v="16.53"/>
    <n v="68.099999999999994"/>
    <n v="0.56999999999999995"/>
    <n v="21.9"/>
    <n v="76"/>
    <n v="2.6"/>
    <n v="166.83333333333329"/>
    <n v="172.3"/>
    <n v="170"/>
    <n v="41.325000000000003"/>
    <n v="170.25"/>
    <n v="28.5"/>
    <n v="172"/>
    <x v="1"/>
    <x v="3"/>
  </r>
  <r>
    <x v="1"/>
    <n v="183.9"/>
    <n v="177.9"/>
    <n v="146.4"/>
    <n v="38.99"/>
    <n v="34.799999999999997"/>
    <n v="1.87"/>
    <n v="30.2"/>
    <n v="88.4"/>
    <n v="1.87"/>
    <n v="306.5"/>
    <n v="177.9"/>
    <n v="183"/>
    <n v="97.475000000000009"/>
    <n v="87"/>
    <n v="93.5"/>
    <n v="306"/>
    <x v="2"/>
    <x v="0"/>
  </r>
  <r>
    <x v="2"/>
    <n v="72"/>
    <n v="156.69999999999999"/>
    <n v="27.5"/>
    <n v="5.18"/>
    <n v="12.7"/>
    <n v="1.1200000000000001"/>
    <n v="19.8"/>
    <n v="64.2"/>
    <n v="4.3600000000000003"/>
    <n v="120"/>
    <n v="156.69999999999999"/>
    <n v="34.375"/>
    <n v="12.95"/>
    <n v="31.75"/>
    <n v="56.000000000000007"/>
    <n v="157"/>
    <x v="1"/>
    <x v="3"/>
  </r>
  <r>
    <x v="3"/>
    <n v="48.1"/>
    <n v="286.5"/>
    <n v="65.2"/>
    <n v="12.4"/>
    <n v="51.2"/>
    <n v="0.84"/>
    <n v="22.7"/>
    <n v="63"/>
    <n v="3.09"/>
    <n v="80.166666666666657"/>
    <n v="286.5"/>
    <n v="81.5"/>
    <n v="31"/>
    <n v="128"/>
    <n v="41.999999999999993"/>
    <n v="286"/>
    <x v="0"/>
    <x v="3"/>
  </r>
  <r>
    <x v="4"/>
    <n v="120.9"/>
    <n v="470.5"/>
    <n v="56.8"/>
    <n v="9.41"/>
    <n v="24.2"/>
    <n v="1.53"/>
    <n v="15.5"/>
    <n v="81.400000000000006"/>
    <n v="4.7"/>
    <n v="201.5"/>
    <n v="470.5"/>
    <n v="71"/>
    <n v="23.524999999999999"/>
    <n v="60.5"/>
    <n v="76.5"/>
    <n v="470"/>
    <x v="2"/>
    <x v="3"/>
  </r>
  <r>
    <x v="0"/>
    <n v="78.900000000000006"/>
    <n v="128.9"/>
    <n v="100.1"/>
    <n v="9.64"/>
    <n v="57.8"/>
    <n v="2.4300000000000002"/>
    <n v="9.4"/>
    <n v="87.9"/>
    <n v="4.66"/>
    <n v="131.5"/>
    <n v="128.9"/>
    <n v="125.125"/>
    <n v="24.1"/>
    <n v="144.5"/>
    <n v="121.5"/>
    <n v="144"/>
    <x v="1"/>
    <x v="2"/>
  </r>
  <r>
    <x v="1"/>
    <n v="83.2"/>
    <n v="193.5"/>
    <n v="101.4"/>
    <n v="19.34"/>
    <n v="63.5"/>
    <n v="4.8099999999999996"/>
    <n v="18.8"/>
    <n v="45.6"/>
    <n v="0.84"/>
    <n v="138.66666666666671"/>
    <n v="193.5"/>
    <n v="126.75"/>
    <n v="48.349999999999987"/>
    <n v="158.75"/>
    <n v="240.5"/>
    <n v="240"/>
    <x v="0"/>
    <x v="4"/>
  </r>
  <r>
    <x v="2"/>
    <n v="57.9"/>
    <n v="179.4"/>
    <n v="123"/>
    <n v="8.23"/>
    <n v="39"/>
    <n v="1.81"/>
    <n v="28.3"/>
    <n v="100"/>
    <n v="1.86"/>
    <n v="96.5"/>
    <n v="179.4"/>
    <n v="153.75"/>
    <n v="20.574999999999999"/>
    <n v="97.5"/>
    <n v="90.5"/>
    <n v="179"/>
    <x v="1"/>
    <x v="3"/>
  </r>
  <r>
    <x v="3"/>
    <n v="72.5"/>
    <n v="292.2"/>
    <n v="93.8"/>
    <n v="27.57"/>
    <n v="49.1"/>
    <n v="1.58"/>
    <n v="24.1"/>
    <n v="80"/>
    <n v="3.48"/>
    <n v="120.8333333333333"/>
    <n v="292.2"/>
    <n v="117.25"/>
    <n v="68.924999999999997"/>
    <n v="122.75"/>
    <n v="79"/>
    <n v="292"/>
    <x v="0"/>
    <x v="3"/>
  </r>
  <r>
    <x v="4"/>
    <n v="132.4"/>
    <n v="323.8"/>
    <n v="120.4"/>
    <n v="26.24"/>
    <n v="55.7"/>
    <n v="1.94"/>
    <n v="21"/>
    <n v="81.7"/>
    <n v="2.02"/>
    <n v="220.66666666666671"/>
    <n v="323.8"/>
    <n v="150.5"/>
    <n v="65.599999999999994"/>
    <n v="139.25"/>
    <n v="97"/>
    <n v="324"/>
    <x v="2"/>
    <x v="3"/>
  </r>
  <r>
    <x v="0"/>
    <n v="130.80000000000001"/>
    <n v="177.4"/>
    <n v="83.9"/>
    <n v="26.48"/>
    <n v="46.3"/>
    <n v="2.2599999999999998"/>
    <n v="10.5"/>
    <n v="73.400000000000006"/>
    <n v="3.27"/>
    <n v="218"/>
    <n v="177.4"/>
    <n v="104.875"/>
    <n v="66.199999999999989"/>
    <n v="115.75"/>
    <n v="113"/>
    <n v="218"/>
    <x v="0"/>
    <x v="0"/>
  </r>
  <r>
    <x v="1"/>
    <n v="249.8"/>
    <n v="203.1"/>
    <n v="98.8"/>
    <n v="18.489999999999998"/>
    <n v="89.4"/>
    <n v="2.29"/>
    <n v="22"/>
    <n v="70.900000000000006"/>
    <n v="2.72"/>
    <n v="416.33333333333331"/>
    <n v="203.1"/>
    <n v="123.5"/>
    <n v="46.224999999999987"/>
    <n v="223.5"/>
    <n v="114.5"/>
    <n v="416"/>
    <x v="2"/>
    <x v="0"/>
  </r>
  <r>
    <x v="2"/>
    <n v="70.8"/>
    <n v="200.1"/>
    <n v="101"/>
    <n v="4.3600000000000003"/>
    <n v="37"/>
    <n v="1.19"/>
    <n v="28.4"/>
    <n v="32.6"/>
    <n v="1.83"/>
    <n v="118"/>
    <n v="200.1"/>
    <n v="126.25"/>
    <n v="10.9"/>
    <n v="92.5"/>
    <n v="59.5"/>
    <n v="200"/>
    <x v="1"/>
    <x v="3"/>
  </r>
  <r>
    <x v="3"/>
    <n v="114.1"/>
    <n v="342.3"/>
    <n v="69.900000000000006"/>
    <n v="8.36"/>
    <n v="78.3"/>
    <n v="0.53"/>
    <n v="4.5999999999999996"/>
    <n v="67.900000000000006"/>
    <n v="1.9"/>
    <n v="190.16666666666671"/>
    <n v="342.3"/>
    <n v="87.375000000000014"/>
    <n v="20.9"/>
    <n v="195.75"/>
    <n v="26.5"/>
    <n v="342"/>
    <x v="2"/>
    <x v="3"/>
  </r>
  <r>
    <x v="4"/>
    <n v="51.7"/>
    <n v="286"/>
    <n v="87.8"/>
    <n v="9.1199999999999992"/>
    <n v="7.9"/>
    <n v="3.03"/>
    <n v="24.6"/>
    <n v="58.2"/>
    <n v="5.22"/>
    <n v="86.166666666666671"/>
    <n v="286"/>
    <n v="109.75"/>
    <n v="22.8"/>
    <n v="19.75"/>
    <n v="151.5"/>
    <n v="286"/>
    <x v="0"/>
    <x v="3"/>
  </r>
  <r>
    <x v="0"/>
    <n v="51.3"/>
    <n v="52.4"/>
    <n v="57.3"/>
    <n v="14.3"/>
    <n v="47.7"/>
    <n v="1.94"/>
    <n v="22.5"/>
    <n v="37.5"/>
    <n v="4.2300000000000004"/>
    <n v="85.499999999999986"/>
    <n v="52.4"/>
    <n v="71.625"/>
    <n v="35.750000000000007"/>
    <n v="119.25"/>
    <n v="97"/>
    <n v="119"/>
    <x v="1"/>
    <x v="2"/>
  </r>
  <r>
    <x v="1"/>
    <n v="115.1"/>
    <n v="374.1"/>
    <n v="103.7"/>
    <n v="20.57"/>
    <n v="61"/>
    <n v="2.94"/>
    <n v="24.5"/>
    <n v="83.9"/>
    <n v="2.74"/>
    <n v="191.83333333333329"/>
    <n v="374.1"/>
    <n v="129.625"/>
    <n v="51.424999999999997"/>
    <n v="152.5"/>
    <n v="147"/>
    <n v="374"/>
    <x v="2"/>
    <x v="3"/>
  </r>
  <r>
    <x v="2"/>
    <n v="123.5"/>
    <n v="174.2"/>
    <n v="112.2"/>
    <n v="7.02"/>
    <n v="72.7"/>
    <n v="1.79"/>
    <n v="10"/>
    <n v="62.3"/>
    <n v="1.68"/>
    <n v="205.83333333333329"/>
    <n v="174.2"/>
    <n v="140.25"/>
    <n v="17.55"/>
    <n v="181.75"/>
    <n v="89.5"/>
    <n v="206"/>
    <x v="0"/>
    <x v="0"/>
  </r>
  <r>
    <x v="3"/>
    <n v="136.4"/>
    <n v="129.30000000000001"/>
    <n v="57.7"/>
    <n v="0.5"/>
    <n v="25.8"/>
    <n v="0.05"/>
    <n v="8.9"/>
    <n v="73.7"/>
    <n v="3.44"/>
    <n v="227.33333333333329"/>
    <n v="129.30000000000001"/>
    <n v="72.125000000000014"/>
    <n v="1.25"/>
    <n v="64.5"/>
    <n v="2.5"/>
    <n v="227"/>
    <x v="0"/>
    <x v="0"/>
  </r>
  <r>
    <x v="4"/>
    <n v="128.1"/>
    <n v="109.1"/>
    <n v="77.5"/>
    <n v="14.05"/>
    <n v="10.9"/>
    <n v="3.7"/>
    <n v="26.1"/>
    <n v="56"/>
    <n v="3.03"/>
    <n v="213.5"/>
    <n v="109.1"/>
    <n v="96.875"/>
    <n v="35.125"/>
    <n v="27.25"/>
    <n v="185"/>
    <n v="214"/>
    <x v="0"/>
    <x v="0"/>
  </r>
  <r>
    <x v="0"/>
    <n v="121.9"/>
    <n v="5"/>
    <n v="73.7"/>
    <n v="8.4499999999999993"/>
    <n v="15.5"/>
    <n v="1.9"/>
    <n v="32.6"/>
    <n v="71.5"/>
    <n v="1.81"/>
    <n v="203.16666666666671"/>
    <n v="5"/>
    <n v="92.125"/>
    <n v="21.125"/>
    <n v="38.75"/>
    <n v="95"/>
    <n v="203"/>
    <x v="0"/>
    <x v="0"/>
  </r>
  <r>
    <x v="1"/>
    <n v="154.4"/>
    <n v="407.9"/>
    <n v="127"/>
    <n v="16.600000000000001"/>
    <n v="26.8"/>
    <n v="3.24"/>
    <n v="22.8"/>
    <n v="76.099999999999994"/>
    <n v="3.26"/>
    <n v="257.33333333333343"/>
    <n v="407.9"/>
    <n v="158.75"/>
    <n v="41.5"/>
    <n v="67"/>
    <n v="162"/>
    <n v="408"/>
    <x v="2"/>
    <x v="3"/>
  </r>
  <r>
    <x v="2"/>
    <n v="139.1"/>
    <n v="133.6"/>
    <n v="108.4"/>
    <n v="13.66"/>
    <n v="78.599999999999994"/>
    <n v="1.2"/>
    <n v="32.200000000000003"/>
    <n v="63.6"/>
    <n v="1.72"/>
    <n v="231.83333333333329"/>
    <n v="133.6"/>
    <n v="135.5"/>
    <n v="34.15"/>
    <n v="196.5"/>
    <n v="60"/>
    <n v="232"/>
    <x v="0"/>
    <x v="0"/>
  </r>
  <r>
    <x v="3"/>
    <n v="72.8"/>
    <n v="161.19999999999999"/>
    <n v="85.6"/>
    <n v="16.98"/>
    <n v="23.1"/>
    <n v="1.9"/>
    <n v="35"/>
    <n v="91.1"/>
    <n v="3.02"/>
    <n v="121.3333333333333"/>
    <n v="161.19999999999999"/>
    <n v="107"/>
    <n v="42.45"/>
    <n v="57.75"/>
    <n v="95"/>
    <n v="161"/>
    <x v="1"/>
    <x v="3"/>
  </r>
  <r>
    <x v="4"/>
    <n v="107.6"/>
    <n v="223.9"/>
    <n v="100.8"/>
    <n v="5.08"/>
    <n v="33.200000000000003"/>
    <n v="0.35"/>
    <n v="22.8"/>
    <n v="71.599999999999994"/>
    <n v="2.42"/>
    <n v="179.33333333333329"/>
    <n v="223.9"/>
    <n v="126"/>
    <n v="12.7"/>
    <n v="83"/>
    <n v="17.5"/>
    <n v="224"/>
    <x v="0"/>
    <x v="3"/>
  </r>
  <r>
    <x v="0"/>
    <n v="197.3"/>
    <n v="85.5"/>
    <n v="28.9"/>
    <n v="16.78"/>
    <n v="68.5"/>
    <n v="4.07"/>
    <n v="16.8"/>
    <n v="79.400000000000006"/>
    <n v="2.4500000000000002"/>
    <n v="328.83333333333343"/>
    <n v="85.5"/>
    <n v="36.125"/>
    <n v="41.95"/>
    <n v="171.25"/>
    <n v="203.5"/>
    <n v="329"/>
    <x v="2"/>
    <x v="0"/>
  </r>
  <r>
    <x v="1"/>
    <n v="109.6"/>
    <n v="346"/>
    <n v="116.1"/>
    <n v="0.5"/>
    <n v="86.5"/>
    <n v="4.0599999999999996"/>
    <n v="15.6"/>
    <n v="67.099999999999994"/>
    <n v="3.09"/>
    <n v="182.66666666666671"/>
    <n v="346"/>
    <n v="145.125"/>
    <n v="1.25"/>
    <n v="216.25"/>
    <n v="203"/>
    <n v="346"/>
    <x v="2"/>
    <x v="3"/>
  </r>
  <r>
    <x v="2"/>
    <n v="103.1"/>
    <n v="132.19999999999999"/>
    <n v="48"/>
    <n v="11.97"/>
    <n v="59.3"/>
    <n v="2.3199999999999998"/>
    <n v="17.399999999999999"/>
    <n v="73.900000000000006"/>
    <n v="0.2"/>
    <n v="171.83333333333329"/>
    <n v="132.19999999999999"/>
    <n v="60"/>
    <n v="29.925000000000001"/>
    <n v="148.25"/>
    <n v="116"/>
    <n v="172"/>
    <x v="1"/>
    <x v="0"/>
  </r>
  <r>
    <x v="3"/>
    <n v="151.1"/>
    <n v="25"/>
    <n v="60.4"/>
    <n v="3.84"/>
    <n v="6.9"/>
    <n v="3.03"/>
    <n v="16.7"/>
    <n v="66.2"/>
    <n v="2.44"/>
    <n v="251.83333333333329"/>
    <n v="25"/>
    <n v="75.5"/>
    <n v="9.6"/>
    <n v="17.25"/>
    <n v="151.5"/>
    <n v="252"/>
    <x v="0"/>
    <x v="0"/>
  </r>
  <r>
    <x v="4"/>
    <n v="130.80000000000001"/>
    <n v="219.3"/>
    <n v="34"/>
    <n v="22.85"/>
    <n v="27.4"/>
    <n v="0.47"/>
    <n v="17"/>
    <n v="87"/>
    <n v="4.0199999999999996"/>
    <n v="218"/>
    <n v="219.3"/>
    <n v="42.5"/>
    <n v="57.125"/>
    <n v="68.499999999999986"/>
    <n v="23.5"/>
    <n v="219"/>
    <x v="0"/>
    <x v="3"/>
  </r>
  <r>
    <x v="0"/>
    <n v="91.2"/>
    <n v="182.2"/>
    <n v="71"/>
    <n v="33.83"/>
    <n v="51.3"/>
    <n v="2.68"/>
    <n v="27.2"/>
    <n v="64.3"/>
    <n v="2.19"/>
    <n v="152"/>
    <n v="182.2"/>
    <n v="88.75"/>
    <n v="84.575000000000003"/>
    <n v="128.25"/>
    <n v="134"/>
    <n v="182"/>
    <x v="1"/>
    <x v="3"/>
  </r>
  <r>
    <x v="1"/>
    <n v="108.2"/>
    <n v="231.4"/>
    <n v="88.5"/>
    <n v="23.28"/>
    <n v="46.5"/>
    <n v="3.28"/>
    <n v="19.399999999999999"/>
    <n v="61.4"/>
    <n v="0.2"/>
    <n v="180.33333333333329"/>
    <n v="231.4"/>
    <n v="110.625"/>
    <n v="58.2"/>
    <n v="116.25"/>
    <n v="164"/>
    <n v="231"/>
    <x v="0"/>
    <x v="3"/>
  </r>
  <r>
    <x v="2"/>
    <n v="133"/>
    <n v="214"/>
    <n v="98.7"/>
    <n v="0.5"/>
    <n v="78.8"/>
    <n v="1.7"/>
    <n v="27.8"/>
    <n v="41.3"/>
    <n v="3.24"/>
    <n v="221.66666666666671"/>
    <n v="214"/>
    <n v="123.375"/>
    <n v="1.25"/>
    <n v="197"/>
    <n v="84.999999999999986"/>
    <n v="222"/>
    <x v="0"/>
    <x v="0"/>
  </r>
  <r>
    <x v="3"/>
    <n v="45.4"/>
    <n v="132.1"/>
    <n v="133.19999999999999"/>
    <n v="11.27"/>
    <n v="40.9"/>
    <n v="2.76"/>
    <n v="23.5"/>
    <n v="62.7"/>
    <n v="2.94"/>
    <n v="75.666666666666657"/>
    <n v="132.1"/>
    <n v="166.5"/>
    <n v="28.175000000000001"/>
    <n v="102.25"/>
    <n v="138"/>
    <n v="166"/>
    <x v="1"/>
    <x v="1"/>
  </r>
  <r>
    <x v="4"/>
    <n v="232.5"/>
    <n v="205.1"/>
    <n v="86.3"/>
    <n v="23.33"/>
    <n v="67"/>
    <n v="3.37"/>
    <n v="24.5"/>
    <n v="39.4"/>
    <n v="4.96"/>
    <n v="387.5"/>
    <n v="205.1"/>
    <n v="107.875"/>
    <n v="58.325000000000003"/>
    <n v="167.5"/>
    <n v="168.5"/>
    <n v="388"/>
    <x v="2"/>
    <x v="0"/>
  </r>
  <r>
    <x v="0"/>
    <n v="47.1"/>
    <n v="254.2"/>
    <n v="55"/>
    <n v="14.13"/>
    <n v="49.9"/>
    <n v="2.56"/>
    <n v="23"/>
    <n v="89"/>
    <n v="3.04"/>
    <n v="78.5"/>
    <n v="254.2"/>
    <n v="68.75"/>
    <n v="35.325000000000003"/>
    <n v="124.75"/>
    <n v="128"/>
    <n v="254"/>
    <x v="0"/>
    <x v="3"/>
  </r>
  <r>
    <x v="1"/>
    <n v="105.4"/>
    <n v="355.7"/>
    <n v="137.6"/>
    <n v="3.72"/>
    <n v="61.8"/>
    <n v="3.24"/>
    <n v="17.899999999999999"/>
    <n v="84.8"/>
    <n v="2.3199999999999998"/>
    <n v="175.66666666666671"/>
    <n v="355.7"/>
    <n v="172"/>
    <n v="9.3000000000000007"/>
    <n v="154.5"/>
    <n v="162"/>
    <n v="356"/>
    <x v="2"/>
    <x v="3"/>
  </r>
  <r>
    <x v="2"/>
    <n v="96.9"/>
    <n v="166.6"/>
    <n v="68.900000000000006"/>
    <n v="3.83"/>
    <n v="3.4"/>
    <n v="3.28"/>
    <n v="14.1"/>
    <n v="42.2"/>
    <n v="0.2"/>
    <n v="161.5"/>
    <n v="166.6"/>
    <n v="86.125"/>
    <n v="9.5749999999999993"/>
    <n v="8.5"/>
    <n v="164"/>
    <n v="167"/>
    <x v="1"/>
    <x v="3"/>
  </r>
  <r>
    <x v="3"/>
    <n v="65.3"/>
    <n v="65"/>
    <n v="124.5"/>
    <n v="20.88"/>
    <n v="20.5"/>
    <n v="4.08"/>
    <n v="26.9"/>
    <n v="54.2"/>
    <n v="0.2"/>
    <n v="108.8333333333333"/>
    <n v="65"/>
    <n v="155.625"/>
    <n v="52.2"/>
    <n v="51.25"/>
    <n v="204"/>
    <n v="204"/>
    <x v="0"/>
    <x v="4"/>
  </r>
  <r>
    <x v="4"/>
    <n v="226.6"/>
    <n v="64.5"/>
    <n v="21.3"/>
    <n v="23.08"/>
    <n v="100"/>
    <n v="3.57"/>
    <n v="23.9"/>
    <n v="70.7"/>
    <n v="4.0199999999999996"/>
    <n v="377.66666666666657"/>
    <n v="64.5"/>
    <n v="26.625"/>
    <n v="57.7"/>
    <n v="250"/>
    <n v="178.5"/>
    <n v="378"/>
    <x v="2"/>
    <x v="0"/>
  </r>
  <r>
    <x v="0"/>
    <n v="152.30000000000001"/>
    <n v="251.8"/>
    <n v="86.6"/>
    <n v="14.14"/>
    <n v="21.9"/>
    <n v="1.9"/>
    <n v="8.1"/>
    <n v="58.2"/>
    <n v="1.31"/>
    <n v="253.83333333333329"/>
    <n v="251.8"/>
    <n v="108.25"/>
    <n v="35.35"/>
    <n v="54.749999999999993"/>
    <n v="95"/>
    <n v="254"/>
    <x v="0"/>
    <x v="0"/>
  </r>
  <r>
    <x v="1"/>
    <n v="53.8"/>
    <n v="261.60000000000002"/>
    <n v="145.69999999999999"/>
    <n v="25.18"/>
    <n v="1"/>
    <n v="1.21"/>
    <n v="26.6"/>
    <n v="42.3"/>
    <n v="2.23"/>
    <n v="89.666666666666657"/>
    <n v="261.60000000000002"/>
    <n v="182.125"/>
    <n v="62.95"/>
    <n v="2.5"/>
    <n v="60.5"/>
    <n v="262"/>
    <x v="0"/>
    <x v="3"/>
  </r>
  <r>
    <x v="2"/>
    <n v="116.3"/>
    <n v="94.1"/>
    <n v="71.599999999999994"/>
    <n v="2.02"/>
    <n v="21.3"/>
    <n v="2.12"/>
    <n v="8.8000000000000007"/>
    <n v="67.900000000000006"/>
    <n v="2.48"/>
    <n v="193.83333333333329"/>
    <n v="94.1"/>
    <n v="89.5"/>
    <n v="5.05"/>
    <n v="53.25"/>
    <n v="106"/>
    <n v="194"/>
    <x v="1"/>
    <x v="0"/>
  </r>
  <r>
    <x v="3"/>
    <n v="122.5"/>
    <n v="213.5"/>
    <n v="115.7"/>
    <n v="13.8"/>
    <n v="26.3"/>
    <n v="2.04"/>
    <n v="23.8"/>
    <n v="60.9"/>
    <n v="2.5499999999999998"/>
    <n v="204.16666666666671"/>
    <n v="213.5"/>
    <n v="144.625"/>
    <n v="34.5"/>
    <n v="65.75"/>
    <n v="102"/>
    <n v="214"/>
    <x v="0"/>
    <x v="3"/>
  </r>
  <r>
    <x v="4"/>
    <n v="68.5"/>
    <n v="141.19999999999999"/>
    <n v="29.8"/>
    <n v="29.48"/>
    <n v="8.8000000000000007"/>
    <n v="1.38"/>
    <n v="15"/>
    <n v="76.099999999999994"/>
    <n v="2.65"/>
    <n v="114.1666666666667"/>
    <n v="141.19999999999999"/>
    <n v="37.25"/>
    <n v="73.7"/>
    <n v="22"/>
    <n v="68.999999999999986"/>
    <n v="141"/>
    <x v="1"/>
    <x v="3"/>
  </r>
  <r>
    <x v="0"/>
    <n v="179.3"/>
    <n v="146.4"/>
    <n v="93.1"/>
    <n v="7.03"/>
    <n v="96.9"/>
    <n v="0.9"/>
    <n v="22.2"/>
    <n v="71.400000000000006"/>
    <n v="3"/>
    <n v="298.83333333333331"/>
    <n v="146.4"/>
    <n v="116.375"/>
    <n v="17.574999999999999"/>
    <n v="242.25"/>
    <n v="45"/>
    <n v="299"/>
    <x v="0"/>
    <x v="0"/>
  </r>
  <r>
    <x v="1"/>
    <n v="108.9"/>
    <n v="224.4"/>
    <n v="91.8"/>
    <n v="14.53"/>
    <n v="72.099999999999994"/>
    <n v="5.05"/>
    <n v="16.100000000000001"/>
    <n v="35.299999999999997"/>
    <n v="2.39"/>
    <n v="181.5"/>
    <n v="224.4"/>
    <n v="114.75"/>
    <n v="36.325000000000003"/>
    <n v="180.25"/>
    <n v="252.5"/>
    <n v="252"/>
    <x v="0"/>
    <x v="4"/>
  </r>
  <r>
    <x v="2"/>
    <n v="208.8"/>
    <n v="109.1"/>
    <n v="118.2"/>
    <n v="24.91"/>
    <n v="22.4"/>
    <n v="2.34"/>
    <n v="31.4"/>
    <n v="53.2"/>
    <n v="2.2599999999999998"/>
    <n v="348.00000000000011"/>
    <n v="109.1"/>
    <n v="147.75"/>
    <n v="62.274999999999999"/>
    <n v="55.999999999999993"/>
    <n v="117"/>
    <n v="348"/>
    <x v="2"/>
    <x v="0"/>
  </r>
  <r>
    <x v="3"/>
    <n v="68.099999999999994"/>
    <n v="94.6"/>
    <n v="51.2"/>
    <n v="3.01"/>
    <n v="36.799999999999997"/>
    <n v="1.18"/>
    <n v="21.6"/>
    <n v="32"/>
    <n v="2.9"/>
    <n v="113.5"/>
    <n v="94.6"/>
    <n v="64"/>
    <n v="7.5249999999999986"/>
    <n v="92"/>
    <n v="59"/>
    <n v="113"/>
    <x v="1"/>
    <x v="0"/>
  </r>
  <r>
    <x v="4"/>
    <n v="149.6"/>
    <n v="5"/>
    <n v="92.4"/>
    <n v="24.88"/>
    <n v="9.6999999999999993"/>
    <n v="3.88"/>
    <n v="22.9"/>
    <n v="47.3"/>
    <n v="2.93"/>
    <n v="249.33333333333329"/>
    <n v="5"/>
    <n v="115.5"/>
    <n v="62.2"/>
    <n v="24.25"/>
    <n v="194"/>
    <n v="249"/>
    <x v="0"/>
    <x v="0"/>
  </r>
  <r>
    <x v="0"/>
    <n v="141.19999999999999"/>
    <n v="229.2"/>
    <n v="102.6"/>
    <n v="6.25"/>
    <n v="45.8"/>
    <n v="0.65"/>
    <n v="19.2"/>
    <n v="43.7"/>
    <n v="1.62"/>
    <n v="235.33333333333329"/>
    <n v="229.2"/>
    <n v="128.25"/>
    <n v="15.625"/>
    <n v="114.5"/>
    <n v="32.5"/>
    <n v="235"/>
    <x v="0"/>
    <x v="0"/>
  </r>
  <r>
    <x v="1"/>
    <n v="194.2"/>
    <n v="371"/>
    <n v="114.4"/>
    <n v="5.08"/>
    <n v="36.1"/>
    <n v="3.86"/>
    <n v="21"/>
    <n v="100"/>
    <n v="2.97"/>
    <n v="323.66666666666669"/>
    <n v="371"/>
    <n v="143"/>
    <n v="12.7"/>
    <n v="90.25"/>
    <n v="193"/>
    <n v="371"/>
    <x v="2"/>
    <x v="3"/>
  </r>
  <r>
    <x v="2"/>
    <n v="100"/>
    <n v="154.19999999999999"/>
    <n v="72.5"/>
    <n v="11"/>
    <n v="49.3"/>
    <n v="2.7"/>
    <n v="14.5"/>
    <n v="36"/>
    <n v="0.3"/>
    <n v="166.66666666666671"/>
    <n v="154.19999999999999"/>
    <n v="90.625"/>
    <n v="27.5"/>
    <n v="123.25"/>
    <n v="135"/>
    <n v="167"/>
    <x v="1"/>
    <x v="0"/>
  </r>
  <r>
    <x v="3"/>
    <n v="120.4"/>
    <n v="86.1"/>
    <n v="3.1"/>
    <n v="15.91"/>
    <n v="92.1"/>
    <n v="1.91"/>
    <n v="25.9"/>
    <n v="61.5"/>
    <n v="2.38"/>
    <n v="200.66666666666671"/>
    <n v="86.1"/>
    <n v="3.875"/>
    <n v="39.774999999999999"/>
    <n v="230.25"/>
    <n v="95.5"/>
    <n v="230"/>
    <x v="0"/>
    <x v="2"/>
  </r>
  <r>
    <x v="4"/>
    <n v="154.1"/>
    <n v="180.5"/>
    <n v="88.6"/>
    <n v="16.91"/>
    <n v="23.1"/>
    <n v="3.16"/>
    <n v="18.8"/>
    <n v="46.4"/>
    <n v="3.64"/>
    <n v="256.83333333333331"/>
    <n v="180.5"/>
    <n v="110.75"/>
    <n v="42.274999999999999"/>
    <n v="57.75"/>
    <n v="158"/>
    <n v="257"/>
    <x v="0"/>
    <x v="0"/>
  </r>
  <r>
    <x v="0"/>
    <n v="60.8"/>
    <n v="223.9"/>
    <n v="82.5"/>
    <n v="24.71"/>
    <n v="53.7"/>
    <n v="2.1800000000000002"/>
    <n v="25.7"/>
    <n v="85"/>
    <n v="3.17"/>
    <n v="101.3333333333333"/>
    <n v="223.9"/>
    <n v="103.125"/>
    <n v="61.775000000000013"/>
    <n v="134.25"/>
    <n v="109"/>
    <n v="224"/>
    <x v="0"/>
    <x v="3"/>
  </r>
  <r>
    <x v="1"/>
    <n v="120.6"/>
    <n v="82.6"/>
    <n v="47.4"/>
    <n v="12.95"/>
    <n v="27.9"/>
    <n v="2.1800000000000002"/>
    <n v="20.399999999999999"/>
    <n v="69.5"/>
    <n v="2.42"/>
    <n v="201"/>
    <n v="82.6"/>
    <n v="59.25"/>
    <n v="32.375"/>
    <n v="69.749999999999986"/>
    <n v="109"/>
    <n v="201"/>
    <x v="0"/>
    <x v="0"/>
  </r>
  <r>
    <x v="2"/>
    <n v="113.4"/>
    <n v="188.3"/>
    <n v="8.3000000000000007"/>
    <n v="5.0199999999999996"/>
    <n v="31.1"/>
    <n v="0.72"/>
    <n v="24.2"/>
    <n v="87.6"/>
    <n v="3.96"/>
    <n v="189"/>
    <n v="188.3"/>
    <n v="10.375"/>
    <n v="12.55"/>
    <n v="77.75"/>
    <n v="36"/>
    <n v="189"/>
    <x v="1"/>
    <x v="0"/>
  </r>
  <r>
    <x v="3"/>
    <n v="85.8"/>
    <n v="335.1"/>
    <n v="76.8"/>
    <n v="10.1"/>
    <n v="22.2"/>
    <n v="1.63"/>
    <n v="17.3"/>
    <n v="63.1"/>
    <n v="2.69"/>
    <n v="143"/>
    <n v="335.1"/>
    <n v="96"/>
    <n v="25.25"/>
    <n v="55.5"/>
    <n v="81.499999999999986"/>
    <n v="335"/>
    <x v="2"/>
    <x v="3"/>
  </r>
  <r>
    <x v="4"/>
    <n v="105.8"/>
    <n v="257.3"/>
    <n v="121.1"/>
    <n v="22.44"/>
    <n v="2.8"/>
    <n v="0.05"/>
    <n v="26.5"/>
    <n v="35.4"/>
    <n v="2.73"/>
    <n v="176.33333333333329"/>
    <n v="257.3"/>
    <n v="151.375"/>
    <n v="56.1"/>
    <n v="6.9999999999999991"/>
    <n v="2.5"/>
    <n v="257"/>
    <x v="0"/>
    <x v="3"/>
  </r>
  <r>
    <x v="0"/>
    <n v="45.8"/>
    <n v="21.9"/>
    <n v="102.7"/>
    <n v="21.7"/>
    <n v="26.5"/>
    <n v="0.05"/>
    <n v="16.2"/>
    <n v="67.099999999999994"/>
    <n v="0.73"/>
    <n v="76.333333333333329"/>
    <n v="21.9"/>
    <n v="128.375"/>
    <n v="54.25"/>
    <n v="66.25"/>
    <n v="2.5"/>
    <n v="128"/>
    <x v="1"/>
    <x v="1"/>
  </r>
  <r>
    <x v="1"/>
    <n v="131"/>
    <n v="238.2"/>
    <n v="113.2"/>
    <n v="17.2"/>
    <n v="17.600000000000001"/>
    <n v="3.84"/>
    <n v="18.899999999999999"/>
    <n v="59.5"/>
    <n v="1.38"/>
    <n v="218.33333333333329"/>
    <n v="238.2"/>
    <n v="141.5"/>
    <n v="43"/>
    <n v="44.000000000000007"/>
    <n v="192"/>
    <n v="238"/>
    <x v="0"/>
    <x v="3"/>
  </r>
  <r>
    <x v="2"/>
    <n v="71"/>
    <n v="101.7"/>
    <n v="63.1"/>
    <n v="25.17"/>
    <n v="4.9000000000000004"/>
    <n v="0.35"/>
    <n v="30.3"/>
    <n v="56.2"/>
    <n v="1.7"/>
    <n v="118.3333333333333"/>
    <n v="101.7"/>
    <n v="78.875"/>
    <n v="62.925000000000011"/>
    <n v="12.25"/>
    <n v="17.5"/>
    <n v="118"/>
    <x v="1"/>
    <x v="0"/>
  </r>
  <r>
    <x v="3"/>
    <n v="145.9"/>
    <n v="133.9"/>
    <n v="130.4"/>
    <n v="18.22"/>
    <n v="25"/>
    <n v="3.99"/>
    <n v="15.8"/>
    <n v="73.400000000000006"/>
    <n v="2.86"/>
    <n v="243.16666666666671"/>
    <n v="133.9"/>
    <n v="163"/>
    <n v="45.55"/>
    <n v="62.5"/>
    <n v="199.5"/>
    <n v="243"/>
    <x v="0"/>
    <x v="0"/>
  </r>
  <r>
    <x v="4"/>
    <n v="174.3"/>
    <n v="376.1"/>
    <n v="80.3"/>
    <n v="7.45"/>
    <n v="51"/>
    <n v="1.4"/>
    <n v="34.1"/>
    <n v="62.5"/>
    <n v="2.56"/>
    <n v="290.50000000000011"/>
    <n v="376.1"/>
    <n v="100.375"/>
    <n v="18.625"/>
    <n v="127.5"/>
    <n v="69.999999999999986"/>
    <n v="376"/>
    <x v="2"/>
    <x v="3"/>
  </r>
  <r>
    <x v="0"/>
    <n v="120.6"/>
    <n v="72.099999999999994"/>
    <n v="47"/>
    <n v="25.76"/>
    <n v="24.4"/>
    <n v="1.05"/>
    <n v="28.8"/>
    <n v="81.3"/>
    <n v="3.36"/>
    <n v="201"/>
    <n v="72.099999999999994"/>
    <n v="58.75"/>
    <n v="64.400000000000006"/>
    <n v="61"/>
    <n v="52.500000000000007"/>
    <n v="201"/>
    <x v="0"/>
    <x v="0"/>
  </r>
  <r>
    <x v="1"/>
    <n v="179.8"/>
    <n v="149.19999999999999"/>
    <n v="33.1"/>
    <n v="31.01"/>
    <n v="35.9"/>
    <n v="2.1"/>
    <n v="34.299999999999997"/>
    <n v="70"/>
    <n v="3.05"/>
    <n v="299.66666666666669"/>
    <n v="149.19999999999999"/>
    <n v="41.375"/>
    <n v="77.525000000000006"/>
    <n v="89.75"/>
    <n v="105"/>
    <n v="300"/>
    <x v="0"/>
    <x v="0"/>
  </r>
  <r>
    <x v="2"/>
    <n v="189.9"/>
    <n v="123.7"/>
    <n v="96.6"/>
    <n v="12.59"/>
    <n v="39.9"/>
    <n v="3.22"/>
    <n v="28.6"/>
    <n v="69.7"/>
    <n v="3.79"/>
    <n v="316.5"/>
    <n v="123.7"/>
    <n v="120.75"/>
    <n v="31.475000000000001"/>
    <n v="99.749999999999986"/>
    <n v="161"/>
    <n v="316"/>
    <x v="2"/>
    <x v="0"/>
  </r>
  <r>
    <x v="3"/>
    <n v="78.5"/>
    <n v="111.4"/>
    <n v="38.6"/>
    <n v="0.5"/>
    <n v="82.3"/>
    <n v="0.86"/>
    <n v="23.5"/>
    <n v="55"/>
    <n v="2.87"/>
    <n v="130.83333333333329"/>
    <n v="111.4"/>
    <n v="48.25"/>
    <n v="1.25"/>
    <n v="205.75"/>
    <n v="43"/>
    <n v="206"/>
    <x v="0"/>
    <x v="2"/>
  </r>
  <r>
    <x v="4"/>
    <n v="148.69999999999999"/>
    <n v="302.10000000000002"/>
    <n v="58.7"/>
    <n v="12.61"/>
    <n v="46.6"/>
    <n v="1.85"/>
    <n v="36.299999999999997"/>
    <n v="68.8"/>
    <n v="3.88"/>
    <n v="247.83333333333329"/>
    <n v="302.10000000000002"/>
    <n v="73.375000000000014"/>
    <n v="31.524999999999999"/>
    <n v="116.5"/>
    <n v="92.5"/>
    <n v="302"/>
    <x v="2"/>
    <x v="3"/>
  </r>
  <r>
    <x v="0"/>
    <n v="147"/>
    <n v="350.4"/>
    <n v="89.5"/>
    <n v="2.79"/>
    <n v="51.7"/>
    <n v="1.49"/>
    <n v="21.3"/>
    <n v="70.599999999999994"/>
    <n v="3.99"/>
    <n v="245"/>
    <n v="350.4"/>
    <n v="111.875"/>
    <n v="6.9750000000000014"/>
    <n v="129.25"/>
    <n v="74.5"/>
    <n v="350"/>
    <x v="2"/>
    <x v="3"/>
  </r>
  <r>
    <x v="1"/>
    <n v="121.3"/>
    <n v="277.10000000000002"/>
    <n v="158.1"/>
    <n v="18.41"/>
    <n v="118.2"/>
    <n v="3.08"/>
    <n v="12.7"/>
    <n v="73.599999999999994"/>
    <n v="2.96"/>
    <n v="202.16666666666671"/>
    <n v="277.10000000000002"/>
    <n v="197.625"/>
    <n v="46.025000000000013"/>
    <n v="295.5"/>
    <n v="154"/>
    <n v="296"/>
    <x v="0"/>
    <x v="2"/>
  </r>
  <r>
    <x v="2"/>
    <n v="150"/>
    <n v="243.8"/>
    <n v="64.2"/>
    <n v="2.86"/>
    <n v="29.7"/>
    <n v="1.05"/>
    <n v="20.9"/>
    <n v="70.599999999999994"/>
    <n v="4.5"/>
    <n v="250"/>
    <n v="243.8"/>
    <n v="80.25"/>
    <n v="7.15"/>
    <n v="74.25"/>
    <n v="52.500000000000007"/>
    <n v="250"/>
    <x v="0"/>
    <x v="0"/>
  </r>
  <r>
    <x v="3"/>
    <n v="114.9"/>
    <n v="77.2"/>
    <n v="86.2"/>
    <n v="22.37"/>
    <n v="22.3"/>
    <n v="1.79"/>
    <n v="25.1"/>
    <n v="45.9"/>
    <n v="3.28"/>
    <n v="191.5"/>
    <n v="77.2"/>
    <n v="107.75"/>
    <n v="55.924999999999997"/>
    <n v="55.75"/>
    <n v="89.5"/>
    <n v="192"/>
    <x v="1"/>
    <x v="0"/>
  </r>
  <r>
    <x v="4"/>
    <n v="99.2"/>
    <n v="255.5"/>
    <n v="48"/>
    <n v="10.23"/>
    <n v="57.5"/>
    <n v="1.72"/>
    <n v="37.1"/>
    <n v="52.8"/>
    <n v="3.27"/>
    <n v="165.33333333333329"/>
    <n v="255.5"/>
    <n v="60"/>
    <n v="25.574999999999999"/>
    <n v="143.75"/>
    <n v="86"/>
    <n v="256"/>
    <x v="0"/>
    <x v="3"/>
  </r>
  <r>
    <x v="0"/>
    <n v="161.9"/>
    <n v="64.2"/>
    <n v="18"/>
    <n v="0.68"/>
    <n v="74.099999999999994"/>
    <n v="1.6"/>
    <n v="42.9"/>
    <n v="49.8"/>
    <n v="2.72"/>
    <n v="269.83333333333343"/>
    <n v="64.2"/>
    <n v="22.5"/>
    <n v="1.7"/>
    <n v="185.25"/>
    <n v="80"/>
    <n v="270"/>
    <x v="0"/>
    <x v="0"/>
  </r>
  <r>
    <x v="1"/>
    <n v="212.5"/>
    <n v="480.7"/>
    <n v="172.5"/>
    <n v="28.08"/>
    <n v="73.8"/>
    <n v="3.11"/>
    <n v="30.4"/>
    <n v="50.1"/>
    <n v="1.52"/>
    <n v="354.16666666666669"/>
    <n v="480.7"/>
    <n v="215.625"/>
    <n v="70.2"/>
    <n v="184.5"/>
    <n v="155.5"/>
    <n v="481"/>
    <x v="2"/>
    <x v="3"/>
  </r>
  <r>
    <x v="2"/>
    <n v="91"/>
    <n v="166.9"/>
    <n v="54.6"/>
    <n v="17.45"/>
    <n v="54.6"/>
    <n v="1.9"/>
    <n v="35.299999999999997"/>
    <n v="39.4"/>
    <n v="2.27"/>
    <n v="151.66666666666671"/>
    <n v="166.9"/>
    <n v="68.25"/>
    <n v="43.625"/>
    <n v="136.5"/>
    <n v="95"/>
    <n v="167"/>
    <x v="1"/>
    <x v="3"/>
  </r>
  <r>
    <x v="3"/>
    <n v="61.6"/>
    <n v="12.8"/>
    <n v="69.400000000000006"/>
    <n v="11.83"/>
    <n v="70.099999999999994"/>
    <n v="2.5299999999999998"/>
    <n v="17.8"/>
    <n v="93.4"/>
    <n v="3.97"/>
    <n v="102.6666666666667"/>
    <n v="12.8"/>
    <n v="86.750000000000014"/>
    <n v="29.574999999999999"/>
    <n v="175.25"/>
    <n v="126.5"/>
    <n v="175"/>
    <x v="1"/>
    <x v="2"/>
  </r>
  <r>
    <x v="4"/>
    <n v="136.30000000000001"/>
    <n v="187.3"/>
    <n v="45.4"/>
    <n v="10.8"/>
    <n v="66.5"/>
    <n v="4.0999999999999996"/>
    <n v="35.799999999999997"/>
    <n v="51.2"/>
    <n v="1.66"/>
    <n v="227.16666666666671"/>
    <n v="187.3"/>
    <n v="56.749999999999993"/>
    <n v="27"/>
    <n v="166.25"/>
    <n v="205"/>
    <n v="227"/>
    <x v="0"/>
    <x v="0"/>
  </r>
  <r>
    <x v="0"/>
    <n v="118.2"/>
    <n v="25.6"/>
    <n v="94.7"/>
    <n v="13.36"/>
    <n v="29.3"/>
    <n v="0.45"/>
    <n v="28.6"/>
    <n v="50.4"/>
    <n v="1.1000000000000001"/>
    <n v="197"/>
    <n v="25.6"/>
    <n v="118.375"/>
    <n v="33.4"/>
    <n v="73.25"/>
    <n v="22.5"/>
    <n v="197"/>
    <x v="1"/>
    <x v="0"/>
  </r>
  <r>
    <x v="1"/>
    <n v="2"/>
    <n v="236.7"/>
    <n v="160.9"/>
    <n v="32.61"/>
    <n v="32.1"/>
    <n v="1.68"/>
    <n v="28.3"/>
    <n v="42"/>
    <n v="2.86"/>
    <n v="3.333333333333333"/>
    <n v="236.7"/>
    <n v="201.125"/>
    <n v="81.525000000000006"/>
    <n v="80.25"/>
    <n v="83.999999999999986"/>
    <n v="237"/>
    <x v="0"/>
    <x v="3"/>
  </r>
  <r>
    <x v="2"/>
    <n v="126.1"/>
    <n v="294.3"/>
    <n v="65.400000000000006"/>
    <n v="10.61"/>
    <n v="15.4"/>
    <n v="1.07"/>
    <n v="23.4"/>
    <n v="66.599999999999994"/>
    <n v="3.6"/>
    <n v="210.16666666666671"/>
    <n v="294.3"/>
    <n v="81.75"/>
    <n v="26.524999999999999"/>
    <n v="38.5"/>
    <n v="53.500000000000007"/>
    <n v="294"/>
    <x v="0"/>
    <x v="3"/>
  </r>
  <r>
    <x v="3"/>
    <n v="57.4"/>
    <n v="335.3"/>
    <n v="63.3"/>
    <n v="12.63"/>
    <n v="19.2"/>
    <n v="0.05"/>
    <n v="31.2"/>
    <n v="73.3"/>
    <n v="2.16"/>
    <n v="95.666666666666657"/>
    <n v="335.3"/>
    <n v="79.125"/>
    <n v="31.574999999999999"/>
    <n v="48"/>
    <n v="2.5"/>
    <n v="335"/>
    <x v="2"/>
    <x v="3"/>
  </r>
  <r>
    <x v="4"/>
    <n v="109.1"/>
    <n v="265.7"/>
    <n v="24.2"/>
    <n v="9.42"/>
    <n v="59.3"/>
    <n v="0.79"/>
    <n v="27.1"/>
    <n v="35.6"/>
    <n v="3.56"/>
    <n v="181.83333333333329"/>
    <n v="265.7"/>
    <n v="30.25"/>
    <n v="23.55"/>
    <n v="148.25"/>
    <n v="39.5"/>
    <n v="266"/>
    <x v="0"/>
    <x v="3"/>
  </r>
  <r>
    <x v="0"/>
    <n v="108.4"/>
    <n v="42.5"/>
    <n v="125.7"/>
    <n v="7.96"/>
    <n v="20.399999999999999"/>
    <n v="2.4300000000000002"/>
    <n v="33"/>
    <n v="41.7"/>
    <n v="2.57"/>
    <n v="180.66666666666671"/>
    <n v="42.5"/>
    <n v="157.125"/>
    <n v="19.899999999999999"/>
    <n v="51"/>
    <n v="121.5"/>
    <n v="181"/>
    <x v="1"/>
    <x v="0"/>
  </r>
  <r>
    <x v="1"/>
    <n v="145.69999999999999"/>
    <n v="323.2"/>
    <n v="97.1"/>
    <n v="12.33"/>
    <n v="21.7"/>
    <n v="2.5"/>
    <n v="17.5"/>
    <n v="10"/>
    <n v="3.02"/>
    <n v="242.83333333333329"/>
    <n v="323.2"/>
    <n v="121.375"/>
    <n v="30.824999999999999"/>
    <n v="54.25"/>
    <n v="125"/>
    <n v="323"/>
    <x v="2"/>
    <x v="3"/>
  </r>
  <r>
    <x v="2"/>
    <n v="132.4"/>
    <n v="5"/>
    <n v="37.700000000000003"/>
    <n v="16.87"/>
    <n v="78.2"/>
    <n v="1.84"/>
    <n v="19.899999999999999"/>
    <n v="56.7"/>
    <n v="4.1500000000000004"/>
    <n v="220.66666666666671"/>
    <n v="5"/>
    <n v="47.125"/>
    <n v="42.174999999999997"/>
    <n v="195.5"/>
    <n v="92"/>
    <n v="221"/>
    <x v="0"/>
    <x v="0"/>
  </r>
  <r>
    <x v="3"/>
    <n v="65"/>
    <n v="115.3"/>
    <n v="56.6"/>
    <n v="5.17"/>
    <n v="38.799999999999997"/>
    <n v="3.48"/>
    <n v="27.3"/>
    <n v="55.5"/>
    <n v="2.15"/>
    <n v="108.3333333333333"/>
    <n v="115.3"/>
    <n v="70.750000000000014"/>
    <n v="12.925000000000001"/>
    <n v="96.999999999999986"/>
    <n v="174"/>
    <n v="174"/>
    <x v="1"/>
    <x v="4"/>
  </r>
  <r>
    <x v="4"/>
    <n v="23.1"/>
    <n v="304.5"/>
    <n v="76.5"/>
    <n v="12.49"/>
    <n v="118.6"/>
    <n v="2.4300000000000002"/>
    <n v="19.7"/>
    <n v="52.3"/>
    <n v="4.38"/>
    <n v="38.5"/>
    <n v="304.5"/>
    <n v="95.625"/>
    <n v="31.225000000000001"/>
    <n v="296.5"/>
    <n v="121.5"/>
    <n v="304"/>
    <x v="2"/>
    <x v="3"/>
  </r>
  <r>
    <x v="0"/>
    <n v="116.7"/>
    <n v="62"/>
    <n v="116.6"/>
    <n v="8.57"/>
    <n v="89.9"/>
    <n v="3.4"/>
    <n v="21.9"/>
    <n v="83.1"/>
    <n v="2.58"/>
    <n v="194.5"/>
    <n v="62"/>
    <n v="145.75"/>
    <n v="21.425000000000001"/>
    <n v="224.75"/>
    <n v="170"/>
    <n v="225"/>
    <x v="0"/>
    <x v="2"/>
  </r>
  <r>
    <x v="1"/>
    <n v="171.2"/>
    <n v="298.2"/>
    <n v="56.1"/>
    <n v="9.56"/>
    <n v="74"/>
    <n v="2"/>
    <n v="22.2"/>
    <n v="42.8"/>
    <n v="3.01"/>
    <n v="285.33333333333331"/>
    <n v="298.2"/>
    <n v="70.125"/>
    <n v="23.9"/>
    <n v="185"/>
    <n v="100"/>
    <n v="298"/>
    <x v="0"/>
    <x v="3"/>
  </r>
  <r>
    <x v="2"/>
    <n v="185.3"/>
    <n v="85"/>
    <n v="69.099999999999994"/>
    <n v="22.89"/>
    <n v="32.5"/>
    <n v="2.2400000000000002"/>
    <n v="17.600000000000001"/>
    <n v="67.7"/>
    <n v="2.2799999999999998"/>
    <n v="308.83333333333343"/>
    <n v="85"/>
    <n v="86.375"/>
    <n v="57.225000000000001"/>
    <n v="81.25"/>
    <n v="112"/>
    <n v="309"/>
    <x v="2"/>
    <x v="0"/>
  </r>
  <r>
    <x v="3"/>
    <n v="143.30000000000001"/>
    <n v="306"/>
    <n v="154.9"/>
    <n v="17.440000000000001"/>
    <n v="43.3"/>
    <n v="2.11"/>
    <n v="22.5"/>
    <n v="66.099999999999994"/>
    <n v="2.15"/>
    <n v="238.83333333333329"/>
    <n v="306"/>
    <n v="193.625"/>
    <n v="43.6"/>
    <n v="108.25"/>
    <n v="105.5"/>
    <n v="306"/>
    <x v="2"/>
    <x v="3"/>
  </r>
  <r>
    <x v="4"/>
    <n v="114.5"/>
    <n v="350.3"/>
    <n v="43.8"/>
    <n v="24.11"/>
    <n v="72.2"/>
    <n v="1.99"/>
    <n v="10.1"/>
    <n v="49.1"/>
    <n v="4.5599999999999996"/>
    <n v="190.83333333333329"/>
    <n v="350.3"/>
    <n v="54.749999999999993"/>
    <n v="60.274999999999999"/>
    <n v="180.5"/>
    <n v="99.5"/>
    <n v="350"/>
    <x v="2"/>
    <x v="3"/>
  </r>
  <r>
    <x v="0"/>
    <n v="109.1"/>
    <n v="110.5"/>
    <n v="64.2"/>
    <n v="22.45"/>
    <n v="55.5"/>
    <n v="1.94"/>
    <n v="22.4"/>
    <n v="52.9"/>
    <n v="1.39"/>
    <n v="181.83333333333329"/>
    <n v="110.5"/>
    <n v="80.25"/>
    <n v="56.125"/>
    <n v="138.75"/>
    <n v="97"/>
    <n v="182"/>
    <x v="1"/>
    <x v="0"/>
  </r>
  <r>
    <x v="1"/>
    <n v="216.9"/>
    <n v="201.3"/>
    <n v="138.69999999999999"/>
    <n v="31.21"/>
    <n v="73.099999999999994"/>
    <n v="1.88"/>
    <n v="27.8"/>
    <n v="59.6"/>
    <n v="1.42"/>
    <n v="361.5"/>
    <n v="201.3"/>
    <n v="173.375"/>
    <n v="78.024999999999991"/>
    <n v="182.75"/>
    <n v="94"/>
    <n v="362"/>
    <x v="2"/>
    <x v="0"/>
  </r>
  <r>
    <x v="2"/>
    <n v="106"/>
    <n v="74.900000000000006"/>
    <n v="104.5"/>
    <n v="8.6300000000000008"/>
    <n v="38.5"/>
    <n v="2.08"/>
    <n v="23.2"/>
    <n v="70.599999999999994"/>
    <n v="1.93"/>
    <n v="176.66666666666671"/>
    <n v="74.900000000000006"/>
    <n v="130.625"/>
    <n v="21.574999999999999"/>
    <n v="96.25"/>
    <n v="104"/>
    <n v="177"/>
    <x v="1"/>
    <x v="0"/>
  </r>
  <r>
    <x v="3"/>
    <n v="137.80000000000001"/>
    <n v="62.8"/>
    <n v="76"/>
    <n v="28.31"/>
    <n v="13.5"/>
    <n v="1.27"/>
    <n v="28.6"/>
    <n v="63.2"/>
    <n v="2.92"/>
    <n v="229.66666666666671"/>
    <n v="62.8"/>
    <n v="95"/>
    <n v="70.774999999999991"/>
    <n v="33.75"/>
    <n v="63.5"/>
    <n v="230"/>
    <x v="0"/>
    <x v="0"/>
  </r>
  <r>
    <x v="4"/>
    <n v="131.4"/>
    <n v="278.2"/>
    <n v="118.3"/>
    <n v="17.690000000000001"/>
    <n v="33.6"/>
    <n v="2.82"/>
    <n v="38.299999999999997"/>
    <n v="57.6"/>
    <n v="1.83"/>
    <n v="219"/>
    <n v="278.2"/>
    <n v="147.875"/>
    <n v="44.225000000000001"/>
    <n v="84"/>
    <n v="141"/>
    <n v="278"/>
    <x v="0"/>
    <x v="3"/>
  </r>
  <r>
    <x v="0"/>
    <n v="171.5"/>
    <n v="207.5"/>
    <n v="2.8"/>
    <n v="22.52"/>
    <n v="27.5"/>
    <n v="2.11"/>
    <n v="27.3"/>
    <n v="63.4"/>
    <n v="3.35"/>
    <n v="285.83333333333331"/>
    <n v="207.5"/>
    <n v="3.5"/>
    <n v="56.3"/>
    <n v="68.75"/>
    <n v="105.5"/>
    <n v="286"/>
    <x v="0"/>
    <x v="0"/>
  </r>
  <r>
    <x v="1"/>
    <n v="93.9"/>
    <n v="301.60000000000002"/>
    <n v="79.599999999999994"/>
    <n v="23.39"/>
    <n v="62.3"/>
    <n v="1.28"/>
    <n v="32.6"/>
    <n v="50.4"/>
    <n v="3.47"/>
    <n v="156.5"/>
    <n v="301.60000000000002"/>
    <n v="99.499999999999986"/>
    <n v="58.475000000000001"/>
    <n v="155.75"/>
    <n v="64"/>
    <n v="302"/>
    <x v="2"/>
    <x v="3"/>
  </r>
  <r>
    <x v="2"/>
    <n v="107.9"/>
    <n v="350"/>
    <n v="61.6"/>
    <n v="9.51"/>
    <n v="33.799999999999997"/>
    <n v="1.55"/>
    <n v="30.6"/>
    <n v="30.9"/>
    <n v="1.24"/>
    <n v="179.83333333333329"/>
    <n v="350"/>
    <n v="77"/>
    <n v="23.774999999999999"/>
    <n v="84.499999999999986"/>
    <n v="77.5"/>
    <n v="350"/>
    <x v="2"/>
    <x v="3"/>
  </r>
  <r>
    <x v="3"/>
    <n v="44.7"/>
    <n v="283.2"/>
    <n v="126.7"/>
    <n v="11.96"/>
    <n v="32.200000000000003"/>
    <n v="1.99"/>
    <n v="33.1"/>
    <n v="43.3"/>
    <n v="2.79"/>
    <n v="74.500000000000014"/>
    <n v="283.2"/>
    <n v="158.375"/>
    <n v="29.9"/>
    <n v="80.5"/>
    <n v="99.5"/>
    <n v="283"/>
    <x v="0"/>
    <x v="3"/>
  </r>
  <r>
    <x v="4"/>
    <n v="157.1"/>
    <n v="264.10000000000002"/>
    <n v="85.9"/>
    <n v="22.89"/>
    <n v="1"/>
    <n v="2.83"/>
    <n v="20.399999999999999"/>
    <n v="27"/>
    <n v="3.61"/>
    <n v="261.83333333333331"/>
    <n v="264.10000000000002"/>
    <n v="107.375"/>
    <n v="57.225000000000001"/>
    <n v="2.5"/>
    <n v="141.5"/>
    <n v="264"/>
    <x v="0"/>
    <x v="3"/>
  </r>
  <r>
    <x v="0"/>
    <n v="186.2"/>
    <n v="205.6"/>
    <n v="117.9"/>
    <n v="29.55"/>
    <n v="75.400000000000006"/>
    <n v="4.0199999999999996"/>
    <n v="30.2"/>
    <n v="61.4"/>
    <n v="0.57999999999999996"/>
    <n v="310.33333333333331"/>
    <n v="205.6"/>
    <n v="147.375"/>
    <n v="73.875"/>
    <n v="188.5"/>
    <n v="201"/>
    <n v="310"/>
    <x v="2"/>
    <x v="0"/>
  </r>
  <r>
    <x v="1"/>
    <n v="105.2"/>
    <n v="138.80000000000001"/>
    <n v="176.8"/>
    <n v="14.24"/>
    <n v="48.5"/>
    <n v="3.06"/>
    <n v="25.3"/>
    <n v="90.5"/>
    <n v="1.75"/>
    <n v="175.33333333333329"/>
    <n v="138.80000000000001"/>
    <n v="221"/>
    <n v="35.6"/>
    <n v="121.25"/>
    <n v="153"/>
    <n v="221"/>
    <x v="0"/>
    <x v="1"/>
  </r>
  <r>
    <x v="2"/>
    <n v="100.1"/>
    <n v="114.7"/>
    <n v="28.3"/>
    <n v="7.51"/>
    <n v="33.4"/>
    <n v="1.43"/>
    <n v="20.2"/>
    <n v="34.700000000000003"/>
    <n v="2.4"/>
    <n v="166.83333333333329"/>
    <n v="114.7"/>
    <n v="35.375000000000007"/>
    <n v="18.774999999999999"/>
    <n v="83.499999999999986"/>
    <n v="71.5"/>
    <n v="167"/>
    <x v="1"/>
    <x v="0"/>
  </r>
  <r>
    <x v="3"/>
    <n v="23.8"/>
    <n v="265"/>
    <n v="74.599999999999994"/>
    <n v="1.1399999999999999"/>
    <n v="29"/>
    <n v="1.2"/>
    <n v="27.2"/>
    <n v="84.1"/>
    <n v="0.25"/>
    <n v="39.666666666666671"/>
    <n v="265"/>
    <n v="93.25"/>
    <n v="2.85"/>
    <n v="72.5"/>
    <n v="60"/>
    <n v="265"/>
    <x v="0"/>
    <x v="3"/>
  </r>
  <r>
    <x v="4"/>
    <n v="111.7"/>
    <n v="194.3"/>
    <n v="102.8"/>
    <n v="15.96"/>
    <n v="21"/>
    <n v="1.78"/>
    <n v="19.399999999999999"/>
    <n v="79.400000000000006"/>
    <n v="3.03"/>
    <n v="186.16666666666671"/>
    <n v="194.3"/>
    <n v="128.5"/>
    <n v="39.900000000000013"/>
    <n v="52.5"/>
    <n v="89"/>
    <n v="194"/>
    <x v="1"/>
    <x v="3"/>
  </r>
  <r>
    <x v="0"/>
    <n v="215.3"/>
    <n v="214.1"/>
    <n v="56.7"/>
    <n v="0.79"/>
    <n v="1"/>
    <n v="0.46"/>
    <n v="26.9"/>
    <n v="69.2"/>
    <n v="0.6"/>
    <n v="358.83333333333331"/>
    <n v="214.1"/>
    <n v="70.875000000000014"/>
    <n v="1.9750000000000001"/>
    <n v="2.5"/>
    <n v="23"/>
    <n v="359"/>
    <x v="2"/>
    <x v="0"/>
  </r>
  <r>
    <x v="1"/>
    <n v="173.7"/>
    <n v="182"/>
    <n v="95.9"/>
    <n v="32.119999999999997"/>
    <n v="70.2"/>
    <n v="2.08"/>
    <n v="18.8"/>
    <n v="21.3"/>
    <n v="1.64"/>
    <n v="289.5"/>
    <n v="182"/>
    <n v="119.875"/>
    <n v="80.3"/>
    <n v="175.5"/>
    <n v="104"/>
    <n v="290"/>
    <x v="0"/>
    <x v="0"/>
  </r>
  <r>
    <x v="2"/>
    <n v="81.599999999999994"/>
    <n v="92.4"/>
    <n v="64.400000000000006"/>
    <n v="12.74"/>
    <n v="29.4"/>
    <n v="1.23"/>
    <n v="26.2"/>
    <n v="68"/>
    <n v="1.19"/>
    <n v="136"/>
    <n v="92.4"/>
    <n v="80.5"/>
    <n v="31.85"/>
    <n v="73.5"/>
    <n v="61.5"/>
    <n v="136"/>
    <x v="1"/>
    <x v="0"/>
  </r>
  <r>
    <x v="3"/>
    <n v="163.69999999999999"/>
    <n v="182.5"/>
    <n v="72.599999999999994"/>
    <n v="18.47"/>
    <n v="41.2"/>
    <n v="2.84"/>
    <n v="27"/>
    <n v="49"/>
    <n v="2.93"/>
    <n v="272.83333333333331"/>
    <n v="182.5"/>
    <n v="90.75"/>
    <n v="46.174999999999997"/>
    <n v="103"/>
    <n v="142"/>
    <n v="273"/>
    <x v="0"/>
    <x v="0"/>
  </r>
  <r>
    <x v="4"/>
    <n v="45.2"/>
    <n v="222.7"/>
    <n v="78"/>
    <n v="12.25"/>
    <n v="36.4"/>
    <n v="0.12"/>
    <n v="21.2"/>
    <n v="61.7"/>
    <n v="3.19"/>
    <n v="75.333333333333329"/>
    <n v="222.7"/>
    <n v="97.5"/>
    <n v="30.625"/>
    <n v="91"/>
    <n v="6"/>
    <n v="223"/>
    <x v="0"/>
    <x v="3"/>
  </r>
  <r>
    <x v="0"/>
    <n v="53.7"/>
    <n v="360.5"/>
    <n v="50.9"/>
    <n v="23.64"/>
    <n v="52.5"/>
    <n v="1.49"/>
    <n v="37.4"/>
    <n v="38.5"/>
    <n v="3.6"/>
    <n v="89.500000000000014"/>
    <n v="360.5"/>
    <n v="63.625"/>
    <n v="59.1"/>
    <n v="131.25"/>
    <n v="74.5"/>
    <n v="360"/>
    <x v="2"/>
    <x v="3"/>
  </r>
  <r>
    <x v="1"/>
    <n v="180"/>
    <n v="159.5"/>
    <n v="145.69999999999999"/>
    <n v="13.5"/>
    <n v="53.1"/>
    <n v="2.71"/>
    <n v="24.1"/>
    <n v="74.599999999999994"/>
    <n v="3.45"/>
    <n v="300"/>
    <n v="159.5"/>
    <n v="182.125"/>
    <n v="33.75"/>
    <n v="132.75"/>
    <n v="135.5"/>
    <n v="300"/>
    <x v="0"/>
    <x v="0"/>
  </r>
  <r>
    <x v="2"/>
    <n v="11.5"/>
    <n v="301.39999999999998"/>
    <n v="17.899999999999999"/>
    <n v="20.010000000000002"/>
    <n v="58.3"/>
    <n v="0.83"/>
    <n v="22.1"/>
    <n v="40.1"/>
    <n v="2.2400000000000002"/>
    <n v="19.166666666666661"/>
    <n v="301.39999999999998"/>
    <n v="22.375"/>
    <n v="50.025000000000013"/>
    <n v="145.75"/>
    <n v="41.499999999999993"/>
    <n v="301"/>
    <x v="2"/>
    <x v="3"/>
  </r>
  <r>
    <x v="3"/>
    <n v="81.2"/>
    <n v="266.8"/>
    <n v="113.9"/>
    <n v="23.97"/>
    <n v="23.4"/>
    <n v="1.72"/>
    <n v="13.2"/>
    <n v="45.5"/>
    <n v="3.66"/>
    <n v="135.33333333333329"/>
    <n v="266.8"/>
    <n v="142.375"/>
    <n v="59.924999999999997"/>
    <n v="58.5"/>
    <n v="86"/>
    <n v="267"/>
    <x v="0"/>
    <x v="3"/>
  </r>
  <r>
    <x v="4"/>
    <n v="190.9"/>
    <n v="80.900000000000006"/>
    <n v="58.3"/>
    <n v="13.85"/>
    <n v="46.5"/>
    <n v="1.26"/>
    <n v="28"/>
    <n v="51.5"/>
    <n v="2.98"/>
    <n v="318.16666666666657"/>
    <n v="80.900000000000006"/>
    <n v="72.875"/>
    <n v="34.624999999999993"/>
    <n v="116.25"/>
    <n v="63"/>
    <n v="318"/>
    <x v="2"/>
    <x v="0"/>
  </r>
  <r>
    <x v="0"/>
    <n v="140.6"/>
    <n v="221.5"/>
    <n v="66.7"/>
    <n v="13.71"/>
    <n v="39.1"/>
    <n v="1.8"/>
    <n v="23.2"/>
    <n v="88.8"/>
    <n v="3.17"/>
    <n v="234.33333333333329"/>
    <n v="221.5"/>
    <n v="83.375"/>
    <n v="34.274999999999999"/>
    <n v="97.75"/>
    <n v="90"/>
    <n v="234"/>
    <x v="0"/>
    <x v="0"/>
  </r>
  <r>
    <x v="1"/>
    <n v="102.3"/>
    <n v="323.60000000000002"/>
    <n v="76.599999999999994"/>
    <n v="27.73"/>
    <n v="55.4"/>
    <n v="2.27"/>
    <n v="28.1"/>
    <n v="31.7"/>
    <n v="1.1499999999999999"/>
    <n v="170.5"/>
    <n v="323.60000000000002"/>
    <n v="95.749999999999986"/>
    <n v="69.325000000000003"/>
    <n v="138.5"/>
    <n v="113.5"/>
    <n v="324"/>
    <x v="2"/>
    <x v="3"/>
  </r>
  <r>
    <x v="2"/>
    <n v="36.799999999999997"/>
    <n v="195.4"/>
    <n v="121.1"/>
    <n v="29.12"/>
    <n v="47.8"/>
    <n v="2.2799999999999998"/>
    <n v="12.4"/>
    <n v="50.2"/>
    <n v="1.55"/>
    <n v="61.333333333333329"/>
    <n v="195.4"/>
    <n v="151.375"/>
    <n v="72.8"/>
    <n v="119.5"/>
    <n v="114"/>
    <n v="195"/>
    <x v="1"/>
    <x v="3"/>
  </r>
  <r>
    <x v="3"/>
    <n v="66.2"/>
    <n v="175.9"/>
    <n v="56.9"/>
    <n v="0.5"/>
    <n v="52.8"/>
    <n v="0.89"/>
    <n v="26.7"/>
    <n v="97.3"/>
    <n v="1.4"/>
    <n v="110.3333333333333"/>
    <n v="175.9"/>
    <n v="71.125"/>
    <n v="1.25"/>
    <n v="132"/>
    <n v="44.5"/>
    <n v="176"/>
    <x v="1"/>
    <x v="3"/>
  </r>
  <r>
    <x v="4"/>
    <n v="2"/>
    <n v="181"/>
    <n v="118"/>
    <n v="31.31"/>
    <n v="9.1999999999999993"/>
    <n v="2.64"/>
    <n v="21.7"/>
    <n v="58.1"/>
    <n v="6.17"/>
    <n v="3.333333333333333"/>
    <n v="181"/>
    <n v="147.5"/>
    <n v="78.274999999999991"/>
    <n v="23"/>
    <n v="132"/>
    <n v="181"/>
    <x v="1"/>
    <x v="3"/>
  </r>
  <r>
    <x v="0"/>
    <n v="27.4"/>
    <n v="248.8"/>
    <n v="100"/>
    <n v="24.71"/>
    <n v="43.9"/>
    <n v="2.5499999999999998"/>
    <n v="22.3"/>
    <n v="64.8"/>
    <n v="2.09"/>
    <n v="45.666666666666657"/>
    <n v="248.8"/>
    <n v="125"/>
    <n v="61.775000000000013"/>
    <n v="109.75"/>
    <n v="127.5"/>
    <n v="249"/>
    <x v="0"/>
    <x v="3"/>
  </r>
  <r>
    <x v="1"/>
    <n v="157.30000000000001"/>
    <n v="195.6"/>
    <n v="105.1"/>
    <n v="15.71"/>
    <n v="76.7"/>
    <n v="2.34"/>
    <n v="12.6"/>
    <n v="82.7"/>
    <n v="1.41"/>
    <n v="262.16666666666669"/>
    <n v="195.6"/>
    <n v="131.375"/>
    <n v="39.275000000000013"/>
    <n v="191.75"/>
    <n v="117"/>
    <n v="262"/>
    <x v="0"/>
    <x v="0"/>
  </r>
  <r>
    <x v="2"/>
    <n v="61.4"/>
    <n v="128.1"/>
    <n v="110.2"/>
    <n v="0.5"/>
    <n v="101.3"/>
    <n v="2.79"/>
    <n v="26.6"/>
    <n v="59"/>
    <n v="2.84"/>
    <n v="102.3333333333333"/>
    <n v="128.1"/>
    <n v="137.75"/>
    <n v="1.25"/>
    <n v="253.25"/>
    <n v="139.5"/>
    <n v="253"/>
    <x v="0"/>
    <x v="2"/>
  </r>
  <r>
    <x v="3"/>
    <n v="121"/>
    <n v="253.9"/>
    <n v="89.8"/>
    <n v="13.52"/>
    <n v="31.6"/>
    <n v="1.77"/>
    <n v="23.6"/>
    <n v="80.400000000000006"/>
    <n v="3.21"/>
    <n v="201.66666666666671"/>
    <n v="253.9"/>
    <n v="112.25"/>
    <n v="33.799999999999997"/>
    <n v="79"/>
    <n v="88.5"/>
    <n v="254"/>
    <x v="0"/>
    <x v="3"/>
  </r>
  <r>
    <x v="4"/>
    <n v="2"/>
    <n v="280.5"/>
    <n v="86.1"/>
    <n v="13.92"/>
    <n v="30"/>
    <n v="3.3"/>
    <n v="31.6"/>
    <n v="46.1"/>
    <n v="3.49"/>
    <n v="3.333333333333333"/>
    <n v="280.5"/>
    <n v="107.625"/>
    <n v="34.799999999999997"/>
    <n v="75"/>
    <n v="165"/>
    <n v="280"/>
    <x v="0"/>
    <x v="3"/>
  </r>
  <r>
    <x v="0"/>
    <n v="56.8"/>
    <n v="68.5"/>
    <n v="59.7"/>
    <n v="22.65"/>
    <n v="66.099999999999994"/>
    <n v="2.77"/>
    <n v="30.1"/>
    <n v="69.3"/>
    <n v="1.73"/>
    <n v="94.666666666666657"/>
    <n v="68.5"/>
    <n v="74.625"/>
    <n v="56.624999999999993"/>
    <n v="165.25"/>
    <n v="138.5"/>
    <n v="165"/>
    <x v="1"/>
    <x v="2"/>
  </r>
  <r>
    <x v="1"/>
    <n v="145.9"/>
    <n v="336"/>
    <n v="120.2"/>
    <n v="27.89"/>
    <n v="64.900000000000006"/>
    <n v="2.82"/>
    <n v="32.5"/>
    <n v="59.5"/>
    <n v="1.44"/>
    <n v="243.16666666666671"/>
    <n v="336"/>
    <n v="150.25"/>
    <n v="69.724999999999994"/>
    <n v="162.25"/>
    <n v="141"/>
    <n v="336"/>
    <x v="2"/>
    <x v="3"/>
  </r>
  <r>
    <x v="2"/>
    <n v="83.8"/>
    <n v="114.5"/>
    <n v="47.9"/>
    <n v="11.06"/>
    <n v="17.3"/>
    <n v="1.54"/>
    <n v="11.7"/>
    <n v="63.8"/>
    <n v="2.5"/>
    <n v="139.66666666666671"/>
    <n v="114.5"/>
    <n v="59.875"/>
    <n v="27.65"/>
    <n v="43.250000000000007"/>
    <n v="77"/>
    <n v="140"/>
    <x v="1"/>
    <x v="0"/>
  </r>
  <r>
    <x v="3"/>
    <n v="56.8"/>
    <n v="255.3"/>
    <n v="102"/>
    <n v="0.5"/>
    <n v="18.8"/>
    <n v="1.18"/>
    <n v="18.399999999999999"/>
    <n v="74.900000000000006"/>
    <n v="2.27"/>
    <n v="94.666666666666657"/>
    <n v="255.3"/>
    <n v="127.5"/>
    <n v="1.25"/>
    <n v="47"/>
    <n v="59"/>
    <n v="255"/>
    <x v="0"/>
    <x v="3"/>
  </r>
  <r>
    <x v="4"/>
    <n v="91.6"/>
    <n v="5"/>
    <n v="101.6"/>
    <n v="3.17"/>
    <n v="41.1"/>
    <n v="2.4"/>
    <n v="34.5"/>
    <n v="36.4"/>
    <n v="0.2"/>
    <n v="152.66666666666671"/>
    <n v="5"/>
    <n v="127"/>
    <n v="7.9249999999999998"/>
    <n v="102.75"/>
    <n v="120"/>
    <n v="153"/>
    <x v="1"/>
    <x v="0"/>
  </r>
  <r>
    <x v="0"/>
    <n v="120.5"/>
    <n v="419.6"/>
    <n v="128.4"/>
    <n v="16.649999999999999"/>
    <n v="28.7"/>
    <n v="3.1"/>
    <n v="18.2"/>
    <n v="68.599999999999994"/>
    <n v="3.11"/>
    <n v="200.83333333333329"/>
    <n v="419.6"/>
    <n v="160.5"/>
    <n v="41.624999999999993"/>
    <n v="71.75"/>
    <n v="155"/>
    <n v="420"/>
    <x v="2"/>
    <x v="3"/>
  </r>
  <r>
    <x v="1"/>
    <n v="183.6"/>
    <n v="571.20000000000005"/>
    <n v="105.7"/>
    <n v="10.91"/>
    <n v="44.3"/>
    <n v="0.28000000000000003"/>
    <n v="20.100000000000001"/>
    <n v="52.6"/>
    <n v="1.87"/>
    <n v="306"/>
    <n v="500"/>
    <n v="132.125"/>
    <n v="27.274999999999999"/>
    <n v="110.75"/>
    <n v="14"/>
    <n v="500"/>
    <x v="2"/>
    <x v="3"/>
  </r>
  <r>
    <x v="2"/>
    <n v="98.1"/>
    <n v="107.4"/>
    <n v="102.5"/>
    <n v="12.16"/>
    <n v="34"/>
    <n v="1.52"/>
    <n v="26.1"/>
    <n v="74.900000000000006"/>
    <n v="1.46"/>
    <n v="163.5"/>
    <n v="107.4"/>
    <n v="128.125"/>
    <n v="30.4"/>
    <n v="85"/>
    <n v="76"/>
    <n v="163"/>
    <x v="1"/>
    <x v="0"/>
  </r>
  <r>
    <x v="3"/>
    <n v="64.400000000000006"/>
    <n v="162.80000000000001"/>
    <n v="28.9"/>
    <n v="6.25"/>
    <n v="25.3"/>
    <n v="2.76"/>
    <n v="26.8"/>
    <n v="63.5"/>
    <n v="3.52"/>
    <n v="107.3333333333333"/>
    <n v="162.80000000000001"/>
    <n v="36.125"/>
    <n v="15.625"/>
    <n v="63.25"/>
    <n v="138"/>
    <n v="163"/>
    <x v="1"/>
    <x v="3"/>
  </r>
  <r>
    <x v="4"/>
    <n v="98.3"/>
    <n v="252.4"/>
    <n v="75.599999999999994"/>
    <n v="16.420000000000002"/>
    <n v="25.2"/>
    <n v="0.05"/>
    <n v="24.1"/>
    <n v="85.6"/>
    <n v="4.1100000000000003"/>
    <n v="163.83333333333329"/>
    <n v="252.4"/>
    <n v="94.499999999999986"/>
    <n v="41.05"/>
    <n v="63"/>
    <n v="2.5"/>
    <n v="252"/>
    <x v="0"/>
    <x v="3"/>
  </r>
  <r>
    <x v="0"/>
    <n v="163.69999999999999"/>
    <n v="357.3"/>
    <n v="86.1"/>
    <n v="16.54"/>
    <n v="25.4"/>
    <n v="1.86"/>
    <n v="29.3"/>
    <n v="81.7"/>
    <n v="2.33"/>
    <n v="272.83333333333331"/>
    <n v="357.3"/>
    <n v="107.625"/>
    <n v="41.349999999999987"/>
    <n v="63.5"/>
    <n v="93"/>
    <n v="357"/>
    <x v="2"/>
    <x v="3"/>
  </r>
  <r>
    <x v="1"/>
    <n v="93"/>
    <n v="240.1"/>
    <n v="114"/>
    <n v="1.56"/>
    <n v="1"/>
    <n v="1.74"/>
    <n v="16.5"/>
    <n v="50.9"/>
    <n v="2.3199999999999998"/>
    <n v="155"/>
    <n v="240.1"/>
    <n v="142.5"/>
    <n v="3.9"/>
    <n v="2.5"/>
    <n v="87"/>
    <n v="240"/>
    <x v="0"/>
    <x v="3"/>
  </r>
  <r>
    <x v="2"/>
    <n v="70.5"/>
    <n v="314.89999999999998"/>
    <n v="78.3"/>
    <n v="14.44"/>
    <n v="47.5"/>
    <n v="0.79"/>
    <n v="32.299999999999997"/>
    <n v="58.6"/>
    <n v="3.3"/>
    <n v="117.5"/>
    <n v="314.89999999999998"/>
    <n v="97.874999999999986"/>
    <n v="36.1"/>
    <n v="118.75"/>
    <n v="39.5"/>
    <n v="315"/>
    <x v="2"/>
    <x v="3"/>
  </r>
  <r>
    <x v="3"/>
    <n v="44.6"/>
    <n v="42.8"/>
    <n v="98.2"/>
    <n v="15.81"/>
    <n v="15.7"/>
    <n v="1.0900000000000001"/>
    <n v="32.9"/>
    <n v="38.6"/>
    <n v="4.47"/>
    <n v="74.333333333333329"/>
    <n v="42.8"/>
    <n v="122.75"/>
    <n v="39.525000000000013"/>
    <n v="39.25"/>
    <n v="54.500000000000007"/>
    <n v="123"/>
    <x v="1"/>
    <x v="1"/>
  </r>
  <r>
    <x v="4"/>
    <n v="58"/>
    <n v="278.60000000000002"/>
    <n v="67.599999999999994"/>
    <n v="19.39"/>
    <n v="26.1"/>
    <n v="1.94"/>
    <n v="25.3"/>
    <n v="42"/>
    <n v="3.89"/>
    <n v="96.666666666666671"/>
    <n v="278.60000000000002"/>
    <n v="84.499999999999986"/>
    <n v="48.475000000000001"/>
    <n v="65.25"/>
    <n v="97"/>
    <n v="279"/>
    <x v="0"/>
    <x v="3"/>
  </r>
  <r>
    <x v="0"/>
    <n v="82.1"/>
    <n v="195.6"/>
    <n v="46.2"/>
    <n v="0.5"/>
    <n v="36.5"/>
    <n v="4.87"/>
    <n v="30.5"/>
    <n v="59.7"/>
    <n v="2.1800000000000002"/>
    <n v="136.83333333333329"/>
    <n v="195.6"/>
    <n v="57.75"/>
    <n v="1.25"/>
    <n v="91.25"/>
    <n v="243.5"/>
    <n v="244"/>
    <x v="0"/>
    <x v="4"/>
  </r>
  <r>
    <x v="1"/>
    <n v="121.3"/>
    <n v="305.7"/>
    <n v="42.8"/>
    <n v="27.14"/>
    <n v="65.099999999999994"/>
    <n v="3.26"/>
    <n v="28.1"/>
    <n v="60.4"/>
    <n v="3.31"/>
    <n v="202.16666666666671"/>
    <n v="305.7"/>
    <n v="53.5"/>
    <n v="67.850000000000009"/>
    <n v="162.75"/>
    <n v="163"/>
    <n v="306"/>
    <x v="2"/>
    <x v="3"/>
  </r>
  <r>
    <x v="2"/>
    <n v="118.2"/>
    <n v="150.1"/>
    <n v="51"/>
    <n v="12.93"/>
    <n v="67.3"/>
    <n v="0.69"/>
    <n v="14.7"/>
    <n v="63"/>
    <n v="2.56"/>
    <n v="197"/>
    <n v="150.1"/>
    <n v="63.75"/>
    <n v="32.325000000000003"/>
    <n v="168.25"/>
    <n v="34.499999999999993"/>
    <n v="197"/>
    <x v="1"/>
    <x v="0"/>
  </r>
  <r>
    <x v="3"/>
    <n v="104.3"/>
    <n v="215.4"/>
    <n v="64.900000000000006"/>
    <n v="24.72"/>
    <n v="1"/>
    <n v="1.1200000000000001"/>
    <n v="24.3"/>
    <n v="30.4"/>
    <n v="2.29"/>
    <n v="173.83333333333329"/>
    <n v="215.4"/>
    <n v="81.125"/>
    <n v="61.8"/>
    <n v="2.5"/>
    <n v="56.000000000000007"/>
    <n v="215"/>
    <x v="0"/>
    <x v="3"/>
  </r>
  <r>
    <x v="4"/>
    <n v="193.3"/>
    <n v="213.4"/>
    <n v="87.3"/>
    <n v="2.99"/>
    <n v="24.3"/>
    <n v="1.72"/>
    <n v="22.8"/>
    <n v="83.1"/>
    <n v="3.67"/>
    <n v="322.16666666666669"/>
    <n v="213.4"/>
    <n v="109.125"/>
    <n v="7.4750000000000014"/>
    <n v="60.75"/>
    <n v="86"/>
    <n v="322"/>
    <x v="2"/>
    <x v="0"/>
  </r>
  <r>
    <x v="0"/>
    <n v="49"/>
    <n v="248"/>
    <n v="101.1"/>
    <n v="25.21"/>
    <n v="82.3"/>
    <n v="1.0900000000000001"/>
    <n v="19.3"/>
    <n v="37.4"/>
    <n v="2.2200000000000002"/>
    <n v="81.666666666666671"/>
    <n v="248"/>
    <n v="126.375"/>
    <n v="63.024999999999999"/>
    <n v="205.75"/>
    <n v="54.500000000000007"/>
    <n v="248"/>
    <x v="0"/>
    <x v="3"/>
  </r>
  <r>
    <x v="1"/>
    <n v="148"/>
    <n v="358.5"/>
    <n v="87"/>
    <n v="12.8"/>
    <n v="49.3"/>
    <n v="1.4"/>
    <n v="39.6"/>
    <n v="31.1"/>
    <n v="2.72"/>
    <n v="246.66666666666671"/>
    <n v="358.5"/>
    <n v="108.75"/>
    <n v="32"/>
    <n v="123.25"/>
    <n v="69.999999999999986"/>
    <n v="358"/>
    <x v="2"/>
    <x v="3"/>
  </r>
  <r>
    <x v="2"/>
    <n v="183.5"/>
    <n v="183"/>
    <n v="62.6"/>
    <n v="9.44"/>
    <n v="30.3"/>
    <n v="3.08"/>
    <n v="9.5"/>
    <n v="87.6"/>
    <n v="0.79"/>
    <n v="305.83333333333343"/>
    <n v="183"/>
    <n v="78.25"/>
    <n v="23.6"/>
    <n v="75.75"/>
    <n v="154"/>
    <n v="306"/>
    <x v="2"/>
    <x v="0"/>
  </r>
  <r>
    <x v="3"/>
    <n v="83.2"/>
    <n v="150.80000000000001"/>
    <n v="90.8"/>
    <n v="0.5"/>
    <n v="46.4"/>
    <n v="3.86"/>
    <n v="15.5"/>
    <n v="63.4"/>
    <n v="1.71"/>
    <n v="138.66666666666671"/>
    <n v="150.80000000000001"/>
    <n v="113.5"/>
    <n v="1.25"/>
    <n v="116"/>
    <n v="193"/>
    <n v="193"/>
    <x v="1"/>
    <x v="4"/>
  </r>
  <r>
    <x v="4"/>
    <n v="128.1"/>
    <n v="213.2"/>
    <n v="56.6"/>
    <n v="18.37"/>
    <n v="84.3"/>
    <n v="1.91"/>
    <n v="30"/>
    <n v="36.700000000000003"/>
    <n v="1.85"/>
    <n v="213.5"/>
    <n v="213.2"/>
    <n v="70.750000000000014"/>
    <n v="45.924999999999997"/>
    <n v="210.75"/>
    <n v="95.5"/>
    <n v="214"/>
    <x v="0"/>
    <x v="0"/>
  </r>
  <r>
    <x v="0"/>
    <n v="136.5"/>
    <n v="384.6"/>
    <n v="95.9"/>
    <n v="11.84"/>
    <n v="41.4"/>
    <n v="0.83"/>
    <n v="29.2"/>
    <n v="75.900000000000006"/>
    <n v="1.96"/>
    <n v="227.5"/>
    <n v="384.6"/>
    <n v="119.875"/>
    <n v="29.6"/>
    <n v="103.5"/>
    <n v="41.499999999999993"/>
    <n v="385"/>
    <x v="2"/>
    <x v="3"/>
  </r>
  <r>
    <x v="1"/>
    <n v="91.8"/>
    <n v="271.89999999999998"/>
    <n v="72.5"/>
    <n v="15.34"/>
    <n v="104.1"/>
    <n v="2.1"/>
    <n v="22.5"/>
    <n v="48.3"/>
    <n v="3.39"/>
    <n v="153"/>
    <n v="271.89999999999998"/>
    <n v="90.625"/>
    <n v="38.35"/>
    <n v="260.25"/>
    <n v="105"/>
    <n v="272"/>
    <x v="0"/>
    <x v="3"/>
  </r>
  <r>
    <x v="2"/>
    <n v="82.9"/>
    <n v="123.2"/>
    <n v="108.6"/>
    <n v="22.95"/>
    <n v="21.4"/>
    <n v="0.12"/>
    <n v="32.1"/>
    <n v="47.7"/>
    <n v="3.45"/>
    <n v="138.16666666666671"/>
    <n v="123.2"/>
    <n v="135.75"/>
    <n v="57.374999999999993"/>
    <n v="53.5"/>
    <n v="6"/>
    <n v="138"/>
    <x v="1"/>
    <x v="0"/>
  </r>
  <r>
    <x v="3"/>
    <n v="2"/>
    <n v="277.7"/>
    <n v="33.200000000000003"/>
    <n v="18.649999999999999"/>
    <n v="36.299999999999997"/>
    <n v="1"/>
    <n v="22.2"/>
    <n v="72.400000000000006"/>
    <n v="2.63"/>
    <n v="3.333333333333333"/>
    <n v="277.7"/>
    <n v="41.5"/>
    <n v="46.625"/>
    <n v="90.75"/>
    <n v="50"/>
    <n v="278"/>
    <x v="0"/>
    <x v="3"/>
  </r>
  <r>
    <x v="4"/>
    <n v="136.5"/>
    <n v="419.9"/>
    <n v="24.1"/>
    <n v="28.31"/>
    <n v="42.2"/>
    <n v="1.1599999999999999"/>
    <n v="15.7"/>
    <n v="56.6"/>
    <n v="4.1100000000000003"/>
    <n v="227.5"/>
    <n v="419.9"/>
    <n v="30.125"/>
    <n v="70.774999999999991"/>
    <n v="105.5"/>
    <n v="57.999999999999993"/>
    <n v="420"/>
    <x v="2"/>
    <x v="3"/>
  </r>
  <r>
    <x v="0"/>
    <n v="103.4"/>
    <n v="387.6"/>
    <n v="29.4"/>
    <n v="14.61"/>
    <n v="9"/>
    <n v="2.61"/>
    <n v="31.2"/>
    <n v="52.4"/>
    <n v="0.2"/>
    <n v="172.33333333333329"/>
    <n v="387.6"/>
    <n v="36.75"/>
    <n v="36.524999999999999"/>
    <n v="22.5"/>
    <n v="130.5"/>
    <n v="388"/>
    <x v="2"/>
    <x v="3"/>
  </r>
  <r>
    <x v="1"/>
    <n v="131.9"/>
    <n v="292.39999999999998"/>
    <n v="106.2"/>
    <n v="28.36"/>
    <n v="14.9"/>
    <n v="3.22"/>
    <n v="33.299999999999997"/>
    <n v="28"/>
    <n v="2.88"/>
    <n v="219.83333333333329"/>
    <n v="292.39999999999998"/>
    <n v="132.75"/>
    <n v="70.900000000000006"/>
    <n v="37.25"/>
    <n v="161"/>
    <n v="292"/>
    <x v="0"/>
    <x v="3"/>
  </r>
  <r>
    <x v="2"/>
    <n v="68.2"/>
    <n v="175"/>
    <n v="79"/>
    <n v="8.4600000000000009"/>
    <n v="19.8"/>
    <n v="1.86"/>
    <n v="17.399999999999999"/>
    <n v="40.5"/>
    <n v="3.32"/>
    <n v="113.6666666666667"/>
    <n v="175"/>
    <n v="98.75"/>
    <n v="21.15"/>
    <n v="49.5"/>
    <n v="93"/>
    <n v="175"/>
    <x v="1"/>
    <x v="3"/>
  </r>
  <r>
    <x v="3"/>
    <n v="40.9"/>
    <n v="256"/>
    <n v="86.8"/>
    <n v="0.5"/>
    <n v="20.8"/>
    <n v="3.07"/>
    <n v="18.100000000000001"/>
    <n v="51.6"/>
    <n v="3.05"/>
    <n v="68.166666666666671"/>
    <n v="256"/>
    <n v="108.5"/>
    <n v="1.25"/>
    <n v="52.000000000000007"/>
    <n v="153.5"/>
    <n v="256"/>
    <x v="0"/>
    <x v="3"/>
  </r>
  <r>
    <x v="4"/>
    <n v="147"/>
    <n v="184.6"/>
    <n v="58.2"/>
    <n v="26.6"/>
    <n v="82.6"/>
    <n v="3.15"/>
    <n v="25.6"/>
    <n v="45.5"/>
    <n v="2"/>
    <n v="245"/>
    <n v="184.6"/>
    <n v="72.750000000000014"/>
    <n v="66.5"/>
    <n v="206.5"/>
    <n v="157.5"/>
    <n v="245"/>
    <x v="0"/>
    <x v="0"/>
  </r>
  <r>
    <x v="0"/>
    <n v="139.19999999999999"/>
    <n v="267"/>
    <n v="134.4"/>
    <n v="20.7"/>
    <n v="2.5"/>
    <n v="3.37"/>
    <n v="18"/>
    <n v="53.1"/>
    <n v="2.8"/>
    <n v="232"/>
    <n v="267"/>
    <n v="168"/>
    <n v="51.75"/>
    <n v="6.25"/>
    <n v="168.5"/>
    <n v="267"/>
    <x v="0"/>
    <x v="3"/>
  </r>
  <r>
    <x v="1"/>
    <n v="239.7"/>
    <n v="613.20000000000005"/>
    <n v="114.3"/>
    <n v="14.17"/>
    <n v="60"/>
    <n v="3.47"/>
    <n v="22.8"/>
    <n v="92.3"/>
    <n v="2.78"/>
    <n v="399.49999999999989"/>
    <n v="500"/>
    <n v="142.875"/>
    <n v="35.424999999999997"/>
    <n v="150"/>
    <n v="173.5"/>
    <n v="500"/>
    <x v="2"/>
    <x v="3"/>
  </r>
  <r>
    <x v="2"/>
    <n v="113.9"/>
    <n v="243.1"/>
    <n v="81.2"/>
    <n v="18.54"/>
    <n v="21"/>
    <n v="1.31"/>
    <n v="17.3"/>
    <n v="67.900000000000006"/>
    <n v="3.43"/>
    <n v="189.83333333333329"/>
    <n v="243.1"/>
    <n v="101.5"/>
    <n v="46.349999999999987"/>
    <n v="52.5"/>
    <n v="65.5"/>
    <n v="243"/>
    <x v="0"/>
    <x v="3"/>
  </r>
  <r>
    <x v="3"/>
    <n v="118"/>
    <n v="352.8"/>
    <n v="71.8"/>
    <n v="18.149999999999999"/>
    <n v="11.4"/>
    <n v="1.55"/>
    <n v="29.9"/>
    <n v="75.3"/>
    <n v="2.15"/>
    <n v="196.66666666666671"/>
    <n v="352.8"/>
    <n v="89.75"/>
    <n v="45.375"/>
    <n v="28.5"/>
    <n v="77.5"/>
    <n v="353"/>
    <x v="2"/>
    <x v="3"/>
  </r>
  <r>
    <x v="4"/>
    <n v="101.8"/>
    <n v="50.9"/>
    <n v="66.599999999999994"/>
    <n v="21.92"/>
    <n v="53.8"/>
    <n v="2.64"/>
    <n v="25.3"/>
    <n v="60.1"/>
    <n v="2.21"/>
    <n v="169.66666666666671"/>
    <n v="50.9"/>
    <n v="83.249999999999986"/>
    <n v="54.8"/>
    <n v="134.5"/>
    <n v="132"/>
    <n v="170"/>
    <x v="1"/>
    <x v="0"/>
  </r>
  <r>
    <x v="0"/>
    <n v="149"/>
    <n v="267.3"/>
    <n v="100.9"/>
    <n v="9.8800000000000008"/>
    <n v="1"/>
    <n v="3.42"/>
    <n v="21.6"/>
    <n v="44.5"/>
    <n v="3.33"/>
    <n v="248.33333333333329"/>
    <n v="267.3"/>
    <n v="126.125"/>
    <n v="24.7"/>
    <n v="2.5"/>
    <n v="171"/>
    <n v="267"/>
    <x v="0"/>
    <x v="3"/>
  </r>
  <r>
    <x v="1"/>
    <n v="96.5"/>
    <n v="367.2"/>
    <n v="114.7"/>
    <n v="22.84"/>
    <n v="6.6"/>
    <n v="3.85"/>
    <n v="26.8"/>
    <n v="53.4"/>
    <n v="2.67"/>
    <n v="160.83333333333329"/>
    <n v="367.2"/>
    <n v="143.375"/>
    <n v="57.1"/>
    <n v="16.5"/>
    <n v="192.5"/>
    <n v="367"/>
    <x v="2"/>
    <x v="3"/>
  </r>
  <r>
    <x v="2"/>
    <n v="10.199999999999999"/>
    <n v="219.7"/>
    <n v="37.1"/>
    <n v="1.88"/>
    <n v="1.7"/>
    <n v="2.84"/>
    <n v="20.6"/>
    <n v="87.6"/>
    <n v="1.86"/>
    <n v="17"/>
    <n v="219.7"/>
    <n v="46.375"/>
    <n v="4.6999999999999993"/>
    <n v="4.25"/>
    <n v="142"/>
    <n v="220"/>
    <x v="0"/>
    <x v="3"/>
  </r>
  <r>
    <x v="3"/>
    <n v="14"/>
    <n v="84.8"/>
    <n v="111.5"/>
    <n v="11.55"/>
    <n v="23.7"/>
    <n v="2.0699999999999998"/>
    <n v="28.5"/>
    <n v="80.099999999999994"/>
    <n v="4.24"/>
    <n v="23.333333333333339"/>
    <n v="84.8"/>
    <n v="139.375"/>
    <n v="28.875"/>
    <n v="59.25"/>
    <n v="103.5"/>
    <n v="139"/>
    <x v="1"/>
    <x v="1"/>
  </r>
  <r>
    <x v="4"/>
    <n v="86.6"/>
    <n v="71.2"/>
    <n v="64.599999999999994"/>
    <n v="16.37"/>
    <n v="15.7"/>
    <n v="1.1000000000000001"/>
    <n v="27.4"/>
    <n v="59.1"/>
    <n v="3.04"/>
    <n v="144.33333333333329"/>
    <n v="71.2"/>
    <n v="80.749999999999986"/>
    <n v="40.924999999999997"/>
    <n v="39.25"/>
    <n v="55.000000000000007"/>
    <n v="144"/>
    <x v="1"/>
    <x v="0"/>
  </r>
  <r>
    <x v="0"/>
    <n v="68.5"/>
    <n v="195.4"/>
    <n v="48.8"/>
    <n v="22.91"/>
    <n v="68.2"/>
    <n v="0.17"/>
    <n v="18.5"/>
    <n v="33.1"/>
    <n v="1.72"/>
    <n v="114.1666666666667"/>
    <n v="195.4"/>
    <n v="61"/>
    <n v="57.274999999999999"/>
    <n v="170.5"/>
    <n v="8.5"/>
    <n v="195"/>
    <x v="1"/>
    <x v="3"/>
  </r>
  <r>
    <x v="1"/>
    <n v="115"/>
    <n v="66"/>
    <n v="53.1"/>
    <n v="5.96"/>
    <n v="50.8"/>
    <n v="2.48"/>
    <n v="19.899999999999999"/>
    <n v="63.2"/>
    <n v="1.84"/>
    <n v="191.66666666666671"/>
    <n v="66"/>
    <n v="66.375"/>
    <n v="14.9"/>
    <n v="127"/>
    <n v="124"/>
    <n v="192"/>
    <x v="1"/>
    <x v="0"/>
  </r>
  <r>
    <x v="2"/>
    <n v="78.8"/>
    <n v="335"/>
    <n v="109.2"/>
    <n v="2.2799999999999998"/>
    <n v="51.9"/>
    <n v="2.56"/>
    <n v="17"/>
    <n v="74.7"/>
    <n v="4.3499999999999996"/>
    <n v="131.33333333333329"/>
    <n v="335"/>
    <n v="136.5"/>
    <n v="5.6999999999999993"/>
    <n v="129.75"/>
    <n v="128"/>
    <n v="335"/>
    <x v="2"/>
    <x v="3"/>
  </r>
  <r>
    <x v="3"/>
    <n v="42.1"/>
    <n v="103.9"/>
    <n v="104.6"/>
    <n v="14.97"/>
    <n v="48.4"/>
    <n v="2.25"/>
    <n v="27.7"/>
    <n v="36.1"/>
    <n v="3.76"/>
    <n v="70.166666666666671"/>
    <n v="103.9"/>
    <n v="130.75"/>
    <n v="37.424999999999997"/>
    <n v="121"/>
    <n v="112.5"/>
    <n v="131"/>
    <x v="1"/>
    <x v="1"/>
  </r>
  <r>
    <x v="4"/>
    <n v="167.4"/>
    <n v="187"/>
    <n v="77.7"/>
    <n v="0.61"/>
    <n v="52.3"/>
    <n v="2.72"/>
    <n v="24.6"/>
    <n v="80.2"/>
    <n v="2.6"/>
    <n v="279"/>
    <n v="187"/>
    <n v="97.125"/>
    <n v="1.5249999999999999"/>
    <n v="130.75"/>
    <n v="136"/>
    <n v="279"/>
    <x v="0"/>
    <x v="0"/>
  </r>
  <r>
    <x v="0"/>
    <n v="141.6"/>
    <n v="108.2"/>
    <n v="81.900000000000006"/>
    <n v="13.12"/>
    <n v="47.2"/>
    <n v="1.8"/>
    <n v="24.1"/>
    <n v="74.900000000000006"/>
    <n v="1.98"/>
    <n v="236"/>
    <n v="108.2"/>
    <n v="102.375"/>
    <n v="32.799999999999997"/>
    <n v="118"/>
    <n v="90"/>
    <n v="236"/>
    <x v="0"/>
    <x v="0"/>
  </r>
  <r>
    <x v="1"/>
    <n v="23.6"/>
    <n v="450"/>
    <n v="145.30000000000001"/>
    <n v="3.08"/>
    <n v="64.400000000000006"/>
    <n v="1.8"/>
    <n v="26.8"/>
    <n v="65.3"/>
    <n v="2.2200000000000002"/>
    <n v="39.333333333333343"/>
    <n v="450"/>
    <n v="181.625"/>
    <n v="7.7"/>
    <n v="161"/>
    <n v="90"/>
    <n v="450"/>
    <x v="2"/>
    <x v="3"/>
  </r>
  <r>
    <x v="2"/>
    <n v="55.5"/>
    <n v="119.4"/>
    <n v="40.5"/>
    <n v="5.84"/>
    <n v="32.799999999999997"/>
    <n v="1.17"/>
    <n v="29.8"/>
    <n v="86.8"/>
    <n v="1.8"/>
    <n v="92.5"/>
    <n v="119.4"/>
    <n v="50.625"/>
    <n v="14.6"/>
    <n v="81.999999999999986"/>
    <n v="58.5"/>
    <n v="119"/>
    <x v="1"/>
    <x v="3"/>
  </r>
  <r>
    <x v="3"/>
    <n v="107.5"/>
    <n v="240"/>
    <n v="87.1"/>
    <n v="13.41"/>
    <n v="52.7"/>
    <n v="2.38"/>
    <n v="16.3"/>
    <n v="75.599999999999994"/>
    <n v="3.56"/>
    <n v="179.16666666666671"/>
    <n v="240"/>
    <n v="108.875"/>
    <n v="33.524999999999999"/>
    <n v="131.75"/>
    <n v="119"/>
    <n v="240"/>
    <x v="0"/>
    <x v="3"/>
  </r>
  <r>
    <x v="4"/>
    <n v="65.3"/>
    <n v="215.2"/>
    <n v="103.3"/>
    <n v="12.24"/>
    <n v="66.2"/>
    <n v="4.6100000000000003"/>
    <n v="19.5"/>
    <n v="35.1"/>
    <n v="3.36"/>
    <n v="108.8333333333333"/>
    <n v="215.2"/>
    <n v="129.125"/>
    <n v="30.6"/>
    <n v="165.5"/>
    <n v="230.5"/>
    <n v="230"/>
    <x v="0"/>
    <x v="4"/>
  </r>
  <r>
    <x v="0"/>
    <n v="150.19999999999999"/>
    <n v="195.3"/>
    <n v="136.30000000000001"/>
    <n v="2.4"/>
    <n v="59.3"/>
    <n v="1.54"/>
    <n v="37"/>
    <n v="95.9"/>
    <n v="1.58"/>
    <n v="250.33333333333329"/>
    <n v="195.3"/>
    <n v="170.375"/>
    <n v="6"/>
    <n v="148.25"/>
    <n v="77"/>
    <n v="250"/>
    <x v="0"/>
    <x v="0"/>
  </r>
  <r>
    <x v="1"/>
    <n v="87"/>
    <n v="343.2"/>
    <n v="74.5"/>
    <n v="15.55"/>
    <n v="45.7"/>
    <n v="0.1"/>
    <n v="24.9"/>
    <n v="47.6"/>
    <n v="1.91"/>
    <n v="145"/>
    <n v="343.2"/>
    <n v="93.125"/>
    <n v="38.875"/>
    <n v="114.25"/>
    <n v="5"/>
    <n v="343"/>
    <x v="2"/>
    <x v="3"/>
  </r>
  <r>
    <x v="2"/>
    <n v="157"/>
    <n v="67.8"/>
    <n v="93.1"/>
    <n v="10.039999999999999"/>
    <n v="28.2"/>
    <n v="2.54"/>
    <n v="27.4"/>
    <n v="70.3"/>
    <n v="3.66"/>
    <n v="261.66666666666669"/>
    <n v="67.8"/>
    <n v="116.375"/>
    <n v="25.1"/>
    <n v="70.5"/>
    <n v="127"/>
    <n v="262"/>
    <x v="0"/>
    <x v="0"/>
  </r>
  <r>
    <x v="3"/>
    <n v="80.099999999999994"/>
    <n v="133.19999999999999"/>
    <n v="37.299999999999997"/>
    <n v="6.2"/>
    <n v="102.4"/>
    <n v="3.11"/>
    <n v="15.5"/>
    <n v="36.200000000000003"/>
    <n v="3.08"/>
    <n v="133.5"/>
    <n v="133.19999999999999"/>
    <n v="46.625"/>
    <n v="15.5"/>
    <n v="256"/>
    <n v="155.5"/>
    <n v="256"/>
    <x v="0"/>
    <x v="2"/>
  </r>
  <r>
    <x v="4"/>
    <n v="134.5"/>
    <n v="269.2"/>
    <n v="70.2"/>
    <n v="12.98"/>
    <n v="47.7"/>
    <n v="2.2000000000000002"/>
    <n v="9.5"/>
    <n v="55.9"/>
    <n v="1.98"/>
    <n v="224.16666666666671"/>
    <n v="269.2"/>
    <n v="87.750000000000014"/>
    <n v="32.450000000000003"/>
    <n v="119.25"/>
    <n v="110"/>
    <n v="269"/>
    <x v="0"/>
    <x v="3"/>
  </r>
  <r>
    <x v="0"/>
    <n v="120.1"/>
    <n v="550.4"/>
    <n v="96.3"/>
    <n v="11.84"/>
    <n v="65.3"/>
    <n v="2.74"/>
    <n v="27.9"/>
    <n v="70.900000000000006"/>
    <n v="4.97"/>
    <n v="200.16666666666671"/>
    <n v="500"/>
    <n v="120.375"/>
    <n v="29.6"/>
    <n v="163.25"/>
    <n v="137"/>
    <n v="500"/>
    <x v="2"/>
    <x v="3"/>
  </r>
  <r>
    <x v="1"/>
    <n v="52.1"/>
    <n v="296.8"/>
    <n v="52.9"/>
    <n v="21.56"/>
    <n v="19.2"/>
    <n v="1.9"/>
    <n v="22.9"/>
    <n v="77.599999999999994"/>
    <n v="3.6"/>
    <n v="86.833333333333329"/>
    <n v="296.8"/>
    <n v="66.125"/>
    <n v="53.9"/>
    <n v="48"/>
    <n v="95"/>
    <n v="297"/>
    <x v="0"/>
    <x v="3"/>
  </r>
  <r>
    <x v="2"/>
    <n v="34.4"/>
    <n v="187.4"/>
    <n v="46.8"/>
    <n v="2.6"/>
    <n v="29.6"/>
    <n v="1.54"/>
    <n v="42"/>
    <n v="67.8"/>
    <n v="0.85"/>
    <n v="57.333333333333343"/>
    <n v="187.4"/>
    <n v="58.5"/>
    <n v="6.5000000000000009"/>
    <n v="74.000000000000014"/>
    <n v="77"/>
    <n v="187"/>
    <x v="1"/>
    <x v="3"/>
  </r>
  <r>
    <x v="3"/>
    <n v="68.900000000000006"/>
    <n v="290.10000000000002"/>
    <n v="138.80000000000001"/>
    <n v="0.5"/>
    <n v="1"/>
    <n v="3.72"/>
    <n v="27.7"/>
    <n v="44.4"/>
    <n v="3.14"/>
    <n v="114.8333333333333"/>
    <n v="290.10000000000002"/>
    <n v="173.5"/>
    <n v="1.25"/>
    <n v="2.5"/>
    <n v="186"/>
    <n v="290"/>
    <x v="0"/>
    <x v="3"/>
  </r>
  <r>
    <x v="4"/>
    <n v="2"/>
    <n v="211.6"/>
    <n v="90.7"/>
    <n v="22.21"/>
    <n v="14.5"/>
    <n v="2.2000000000000002"/>
    <n v="18.5"/>
    <n v="64.599999999999994"/>
    <n v="1.93"/>
    <n v="3.333333333333333"/>
    <n v="211.6"/>
    <n v="113.375"/>
    <n v="55.525000000000013"/>
    <n v="36.25"/>
    <n v="110"/>
    <n v="212"/>
    <x v="0"/>
    <x v="3"/>
  </r>
  <r>
    <x v="0"/>
    <n v="87.9"/>
    <n v="110.9"/>
    <n v="106.8"/>
    <n v="22.62"/>
    <n v="35.299999999999997"/>
    <n v="2.25"/>
    <n v="14.9"/>
    <n v="54.6"/>
    <n v="2.44"/>
    <n v="146.5"/>
    <n v="110.9"/>
    <n v="133.5"/>
    <n v="56.55"/>
    <n v="88.25"/>
    <n v="112.5"/>
    <n v="147"/>
    <x v="1"/>
    <x v="0"/>
  </r>
  <r>
    <x v="1"/>
    <n v="277.2"/>
    <n v="106.6"/>
    <n v="148.6"/>
    <n v="25.97"/>
    <n v="52.9"/>
    <n v="4.51"/>
    <n v="27.6"/>
    <n v="67"/>
    <n v="2.44"/>
    <n v="461.99999999999989"/>
    <n v="106.6"/>
    <n v="185.75"/>
    <n v="64.924999999999997"/>
    <n v="132.25"/>
    <n v="225.5"/>
    <n v="462"/>
    <x v="2"/>
    <x v="0"/>
  </r>
  <r>
    <x v="2"/>
    <n v="147"/>
    <n v="282.39999999999998"/>
    <n v="49.4"/>
    <n v="2.13"/>
    <n v="29.9"/>
    <n v="1.0900000000000001"/>
    <n v="24.6"/>
    <n v="82.3"/>
    <n v="1.95"/>
    <n v="245"/>
    <n v="282.39999999999998"/>
    <n v="61.75"/>
    <n v="5.3250000000000002"/>
    <n v="74.75"/>
    <n v="54.500000000000007"/>
    <n v="282"/>
    <x v="0"/>
    <x v="3"/>
  </r>
  <r>
    <x v="3"/>
    <n v="93.9"/>
    <n v="197.6"/>
    <n v="99.1"/>
    <n v="0.5"/>
    <n v="22.3"/>
    <n v="2.12"/>
    <n v="33.4"/>
    <n v="51.1"/>
    <n v="0.25"/>
    <n v="156.5"/>
    <n v="197.6"/>
    <n v="123.875"/>
    <n v="1.25"/>
    <n v="55.75"/>
    <n v="106"/>
    <n v="198"/>
    <x v="1"/>
    <x v="3"/>
  </r>
  <r>
    <x v="4"/>
    <n v="138.30000000000001"/>
    <n v="144.1"/>
    <n v="37.299999999999997"/>
    <n v="8.59"/>
    <n v="35"/>
    <n v="1.47"/>
    <n v="9.6"/>
    <n v="76.099999999999994"/>
    <n v="4.53"/>
    <n v="230.5"/>
    <n v="144.1"/>
    <n v="46.625"/>
    <n v="21.475000000000001"/>
    <n v="87.5"/>
    <n v="73.5"/>
    <n v="230"/>
    <x v="0"/>
    <x v="0"/>
  </r>
  <r>
    <x v="0"/>
    <n v="146.4"/>
    <n v="95.2"/>
    <n v="75.400000000000006"/>
    <n v="14.66"/>
    <n v="56.9"/>
    <n v="2.95"/>
    <n v="19.899999999999999"/>
    <n v="61.5"/>
    <n v="3.05"/>
    <n v="244"/>
    <n v="95.2"/>
    <n v="94.25"/>
    <n v="36.65"/>
    <n v="142.25"/>
    <n v="147.5"/>
    <n v="244"/>
    <x v="0"/>
    <x v="0"/>
  </r>
  <r>
    <x v="1"/>
    <n v="207.3"/>
    <n v="324.5"/>
    <n v="121.6"/>
    <n v="16.84"/>
    <n v="84.7"/>
    <n v="2.89"/>
    <n v="19"/>
    <n v="85.3"/>
    <n v="3.34"/>
    <n v="345.50000000000011"/>
    <n v="324.5"/>
    <n v="152"/>
    <n v="42.1"/>
    <n v="211.75"/>
    <n v="144.5"/>
    <n v="346"/>
    <x v="2"/>
    <x v="0"/>
  </r>
  <r>
    <x v="2"/>
    <n v="71"/>
    <n v="138.69999999999999"/>
    <n v="77.400000000000006"/>
    <n v="15.68"/>
    <n v="38.4"/>
    <n v="2.11"/>
    <n v="36.9"/>
    <n v="79.3"/>
    <n v="2.73"/>
    <n v="118.3333333333333"/>
    <n v="138.69999999999999"/>
    <n v="96.75"/>
    <n v="39.200000000000003"/>
    <n v="96"/>
    <n v="105.5"/>
    <n v="139"/>
    <x v="1"/>
    <x v="3"/>
  </r>
  <r>
    <x v="3"/>
    <n v="141.19999999999999"/>
    <n v="92.9"/>
    <n v="84.7"/>
    <n v="27.27"/>
    <n v="31.1"/>
    <n v="1.1100000000000001"/>
    <n v="20.399999999999999"/>
    <n v="40.4"/>
    <n v="1.56"/>
    <n v="235.33333333333329"/>
    <n v="92.9"/>
    <n v="105.875"/>
    <n v="68.174999999999997"/>
    <n v="77.75"/>
    <n v="55.500000000000007"/>
    <n v="235"/>
    <x v="0"/>
    <x v="0"/>
  </r>
  <r>
    <x v="4"/>
    <n v="86"/>
    <n v="62.8"/>
    <n v="79.7"/>
    <n v="22.02"/>
    <n v="17.100000000000001"/>
    <n v="3.72"/>
    <n v="28.6"/>
    <n v="78.599999999999994"/>
    <n v="2.21"/>
    <n v="143.33333333333329"/>
    <n v="62.8"/>
    <n v="99.625"/>
    <n v="55.05"/>
    <n v="42.75"/>
    <n v="186"/>
    <n v="186"/>
    <x v="1"/>
    <x v="4"/>
  </r>
  <r>
    <x v="0"/>
    <n v="157.6"/>
    <n v="100.3"/>
    <n v="115.6"/>
    <n v="16.3"/>
    <n v="55.7"/>
    <n v="0.91"/>
    <n v="18.7"/>
    <n v="70.8"/>
    <n v="1.36"/>
    <n v="262.66666666666669"/>
    <n v="100.3"/>
    <n v="144.5"/>
    <n v="40.75"/>
    <n v="139.25"/>
    <n v="45.5"/>
    <n v="263"/>
    <x v="0"/>
    <x v="0"/>
  </r>
  <r>
    <x v="1"/>
    <n v="147.80000000000001"/>
    <n v="75.900000000000006"/>
    <n v="123.9"/>
    <n v="3.67"/>
    <n v="60.5"/>
    <n v="3.15"/>
    <n v="20.100000000000001"/>
    <n v="70.5"/>
    <n v="2.81"/>
    <n v="246.33333333333329"/>
    <n v="75.900000000000006"/>
    <n v="154.875"/>
    <n v="9.1749999999999989"/>
    <n v="151.25"/>
    <n v="157.5"/>
    <n v="246"/>
    <x v="0"/>
    <x v="0"/>
  </r>
  <r>
    <x v="2"/>
    <n v="66.599999999999994"/>
    <n v="90.4"/>
    <n v="8.6999999999999993"/>
    <n v="14.82"/>
    <n v="1"/>
    <n v="1.91"/>
    <n v="23.2"/>
    <n v="72.2"/>
    <n v="2.14"/>
    <n v="111"/>
    <n v="90.4"/>
    <n v="10.875"/>
    <n v="37.049999999999997"/>
    <n v="2.5"/>
    <n v="95.5"/>
    <n v="111"/>
    <x v="1"/>
    <x v="0"/>
  </r>
  <r>
    <x v="3"/>
    <n v="80.2"/>
    <n v="262.3"/>
    <n v="82.7"/>
    <n v="15.33"/>
    <n v="46.6"/>
    <n v="0.45"/>
    <n v="30.3"/>
    <n v="71"/>
    <n v="1.28"/>
    <n v="133.66666666666671"/>
    <n v="262.3"/>
    <n v="103.375"/>
    <n v="38.325000000000003"/>
    <n v="116.5"/>
    <n v="22.5"/>
    <n v="262"/>
    <x v="0"/>
    <x v="3"/>
  </r>
  <r>
    <x v="4"/>
    <n v="92.7"/>
    <n v="207"/>
    <n v="74.5"/>
    <n v="17.02"/>
    <n v="75"/>
    <n v="3.25"/>
    <n v="15.8"/>
    <n v="71.2"/>
    <n v="4.59"/>
    <n v="154.5"/>
    <n v="207"/>
    <n v="93.125"/>
    <n v="42.55"/>
    <n v="187.5"/>
    <n v="162.5"/>
    <n v="207"/>
    <x v="0"/>
    <x v="3"/>
  </r>
  <r>
    <x v="0"/>
    <n v="82.3"/>
    <n v="213.3"/>
    <n v="98"/>
    <n v="15.09"/>
    <n v="53.2"/>
    <n v="2.1"/>
    <n v="26"/>
    <n v="50.4"/>
    <n v="2.08"/>
    <n v="137.16666666666671"/>
    <n v="213.3"/>
    <n v="122.5"/>
    <n v="37.725000000000001"/>
    <n v="133"/>
    <n v="105"/>
    <n v="213"/>
    <x v="0"/>
    <x v="3"/>
  </r>
  <r>
    <x v="1"/>
    <n v="133.6"/>
    <n v="88.6"/>
    <n v="94.6"/>
    <n v="13.12"/>
    <n v="6.3"/>
    <n v="1.78"/>
    <n v="10.3"/>
    <n v="61.3"/>
    <n v="3.56"/>
    <n v="222.66666666666671"/>
    <n v="88.6"/>
    <n v="118.25"/>
    <n v="32.799999999999997"/>
    <n v="15.75"/>
    <n v="89"/>
    <n v="223"/>
    <x v="0"/>
    <x v="0"/>
  </r>
  <r>
    <x v="2"/>
    <n v="40.1"/>
    <n v="121"/>
    <n v="79.900000000000006"/>
    <n v="5.2"/>
    <n v="12.9"/>
    <n v="1.98"/>
    <n v="38.700000000000003"/>
    <n v="50.1"/>
    <n v="3.71"/>
    <n v="66.833333333333343"/>
    <n v="121"/>
    <n v="99.875"/>
    <n v="13"/>
    <n v="32.25"/>
    <n v="99"/>
    <n v="121"/>
    <x v="1"/>
    <x v="3"/>
  </r>
  <r>
    <x v="3"/>
    <n v="100.2"/>
    <n v="75.5"/>
    <n v="35.299999999999997"/>
    <n v="14.15"/>
    <n v="82.1"/>
    <n v="1.54"/>
    <n v="18.8"/>
    <n v="85.8"/>
    <n v="1.86"/>
    <n v="167"/>
    <n v="75.5"/>
    <n v="44.125"/>
    <n v="35.375000000000007"/>
    <n v="205.25"/>
    <n v="77"/>
    <n v="205"/>
    <x v="0"/>
    <x v="2"/>
  </r>
  <r>
    <x v="4"/>
    <n v="54.9"/>
    <n v="154.6"/>
    <n v="83.7"/>
    <n v="13.5"/>
    <n v="55.4"/>
    <n v="1.63"/>
    <n v="25.3"/>
    <n v="60"/>
    <n v="0.2"/>
    <n v="91.5"/>
    <n v="154.6"/>
    <n v="104.625"/>
    <n v="33.75"/>
    <n v="138.5"/>
    <n v="81.499999999999986"/>
    <n v="155"/>
    <x v="1"/>
    <x v="3"/>
  </r>
  <r>
    <x v="0"/>
    <n v="58.8"/>
    <n v="154.69999999999999"/>
    <n v="25.3"/>
    <n v="11.42"/>
    <n v="40.1"/>
    <n v="2.59"/>
    <n v="36"/>
    <n v="41.6"/>
    <n v="2.3199999999999998"/>
    <n v="97.999999999999986"/>
    <n v="154.69999999999999"/>
    <n v="31.625"/>
    <n v="28.55"/>
    <n v="100.25"/>
    <n v="129.5"/>
    <n v="155"/>
    <x v="1"/>
    <x v="3"/>
  </r>
  <r>
    <x v="1"/>
    <n v="72.2"/>
    <n v="116.1"/>
    <n v="61.1"/>
    <n v="5.26"/>
    <n v="14.7"/>
    <n v="1.97"/>
    <n v="29.4"/>
    <n v="35.5"/>
    <n v="3.57"/>
    <n v="120.3333333333333"/>
    <n v="116.1"/>
    <n v="76.375"/>
    <n v="13.15"/>
    <n v="36.75"/>
    <n v="98.5"/>
    <n v="120"/>
    <x v="1"/>
    <x v="0"/>
  </r>
  <r>
    <x v="2"/>
    <n v="39"/>
    <n v="128.4"/>
    <n v="58.3"/>
    <n v="7.44"/>
    <n v="48.8"/>
    <n v="0.85"/>
    <n v="23.6"/>
    <n v="46.3"/>
    <n v="1.6"/>
    <n v="65"/>
    <n v="128.4"/>
    <n v="72.875"/>
    <n v="18.600000000000001"/>
    <n v="122"/>
    <n v="42.499999999999993"/>
    <n v="128"/>
    <x v="1"/>
    <x v="3"/>
  </r>
  <r>
    <x v="3"/>
    <n v="54.7"/>
    <n v="27.1"/>
    <n v="35.200000000000003"/>
    <n v="6.58"/>
    <n v="33.6"/>
    <n v="1.06"/>
    <n v="24.6"/>
    <n v="58.6"/>
    <n v="3.55"/>
    <n v="91.166666666666671"/>
    <n v="27.1"/>
    <n v="44.000000000000007"/>
    <n v="16.45"/>
    <n v="84"/>
    <n v="53.000000000000007"/>
    <n v="91"/>
    <x v="3"/>
    <x v="0"/>
  </r>
  <r>
    <x v="4"/>
    <n v="44.6"/>
    <n v="52.6"/>
    <n v="26.6"/>
    <n v="6.12"/>
    <n v="34.299999999999997"/>
    <n v="0.81"/>
    <n v="15.9"/>
    <n v="41.8"/>
    <n v="3.22"/>
    <n v="74.333333333333329"/>
    <n v="52.6"/>
    <n v="33.25"/>
    <n v="15.3"/>
    <n v="85.75"/>
    <n v="40.5"/>
    <n v="86"/>
    <x v="3"/>
    <x v="2"/>
  </r>
  <r>
    <x v="0"/>
    <n v="89.5"/>
    <n v="99.5"/>
    <n v="42.3"/>
    <n v="3.87"/>
    <n v="45.1"/>
    <n v="0.79"/>
    <n v="29"/>
    <n v="17.899999999999999"/>
    <n v="2.0699999999999998"/>
    <n v="149.16666666666671"/>
    <n v="99.5"/>
    <n v="52.875"/>
    <n v="9.6749999999999989"/>
    <n v="112.75"/>
    <n v="39.5"/>
    <n v="149"/>
    <x v="1"/>
    <x v="0"/>
  </r>
  <r>
    <x v="1"/>
    <n v="86.3"/>
    <n v="163.80000000000001"/>
    <n v="123.6"/>
    <n v="12.19"/>
    <n v="18.600000000000001"/>
    <n v="1.43"/>
    <n v="12.6"/>
    <n v="48.5"/>
    <n v="1.5"/>
    <n v="143.83333333333329"/>
    <n v="163.80000000000001"/>
    <n v="154.5"/>
    <n v="30.475000000000001"/>
    <n v="46.500000000000007"/>
    <n v="71.5"/>
    <n v="164"/>
    <x v="1"/>
    <x v="3"/>
  </r>
  <r>
    <x v="2"/>
    <n v="83.1"/>
    <n v="82.7"/>
    <n v="40.5"/>
    <n v="4.58"/>
    <n v="79.3"/>
    <n v="0.96"/>
    <n v="37.799999999999997"/>
    <n v="64.7"/>
    <n v="3.08"/>
    <n v="138.5"/>
    <n v="82.7"/>
    <n v="50.625"/>
    <n v="11.45"/>
    <n v="198.25"/>
    <n v="48"/>
    <n v="198"/>
    <x v="1"/>
    <x v="2"/>
  </r>
  <r>
    <x v="3"/>
    <n v="71.099999999999994"/>
    <n v="143.6"/>
    <n v="6.4"/>
    <n v="6.61"/>
    <n v="61.1"/>
    <n v="1.17"/>
    <n v="15.2"/>
    <n v="49.1"/>
    <n v="4.54"/>
    <n v="118.5"/>
    <n v="143.6"/>
    <n v="8"/>
    <n v="16.524999999999999"/>
    <n v="152.75"/>
    <n v="58.5"/>
    <n v="153"/>
    <x v="1"/>
    <x v="2"/>
  </r>
  <r>
    <x v="4"/>
    <n v="107.1"/>
    <n v="127.9"/>
    <n v="70.400000000000006"/>
    <n v="6.78"/>
    <n v="1"/>
    <n v="0.71"/>
    <n v="35.9"/>
    <n v="45.1"/>
    <n v="2.71"/>
    <n v="178.5"/>
    <n v="127.9"/>
    <n v="88.000000000000014"/>
    <n v="16.95"/>
    <n v="2.5"/>
    <n v="35.5"/>
    <n v="178"/>
    <x v="1"/>
    <x v="0"/>
  </r>
  <r>
    <x v="0"/>
    <n v="58.7"/>
    <n v="269.39999999999998"/>
    <n v="89.1"/>
    <n v="21.96"/>
    <n v="41.4"/>
    <n v="1.58"/>
    <n v="14.4"/>
    <n v="76.599999999999994"/>
    <n v="1.1000000000000001"/>
    <n v="97.833333333333343"/>
    <n v="269.39999999999998"/>
    <n v="111.375"/>
    <n v="54.900000000000013"/>
    <n v="103.5"/>
    <n v="79"/>
    <n v="269"/>
    <x v="0"/>
    <x v="3"/>
  </r>
  <r>
    <x v="1"/>
    <n v="83.1"/>
    <n v="67.7"/>
    <n v="41.5"/>
    <n v="4.7699999999999996"/>
    <n v="31"/>
    <n v="1.1000000000000001"/>
    <n v="21.2"/>
    <n v="65"/>
    <n v="1.17"/>
    <n v="138.5"/>
    <n v="67.7"/>
    <n v="51.875"/>
    <n v="11.925000000000001"/>
    <n v="77.5"/>
    <n v="55.000000000000007"/>
    <n v="138"/>
    <x v="1"/>
    <x v="0"/>
  </r>
  <r>
    <x v="2"/>
    <n v="63.3"/>
    <n v="183.4"/>
    <n v="33"/>
    <n v="4.1900000000000004"/>
    <n v="32.5"/>
    <n v="1.81"/>
    <n v="26.4"/>
    <n v="40.4"/>
    <n v="3.08"/>
    <n v="105.5"/>
    <n v="183.4"/>
    <n v="41.25"/>
    <n v="10.475"/>
    <n v="81.25"/>
    <n v="90.5"/>
    <n v="183"/>
    <x v="1"/>
    <x v="3"/>
  </r>
  <r>
    <x v="3"/>
    <n v="26.9"/>
    <n v="160.9"/>
    <n v="53.2"/>
    <n v="6.46"/>
    <n v="19"/>
    <n v="0.67"/>
    <n v="28.7"/>
    <n v="72.099999999999994"/>
    <n v="1.74"/>
    <n v="44.833333333333329"/>
    <n v="160.9"/>
    <n v="66.5"/>
    <n v="16.149999999999999"/>
    <n v="47.5"/>
    <n v="33.5"/>
    <n v="161"/>
    <x v="1"/>
    <x v="3"/>
  </r>
  <r>
    <x v="4"/>
    <n v="81.099999999999994"/>
    <n v="5"/>
    <n v="36.6"/>
    <n v="8.6300000000000008"/>
    <n v="19"/>
    <n v="0.7"/>
    <n v="20.3"/>
    <n v="55.3"/>
    <n v="2.78"/>
    <n v="135.16666666666671"/>
    <n v="5"/>
    <n v="45.75"/>
    <n v="21.574999999999999"/>
    <n v="47.5"/>
    <n v="34.999999999999993"/>
    <n v="135"/>
    <x v="1"/>
    <x v="0"/>
  </r>
  <r>
    <x v="0"/>
    <n v="2"/>
    <n v="5"/>
    <n v="37.799999999999997"/>
    <n v="11.83"/>
    <n v="1"/>
    <n v="1.04"/>
    <n v="21.3"/>
    <n v="75"/>
    <n v="2.04"/>
    <n v="3.333333333333333"/>
    <n v="5"/>
    <n v="47.249999999999993"/>
    <n v="29.574999999999999"/>
    <n v="2.5"/>
    <n v="52.000000000000007"/>
    <n v="52"/>
    <x v="3"/>
    <x v="4"/>
  </r>
  <r>
    <x v="1"/>
    <n v="89.4"/>
    <n v="160.6"/>
    <n v="3"/>
    <n v="14.8"/>
    <n v="56.7"/>
    <n v="1.88"/>
    <n v="52.5"/>
    <n v="12.5"/>
    <n v="4.57"/>
    <n v="149"/>
    <n v="160.6"/>
    <n v="3.75"/>
    <n v="37.000000000000007"/>
    <n v="141.75"/>
    <n v="94"/>
    <n v="161"/>
    <x v="1"/>
    <x v="3"/>
  </r>
  <r>
    <x v="2"/>
    <n v="48.8"/>
    <n v="130.4"/>
    <n v="41.9"/>
    <n v="5.58"/>
    <n v="24.5"/>
    <n v="1.33"/>
    <n v="14.4"/>
    <n v="63.5"/>
    <n v="2"/>
    <n v="81.333333333333329"/>
    <n v="130.4"/>
    <n v="52.375"/>
    <n v="13.95"/>
    <n v="61.25"/>
    <n v="66.5"/>
    <n v="130"/>
    <x v="1"/>
    <x v="3"/>
  </r>
  <r>
    <x v="3"/>
    <n v="26.1"/>
    <n v="93"/>
    <n v="70.099999999999994"/>
    <n v="5.32"/>
    <n v="49"/>
    <n v="0.76"/>
    <n v="30.3"/>
    <n v="62.3"/>
    <n v="4.72"/>
    <n v="43.500000000000007"/>
    <n v="93"/>
    <n v="87.625"/>
    <n v="13.3"/>
    <n v="122.5"/>
    <n v="38"/>
    <n v="122"/>
    <x v="1"/>
    <x v="2"/>
  </r>
  <r>
    <x v="4"/>
    <n v="60.2"/>
    <n v="176.1"/>
    <n v="51.7"/>
    <n v="15.93"/>
    <n v="24.2"/>
    <n v="1.81"/>
    <n v="23.6"/>
    <n v="48.8"/>
    <n v="3.11"/>
    <n v="100.3333333333333"/>
    <n v="176.1"/>
    <n v="64.625"/>
    <n v="39.825000000000003"/>
    <n v="60.5"/>
    <n v="90.5"/>
    <n v="176"/>
    <x v="1"/>
    <x v="3"/>
  </r>
  <r>
    <x v="0"/>
    <n v="77.7"/>
    <n v="130"/>
    <n v="56.7"/>
    <n v="18.27"/>
    <n v="74.3"/>
    <n v="1.98"/>
    <n v="21.8"/>
    <n v="34"/>
    <n v="3.65"/>
    <n v="129.5"/>
    <n v="130"/>
    <n v="70.875000000000014"/>
    <n v="45.674999999999997"/>
    <n v="185.75"/>
    <n v="99"/>
    <n v="186"/>
    <x v="1"/>
    <x v="2"/>
  </r>
  <r>
    <x v="1"/>
    <n v="107.9"/>
    <n v="260.5"/>
    <n v="41.2"/>
    <n v="8.57"/>
    <n v="1"/>
    <n v="1.21"/>
    <n v="32"/>
    <n v="41.6"/>
    <n v="3.27"/>
    <n v="179.83333333333329"/>
    <n v="260.5"/>
    <n v="51.500000000000007"/>
    <n v="21.425000000000001"/>
    <n v="2.5"/>
    <n v="60.5"/>
    <n v="260"/>
    <x v="0"/>
    <x v="3"/>
  </r>
  <r>
    <x v="2"/>
    <n v="51.6"/>
    <n v="132.5"/>
    <n v="20.9"/>
    <n v="8"/>
    <n v="1"/>
    <n v="1.03"/>
    <n v="13.6"/>
    <n v="71.7"/>
    <n v="3.43"/>
    <n v="86"/>
    <n v="132.5"/>
    <n v="26.125"/>
    <n v="20"/>
    <n v="2.5"/>
    <n v="51.500000000000007"/>
    <n v="132"/>
    <x v="1"/>
    <x v="3"/>
  </r>
  <r>
    <x v="3"/>
    <n v="74"/>
    <n v="211.3"/>
    <n v="26"/>
    <n v="16.739999999999998"/>
    <n v="63.3"/>
    <n v="1.06"/>
    <n v="32.9"/>
    <n v="30.1"/>
    <n v="1.51"/>
    <n v="123.3333333333333"/>
    <n v="211.3"/>
    <n v="32.5"/>
    <n v="41.85"/>
    <n v="158.25"/>
    <n v="53.000000000000007"/>
    <n v="211"/>
    <x v="0"/>
    <x v="3"/>
  </r>
  <r>
    <x v="4"/>
    <n v="45.9"/>
    <n v="97.1"/>
    <n v="26.3"/>
    <n v="15.53"/>
    <n v="36.9"/>
    <n v="1.55"/>
    <n v="21"/>
    <n v="17.2"/>
    <n v="3.32"/>
    <n v="76.5"/>
    <n v="97.1"/>
    <n v="32.875"/>
    <n v="38.825000000000003"/>
    <n v="92.25"/>
    <n v="77.5"/>
    <n v="97"/>
    <x v="3"/>
    <x v="3"/>
  </r>
  <r>
    <x v="0"/>
    <n v="3"/>
    <n v="133.30000000000001"/>
    <n v="20.3"/>
    <n v="20.63"/>
    <n v="72.2"/>
    <n v="1.45"/>
    <n v="33.799999999999997"/>
    <n v="34.799999999999997"/>
    <n v="3.15"/>
    <n v="5"/>
    <n v="133.30000000000001"/>
    <n v="25.375"/>
    <n v="51.575000000000003"/>
    <n v="180.5"/>
    <n v="72.5"/>
    <n v="180"/>
    <x v="1"/>
    <x v="2"/>
  </r>
  <r>
    <x v="1"/>
    <n v="82.5"/>
    <n v="169.8"/>
    <n v="88.1"/>
    <n v="14.58"/>
    <n v="59"/>
    <n v="0.26"/>
    <n v="18.3"/>
    <n v="47.8"/>
    <n v="2.61"/>
    <n v="137.5"/>
    <n v="169.8"/>
    <n v="110.125"/>
    <n v="36.450000000000003"/>
    <n v="147.5"/>
    <n v="13"/>
    <n v="170"/>
    <x v="1"/>
    <x v="3"/>
  </r>
  <r>
    <x v="2"/>
    <n v="24.8"/>
    <n v="251.5"/>
    <n v="71.599999999999994"/>
    <n v="10.46"/>
    <n v="39.700000000000003"/>
    <n v="1.02"/>
    <n v="18.3"/>
    <n v="51.4"/>
    <n v="2.81"/>
    <n v="41.333333333333343"/>
    <n v="251.5"/>
    <n v="89.5"/>
    <n v="26.15"/>
    <n v="99.25"/>
    <n v="51.000000000000007"/>
    <n v="252"/>
    <x v="0"/>
    <x v="3"/>
  </r>
  <r>
    <x v="3"/>
    <n v="22.7"/>
    <n v="140.1"/>
    <n v="41.9"/>
    <n v="0.5"/>
    <n v="18.5"/>
    <n v="0.95"/>
    <n v="38.200000000000003"/>
    <n v="60"/>
    <n v="0.9"/>
    <n v="37.833333333333329"/>
    <n v="140.1"/>
    <n v="52.375"/>
    <n v="1.25"/>
    <n v="46.25"/>
    <n v="47.5"/>
    <n v="140"/>
    <x v="1"/>
    <x v="3"/>
  </r>
  <r>
    <x v="4"/>
    <n v="82"/>
    <n v="29.9"/>
    <n v="73.3"/>
    <n v="6.21"/>
    <n v="41.4"/>
    <n v="2.2000000000000002"/>
    <n v="16"/>
    <n v="24.9"/>
    <n v="2.2999999999999998"/>
    <n v="136.66666666666671"/>
    <n v="29.9"/>
    <n v="91.625"/>
    <n v="15.525"/>
    <n v="103.5"/>
    <n v="110"/>
    <n v="137"/>
    <x v="1"/>
    <x v="0"/>
  </r>
  <r>
    <x v="0"/>
    <n v="104.8"/>
    <n v="33.200000000000003"/>
    <n v="2"/>
    <n v="6.61"/>
    <n v="61.9"/>
    <n v="2.21"/>
    <n v="21.8"/>
    <n v="42.6"/>
    <n v="3.88"/>
    <n v="174.66666666666671"/>
    <n v="33.200000000000003"/>
    <n v="2.5"/>
    <n v="16.524999999999999"/>
    <n v="154.75"/>
    <n v="110.5"/>
    <n v="175"/>
    <x v="1"/>
    <x v="0"/>
  </r>
  <r>
    <x v="1"/>
    <n v="4.9000000000000004"/>
    <n v="120.9"/>
    <n v="61"/>
    <n v="12.81"/>
    <n v="34.1"/>
    <n v="1.53"/>
    <n v="7.6"/>
    <n v="38.200000000000003"/>
    <n v="3.04"/>
    <n v="8.1666666666666679"/>
    <n v="120.9"/>
    <n v="76.25"/>
    <n v="32.024999999999999"/>
    <n v="85.25"/>
    <n v="76.5"/>
    <n v="121"/>
    <x v="1"/>
    <x v="3"/>
  </r>
  <r>
    <x v="2"/>
    <n v="29"/>
    <n v="117.4"/>
    <n v="51.2"/>
    <n v="5.97"/>
    <n v="42"/>
    <n v="0.59"/>
    <n v="23.6"/>
    <n v="61"/>
    <n v="2.69"/>
    <n v="48.333333333333343"/>
    <n v="117.4"/>
    <n v="64"/>
    <n v="14.925000000000001"/>
    <n v="105"/>
    <n v="29.5"/>
    <n v="117"/>
    <x v="1"/>
    <x v="3"/>
  </r>
  <r>
    <x v="3"/>
    <n v="42.4"/>
    <n v="133.5"/>
    <n v="59.3"/>
    <n v="0.5"/>
    <n v="69"/>
    <n v="1"/>
    <n v="28"/>
    <n v="71.599999999999994"/>
    <n v="0.85"/>
    <n v="70.666666666666671"/>
    <n v="133.5"/>
    <n v="74.125"/>
    <n v="1.25"/>
    <n v="172.5"/>
    <n v="50"/>
    <n v="172"/>
    <x v="1"/>
    <x v="2"/>
  </r>
  <r>
    <x v="4"/>
    <n v="42.6"/>
    <n v="113"/>
    <n v="32.299999999999997"/>
    <n v="18.34"/>
    <n v="20.399999999999999"/>
    <n v="0.95"/>
    <n v="26.4"/>
    <n v="28.4"/>
    <n v="2.5299999999999998"/>
    <n v="71.000000000000014"/>
    <n v="113"/>
    <n v="40.374999999999993"/>
    <n v="45.85"/>
    <n v="51"/>
    <n v="47.5"/>
    <n v="113"/>
    <x v="1"/>
    <x v="3"/>
  </r>
  <r>
    <x v="0"/>
    <n v="80"/>
    <n v="115"/>
    <n v="49.6"/>
    <n v="6.16"/>
    <n v="2.5"/>
    <n v="1.6"/>
    <n v="37.299999999999997"/>
    <n v="50.3"/>
    <n v="2.77"/>
    <n v="133.33333333333329"/>
    <n v="115"/>
    <n v="62"/>
    <n v="15.4"/>
    <n v="6.25"/>
    <n v="80"/>
    <n v="133"/>
    <x v="1"/>
    <x v="0"/>
  </r>
  <r>
    <x v="1"/>
    <n v="101"/>
    <n v="54.8"/>
    <n v="98.8"/>
    <n v="11.26"/>
    <n v="101"/>
    <n v="0.95"/>
    <n v="37.700000000000003"/>
    <n v="64"/>
    <n v="3.16"/>
    <n v="168.33333333333329"/>
    <n v="54.8"/>
    <n v="123.5"/>
    <n v="28.15"/>
    <n v="252.5"/>
    <n v="47.5"/>
    <n v="252"/>
    <x v="0"/>
    <x v="2"/>
  </r>
  <r>
    <x v="2"/>
    <n v="63.7"/>
    <n v="99.8"/>
    <n v="65.599999999999994"/>
    <n v="8.27"/>
    <n v="1"/>
    <n v="0.5"/>
    <n v="23.7"/>
    <n v="55.6"/>
    <n v="2.4300000000000002"/>
    <n v="106.1666666666667"/>
    <n v="99.8"/>
    <n v="81.999999999999986"/>
    <n v="20.675000000000001"/>
    <n v="2.5"/>
    <n v="25"/>
    <n v="106"/>
    <x v="1"/>
    <x v="0"/>
  </r>
  <r>
    <x v="3"/>
    <n v="96.6"/>
    <n v="5"/>
    <n v="47.9"/>
    <n v="0.5"/>
    <n v="59"/>
    <n v="1.1399999999999999"/>
    <n v="27.9"/>
    <n v="34.5"/>
    <n v="4.04"/>
    <n v="161"/>
    <n v="5"/>
    <n v="59.875"/>
    <n v="1.25"/>
    <n v="147.5"/>
    <n v="56.999999999999993"/>
    <n v="161"/>
    <x v="1"/>
    <x v="0"/>
  </r>
  <r>
    <x v="4"/>
    <n v="100.4"/>
    <n v="170.5"/>
    <n v="46.7"/>
    <n v="11.99"/>
    <n v="24.6"/>
    <n v="1.88"/>
    <n v="36.5"/>
    <n v="69.3"/>
    <n v="2.12"/>
    <n v="167.33333333333329"/>
    <n v="170.5"/>
    <n v="58.375"/>
    <n v="29.975000000000001"/>
    <n v="61.500000000000007"/>
    <n v="94"/>
    <n v="170"/>
    <x v="1"/>
    <x v="3"/>
  </r>
  <r>
    <x v="0"/>
    <n v="81.5"/>
    <n v="48.8"/>
    <n v="64.900000000000006"/>
    <n v="11.79"/>
    <n v="1"/>
    <n v="0.57999999999999996"/>
    <n v="23"/>
    <n v="44.6"/>
    <n v="1.05"/>
    <n v="135.83333333333329"/>
    <n v="48.8"/>
    <n v="81.125"/>
    <n v="29.475000000000001"/>
    <n v="2.5"/>
    <n v="29"/>
    <n v="136"/>
    <x v="1"/>
    <x v="0"/>
  </r>
  <r>
    <x v="1"/>
    <n v="89.6"/>
    <n v="168.9"/>
    <n v="51.4"/>
    <n v="5.28"/>
    <n v="82.8"/>
    <n v="2.74"/>
    <n v="21.6"/>
    <n v="39"/>
    <n v="3.09"/>
    <n v="149.33333333333329"/>
    <n v="168.9"/>
    <n v="64.25"/>
    <n v="13.2"/>
    <n v="207"/>
    <n v="137"/>
    <n v="207"/>
    <x v="0"/>
    <x v="2"/>
  </r>
  <r>
    <x v="2"/>
    <n v="46.8"/>
    <n v="106.1"/>
    <n v="56.8"/>
    <n v="0.5"/>
    <n v="69.3"/>
    <n v="1.18"/>
    <n v="22.1"/>
    <n v="48.4"/>
    <n v="2.4500000000000002"/>
    <n v="78"/>
    <n v="106.1"/>
    <n v="71"/>
    <n v="1.25"/>
    <n v="173.25"/>
    <n v="59"/>
    <n v="173"/>
    <x v="1"/>
    <x v="2"/>
  </r>
  <r>
    <x v="3"/>
    <n v="8.1"/>
    <n v="209.7"/>
    <n v="45.8"/>
    <n v="10.220000000000001"/>
    <n v="63.8"/>
    <n v="0.59"/>
    <n v="28.3"/>
    <n v="45.2"/>
    <n v="3.52"/>
    <n v="13.5"/>
    <n v="209.7"/>
    <n v="57.249999999999993"/>
    <n v="25.55"/>
    <n v="159.5"/>
    <n v="29.5"/>
    <n v="210"/>
    <x v="0"/>
    <x v="3"/>
  </r>
  <r>
    <x v="4"/>
    <n v="2"/>
    <n v="125.5"/>
    <n v="36.200000000000003"/>
    <n v="11.18"/>
    <n v="56.9"/>
    <n v="0.85"/>
    <n v="20"/>
    <n v="48"/>
    <n v="1.92"/>
    <n v="3.333333333333333"/>
    <n v="125.5"/>
    <n v="45.250000000000007"/>
    <n v="27.95"/>
    <n v="142.25"/>
    <n v="42.499999999999993"/>
    <n v="142"/>
    <x v="1"/>
    <x v="2"/>
  </r>
  <r>
    <x v="0"/>
    <n v="98"/>
    <n v="112.5"/>
    <n v="2"/>
    <n v="7.04"/>
    <n v="16.100000000000001"/>
    <n v="0.25"/>
    <n v="16.3"/>
    <n v="52"/>
    <n v="4.09"/>
    <n v="163.33333333333329"/>
    <n v="112.5"/>
    <n v="2.5"/>
    <n v="17.600000000000001"/>
    <n v="40.25"/>
    <n v="12.5"/>
    <n v="163"/>
    <x v="1"/>
    <x v="0"/>
  </r>
  <r>
    <x v="1"/>
    <n v="86.7"/>
    <n v="104.5"/>
    <n v="67.599999999999994"/>
    <n v="7.13"/>
    <n v="28.3"/>
    <n v="0.63"/>
    <n v="12.7"/>
    <n v="43"/>
    <n v="2.69"/>
    <n v="144.5"/>
    <n v="104.5"/>
    <n v="84.499999999999986"/>
    <n v="17.824999999999999"/>
    <n v="70.750000000000014"/>
    <n v="31.5"/>
    <n v="145"/>
    <x v="1"/>
    <x v="0"/>
  </r>
  <r>
    <x v="2"/>
    <n v="54.2"/>
    <n v="90.3"/>
    <n v="24.8"/>
    <n v="10.49"/>
    <n v="6.7"/>
    <n v="1.58"/>
    <n v="18"/>
    <n v="36.5"/>
    <n v="0.74"/>
    <n v="90.333333333333329"/>
    <n v="90.3"/>
    <n v="31"/>
    <n v="26.225000000000001"/>
    <n v="16.75"/>
    <n v="79"/>
    <n v="90"/>
    <x v="3"/>
    <x v="0"/>
  </r>
  <r>
    <x v="3"/>
    <n v="45"/>
    <n v="178.5"/>
    <n v="55.3"/>
    <n v="12.89"/>
    <n v="53.1"/>
    <n v="0.54"/>
    <n v="22.7"/>
    <n v="36"/>
    <n v="4.0999999999999996"/>
    <n v="75"/>
    <n v="178.5"/>
    <n v="69.124999999999986"/>
    <n v="32.225000000000001"/>
    <n v="132.75"/>
    <n v="27"/>
    <n v="178"/>
    <x v="1"/>
    <x v="3"/>
  </r>
  <r>
    <x v="4"/>
    <n v="26.5"/>
    <n v="191"/>
    <n v="69.099999999999994"/>
    <n v="18.86"/>
    <n v="32.700000000000003"/>
    <n v="1.79"/>
    <n v="41"/>
    <n v="38.9"/>
    <n v="1.1599999999999999"/>
    <n v="44.166666666666657"/>
    <n v="191"/>
    <n v="86.375"/>
    <n v="47.15"/>
    <n v="81.75"/>
    <n v="89.5"/>
    <n v="191"/>
    <x v="1"/>
    <x v="3"/>
  </r>
  <r>
    <x v="0"/>
    <n v="4.0999999999999996"/>
    <n v="187.2"/>
    <n v="8.4"/>
    <n v="7.06"/>
    <n v="58.6"/>
    <n v="1.51"/>
    <n v="28"/>
    <n v="54"/>
    <n v="4.03"/>
    <n v="6.833333333333333"/>
    <n v="187.2"/>
    <n v="10.5"/>
    <n v="17.649999999999999"/>
    <n v="146.5"/>
    <n v="75.5"/>
    <n v="187"/>
    <x v="1"/>
    <x v="3"/>
  </r>
  <r>
    <x v="1"/>
    <n v="39.299999999999997"/>
    <n v="99.2"/>
    <n v="36.9"/>
    <n v="15.19"/>
    <n v="78.099999999999994"/>
    <n v="1.84"/>
    <n v="33.299999999999997"/>
    <n v="28.8"/>
    <n v="4.5"/>
    <n v="65.499999999999986"/>
    <n v="99.2"/>
    <n v="46.125"/>
    <n v="37.975000000000001"/>
    <n v="195.25"/>
    <n v="92"/>
    <n v="195"/>
    <x v="1"/>
    <x v="2"/>
  </r>
  <r>
    <x v="2"/>
    <n v="100.4"/>
    <n v="155.9"/>
    <n v="76.599999999999994"/>
    <n v="0.5"/>
    <n v="25.5"/>
    <n v="0.72"/>
    <n v="30.1"/>
    <n v="31.1"/>
    <n v="3.41"/>
    <n v="167.33333333333329"/>
    <n v="155.9"/>
    <n v="95.749999999999986"/>
    <n v="1.25"/>
    <n v="63.75"/>
    <n v="36"/>
    <n v="167"/>
    <x v="1"/>
    <x v="0"/>
  </r>
  <r>
    <x v="3"/>
    <n v="101.1"/>
    <n v="161.69999999999999"/>
    <n v="50.7"/>
    <n v="3.06"/>
    <n v="18.8"/>
    <n v="1.95"/>
    <n v="30.5"/>
    <n v="49.3"/>
    <n v="2"/>
    <n v="168.5"/>
    <n v="161.69999999999999"/>
    <n v="63.375"/>
    <n v="7.65"/>
    <n v="47"/>
    <n v="97.5"/>
    <n v="168"/>
    <x v="1"/>
    <x v="0"/>
  </r>
  <r>
    <x v="4"/>
    <n v="2"/>
    <n v="61.3"/>
    <n v="91.6"/>
    <n v="1.76"/>
    <n v="49.2"/>
    <n v="1.98"/>
    <n v="16.2"/>
    <n v="53.3"/>
    <n v="4.13"/>
    <n v="3.333333333333333"/>
    <n v="61.3"/>
    <n v="114.5"/>
    <n v="4.4000000000000004"/>
    <n v="123"/>
    <n v="99"/>
    <n v="123"/>
    <x v="1"/>
    <x v="2"/>
  </r>
  <r>
    <x v="0"/>
    <n v="69.400000000000006"/>
    <n v="335.9"/>
    <n v="13.4"/>
    <n v="15.29"/>
    <n v="41"/>
    <n v="1.91"/>
    <n v="28.1"/>
    <n v="36.799999999999997"/>
    <n v="2.77"/>
    <n v="115.6666666666667"/>
    <n v="335.9"/>
    <n v="16.75"/>
    <n v="38.224999999999987"/>
    <n v="102.5"/>
    <n v="95.5"/>
    <n v="336"/>
    <x v="2"/>
    <x v="3"/>
  </r>
  <r>
    <x v="1"/>
    <n v="5.3"/>
    <n v="195.2"/>
    <n v="63.7"/>
    <n v="13.99"/>
    <n v="83.1"/>
    <n v="1.78"/>
    <n v="26"/>
    <n v="34.1"/>
    <n v="1.65"/>
    <n v="8.8333333333333339"/>
    <n v="195.2"/>
    <n v="79.625"/>
    <n v="34.975000000000001"/>
    <n v="207.75"/>
    <n v="89"/>
    <n v="208"/>
    <x v="0"/>
    <x v="2"/>
  </r>
  <r>
    <x v="2"/>
    <n v="90.8"/>
    <n v="195.9"/>
    <n v="38.200000000000003"/>
    <n v="7.82"/>
    <n v="16.5"/>
    <n v="1.81"/>
    <n v="29.7"/>
    <n v="84.9"/>
    <n v="1.45"/>
    <n v="151.33333333333329"/>
    <n v="195.9"/>
    <n v="47.75"/>
    <n v="19.55"/>
    <n v="41.25"/>
    <n v="90.5"/>
    <n v="196"/>
    <x v="1"/>
    <x v="3"/>
  </r>
  <r>
    <x v="3"/>
    <n v="48.7"/>
    <n v="133.9"/>
    <n v="57.9"/>
    <n v="6.92"/>
    <n v="18.2"/>
    <n v="1.73"/>
    <n v="30"/>
    <n v="33.5"/>
    <n v="4.13"/>
    <n v="81.166666666666671"/>
    <n v="133.9"/>
    <n v="72.375"/>
    <n v="17.3"/>
    <n v="45.5"/>
    <n v="86.5"/>
    <n v="134"/>
    <x v="1"/>
    <x v="3"/>
  </r>
  <r>
    <x v="4"/>
    <n v="104.6"/>
    <n v="140.9"/>
    <n v="51.3"/>
    <n v="11.85"/>
    <n v="20.3"/>
    <n v="1.34"/>
    <n v="9.9"/>
    <n v="65.8"/>
    <n v="1.1299999999999999"/>
    <n v="174.33333333333329"/>
    <n v="140.9"/>
    <n v="64.125"/>
    <n v="29.625"/>
    <n v="50.75"/>
    <n v="67"/>
    <n v="174"/>
    <x v="1"/>
    <x v="0"/>
  </r>
  <r>
    <x v="0"/>
    <n v="120.9"/>
    <n v="115.2"/>
    <n v="46.9"/>
    <n v="5.59"/>
    <n v="37.700000000000003"/>
    <n v="2.36"/>
    <n v="7.6"/>
    <n v="73"/>
    <n v="2.91"/>
    <n v="201.5"/>
    <n v="115.2"/>
    <n v="58.625"/>
    <n v="13.975"/>
    <n v="94.25"/>
    <n v="118"/>
    <n v="202"/>
    <x v="0"/>
    <x v="0"/>
  </r>
  <r>
    <x v="1"/>
    <n v="29.7"/>
    <n v="69.400000000000006"/>
    <n v="98.2"/>
    <n v="4.09"/>
    <n v="14"/>
    <n v="2.35"/>
    <n v="27.4"/>
    <n v="33.1"/>
    <n v="2.76"/>
    <n v="49.499999999999993"/>
    <n v="69.400000000000006"/>
    <n v="122.75"/>
    <n v="10.225"/>
    <n v="35"/>
    <n v="117.5"/>
    <n v="123"/>
    <x v="1"/>
    <x v="1"/>
  </r>
  <r>
    <x v="2"/>
    <n v="27.8"/>
    <n v="176.7"/>
    <n v="62.9"/>
    <n v="10.130000000000001"/>
    <n v="46.6"/>
    <n v="2.14"/>
    <n v="25"/>
    <n v="28.7"/>
    <n v="3.04"/>
    <n v="46.333333333333343"/>
    <n v="176.7"/>
    <n v="78.625"/>
    <n v="25.324999999999999"/>
    <n v="116.5"/>
    <n v="107"/>
    <n v="177"/>
    <x v="1"/>
    <x v="3"/>
  </r>
  <r>
    <x v="3"/>
    <n v="122.6"/>
    <n v="59.1"/>
    <n v="37.799999999999997"/>
    <n v="10.08"/>
    <n v="38.700000000000003"/>
    <n v="0.61"/>
    <n v="32.9"/>
    <n v="91.8"/>
    <n v="2.74"/>
    <n v="204.33333333333329"/>
    <n v="59.1"/>
    <n v="47.249999999999993"/>
    <n v="25.2"/>
    <n v="96.75"/>
    <n v="30.5"/>
    <n v="204"/>
    <x v="0"/>
    <x v="0"/>
  </r>
  <r>
    <x v="4"/>
    <n v="36.200000000000003"/>
    <n v="29.8"/>
    <n v="55.2"/>
    <n v="14.87"/>
    <n v="57.1"/>
    <n v="1.32"/>
    <n v="20.9"/>
    <n v="30.3"/>
    <n v="4"/>
    <n v="60.333333333333343"/>
    <n v="29.8"/>
    <n v="69"/>
    <n v="37.174999999999997"/>
    <n v="142.75"/>
    <n v="66"/>
    <n v="143"/>
    <x v="1"/>
    <x v="2"/>
  </r>
  <r>
    <x v="0"/>
    <n v="100.5"/>
    <n v="31.3"/>
    <n v="88.3"/>
    <n v="12.5"/>
    <n v="86.2"/>
    <n v="0.45"/>
    <n v="15.4"/>
    <n v="47.3"/>
    <n v="3.1"/>
    <n v="167.5"/>
    <n v="31.3"/>
    <n v="110.375"/>
    <n v="31.25"/>
    <n v="215.5"/>
    <n v="22.5"/>
    <n v="216"/>
    <x v="0"/>
    <x v="2"/>
  </r>
  <r>
    <x v="1"/>
    <n v="142.4"/>
    <n v="203"/>
    <n v="50.2"/>
    <n v="3.59"/>
    <n v="88.4"/>
    <n v="0.78"/>
    <n v="36.4"/>
    <n v="44.9"/>
    <n v="4.41"/>
    <n v="237.33333333333329"/>
    <n v="203"/>
    <n v="62.75"/>
    <n v="8.9749999999999996"/>
    <n v="221"/>
    <n v="39"/>
    <n v="237"/>
    <x v="0"/>
    <x v="0"/>
  </r>
  <r>
    <x v="2"/>
    <n v="76.3"/>
    <n v="106.2"/>
    <n v="32.9"/>
    <n v="5.98"/>
    <n v="48.2"/>
    <n v="1.18"/>
    <n v="20.8"/>
    <n v="47"/>
    <n v="2.59"/>
    <n v="127.1666666666667"/>
    <n v="106.2"/>
    <n v="41.124999999999993"/>
    <n v="14.95"/>
    <n v="120.5"/>
    <n v="59"/>
    <n v="127"/>
    <x v="1"/>
    <x v="0"/>
  </r>
  <r>
    <x v="3"/>
    <n v="2"/>
    <n v="147.5"/>
    <n v="25.4"/>
    <n v="2.23"/>
    <n v="1"/>
    <n v="0.12"/>
    <n v="15.5"/>
    <n v="37.200000000000003"/>
    <n v="4.84"/>
    <n v="3.333333333333333"/>
    <n v="147.5"/>
    <n v="31.75"/>
    <n v="5.5750000000000002"/>
    <n v="2.5"/>
    <n v="6"/>
    <n v="148"/>
    <x v="1"/>
    <x v="3"/>
  </r>
  <r>
    <x v="4"/>
    <n v="48.6"/>
    <n v="143.69999999999999"/>
    <n v="58.3"/>
    <n v="9.52"/>
    <n v="41.9"/>
    <n v="0.53"/>
    <n v="35.200000000000003"/>
    <n v="82.5"/>
    <n v="0.98"/>
    <n v="81"/>
    <n v="143.69999999999999"/>
    <n v="72.875"/>
    <n v="23.8"/>
    <n v="104.75"/>
    <n v="26.5"/>
    <n v="144"/>
    <x v="1"/>
    <x v="3"/>
  </r>
  <r>
    <x v="0"/>
    <n v="33.700000000000003"/>
    <n v="118.7"/>
    <n v="29.6"/>
    <n v="12.11"/>
    <n v="25.1"/>
    <n v="2.87"/>
    <n v="33.299999999999997"/>
    <n v="53.8"/>
    <n v="3.73"/>
    <n v="56.166666666666671"/>
    <n v="118.7"/>
    <n v="37.000000000000007"/>
    <n v="30.274999999999999"/>
    <n v="62.75"/>
    <n v="143.5"/>
    <n v="144"/>
    <x v="1"/>
    <x v="4"/>
  </r>
  <r>
    <x v="1"/>
    <n v="116.5"/>
    <n v="107.7"/>
    <n v="35.799999999999997"/>
    <n v="10.49"/>
    <n v="76.900000000000006"/>
    <n v="1.6"/>
    <n v="14"/>
    <n v="35.5"/>
    <n v="2.41"/>
    <n v="194.16666666666671"/>
    <n v="107.7"/>
    <n v="44.75"/>
    <n v="26.225000000000001"/>
    <n v="192.25"/>
    <n v="80"/>
    <n v="194"/>
    <x v="1"/>
    <x v="0"/>
  </r>
  <r>
    <x v="2"/>
    <n v="54.8"/>
    <n v="226.4"/>
    <n v="16.399999999999999"/>
    <n v="10"/>
    <n v="73.400000000000006"/>
    <n v="2.4300000000000002"/>
    <n v="22.2"/>
    <n v="58.8"/>
    <n v="3.18"/>
    <n v="91.333333333333329"/>
    <n v="226.4"/>
    <n v="20.5"/>
    <n v="25"/>
    <n v="183.5"/>
    <n v="121.5"/>
    <n v="226"/>
    <x v="0"/>
    <x v="3"/>
  </r>
  <r>
    <x v="3"/>
    <n v="65.900000000000006"/>
    <n v="114.1"/>
    <n v="53.7"/>
    <n v="0.5"/>
    <n v="57.1"/>
    <n v="1.28"/>
    <n v="23.4"/>
    <n v="86.8"/>
    <n v="1.69"/>
    <n v="109.8333333333333"/>
    <n v="114.1"/>
    <n v="67.125"/>
    <n v="1.25"/>
    <n v="142.75"/>
    <n v="64"/>
    <n v="143"/>
    <x v="1"/>
    <x v="2"/>
  </r>
  <r>
    <x v="4"/>
    <n v="52.7"/>
    <n v="263.39999999999998"/>
    <n v="31.2"/>
    <n v="5.77"/>
    <n v="40"/>
    <n v="1.87"/>
    <n v="26.5"/>
    <n v="26.7"/>
    <n v="2.36"/>
    <n v="87.833333333333329"/>
    <n v="263.39999999999998"/>
    <n v="39"/>
    <n v="14.425000000000001"/>
    <n v="100"/>
    <n v="93.5"/>
    <n v="263"/>
    <x v="0"/>
    <x v="3"/>
  </r>
  <r>
    <x v="0"/>
    <n v="48"/>
    <n v="132.69999999999999"/>
    <n v="61.5"/>
    <n v="11.6"/>
    <n v="1"/>
    <n v="2.11"/>
    <n v="26.8"/>
    <n v="74.900000000000006"/>
    <n v="3.03"/>
    <n v="80"/>
    <n v="132.69999999999999"/>
    <n v="76.875"/>
    <n v="29"/>
    <n v="2.5"/>
    <n v="105.5"/>
    <n v="133"/>
    <x v="1"/>
    <x v="3"/>
  </r>
  <r>
    <x v="1"/>
    <n v="116.3"/>
    <n v="185"/>
    <n v="89.9"/>
    <n v="13.26"/>
    <n v="46.9"/>
    <n v="3.2"/>
    <n v="31.2"/>
    <n v="60.3"/>
    <n v="0.97"/>
    <n v="193.83333333333329"/>
    <n v="185"/>
    <n v="112.375"/>
    <n v="33.15"/>
    <n v="117.25"/>
    <n v="160"/>
    <n v="194"/>
    <x v="1"/>
    <x v="0"/>
  </r>
  <r>
    <x v="2"/>
    <n v="20.3"/>
    <n v="130.69999999999999"/>
    <n v="45.5"/>
    <n v="4.68"/>
    <n v="41.3"/>
    <n v="2.0499999999999998"/>
    <n v="29.9"/>
    <n v="29.5"/>
    <n v="2.37"/>
    <n v="33.833333333333343"/>
    <n v="130.69999999999999"/>
    <n v="56.875"/>
    <n v="11.7"/>
    <n v="103.25"/>
    <n v="102.5"/>
    <n v="131"/>
    <x v="1"/>
    <x v="3"/>
  </r>
  <r>
    <x v="3"/>
    <n v="35.9"/>
    <n v="96.7"/>
    <n v="36.700000000000003"/>
    <n v="5.61"/>
    <n v="8.6"/>
    <n v="1.1200000000000001"/>
    <n v="21.1"/>
    <n v="10"/>
    <n v="4.96"/>
    <n v="59.833333333333329"/>
    <n v="96.7"/>
    <n v="45.875000000000007"/>
    <n v="14.025"/>
    <n v="21.5"/>
    <n v="56.000000000000007"/>
    <n v="97"/>
    <x v="3"/>
    <x v="3"/>
  </r>
  <r>
    <x v="4"/>
    <n v="101.9"/>
    <n v="107.2"/>
    <n v="49.9"/>
    <n v="2.36"/>
    <n v="90.6"/>
    <n v="2.57"/>
    <n v="26.1"/>
    <n v="68.400000000000006"/>
    <n v="3.21"/>
    <n v="169.83333333333329"/>
    <n v="107.2"/>
    <n v="62.375"/>
    <n v="5.8999999999999986"/>
    <n v="226.5"/>
    <n v="128.5"/>
    <n v="226"/>
    <x v="0"/>
    <x v="2"/>
  </r>
  <r>
    <x v="0"/>
    <n v="22.9"/>
    <n v="109.6"/>
    <n v="54.8"/>
    <n v="6.59"/>
    <n v="39.700000000000003"/>
    <n v="1.32"/>
    <n v="24.4"/>
    <n v="50.9"/>
    <n v="1.23"/>
    <n v="38.166666666666657"/>
    <n v="109.6"/>
    <n v="68.499999999999986"/>
    <n v="16.475000000000001"/>
    <n v="99.25"/>
    <n v="66"/>
    <n v="110"/>
    <x v="1"/>
    <x v="3"/>
  </r>
  <r>
    <x v="1"/>
    <n v="48.1"/>
    <n v="53.7"/>
    <n v="80.7"/>
    <n v="0.5"/>
    <n v="86"/>
    <n v="2.54"/>
    <n v="22.9"/>
    <n v="10"/>
    <n v="2.0699999999999998"/>
    <n v="80.166666666666657"/>
    <n v="53.7"/>
    <n v="100.875"/>
    <n v="1.25"/>
    <n v="215"/>
    <n v="127"/>
    <n v="215"/>
    <x v="0"/>
    <x v="2"/>
  </r>
  <r>
    <x v="2"/>
    <n v="55.2"/>
    <n v="56.4"/>
    <n v="33"/>
    <n v="14.87"/>
    <n v="53.8"/>
    <n v="0.61"/>
    <n v="13.8"/>
    <n v="44.1"/>
    <n v="2.2400000000000002"/>
    <n v="92"/>
    <n v="56.4"/>
    <n v="41.25"/>
    <n v="37.174999999999997"/>
    <n v="134.5"/>
    <n v="30.5"/>
    <n v="134"/>
    <x v="1"/>
    <x v="2"/>
  </r>
  <r>
    <x v="3"/>
    <n v="74.900000000000006"/>
    <n v="87.9"/>
    <n v="55.2"/>
    <n v="17.68"/>
    <n v="60.4"/>
    <n v="1.17"/>
    <n v="23.7"/>
    <n v="43.6"/>
    <n v="3.92"/>
    <n v="124.8333333333333"/>
    <n v="87.9"/>
    <n v="69"/>
    <n v="44.2"/>
    <n v="151"/>
    <n v="58.5"/>
    <n v="151"/>
    <x v="1"/>
    <x v="2"/>
  </r>
  <r>
    <x v="4"/>
    <n v="45.3"/>
    <n v="135"/>
    <n v="50.6"/>
    <n v="6.04"/>
    <n v="6.3"/>
    <n v="1.53"/>
    <n v="24.6"/>
    <n v="59"/>
    <n v="2.36"/>
    <n v="75.5"/>
    <n v="135"/>
    <n v="63.25"/>
    <n v="15.1"/>
    <n v="15.75"/>
    <n v="76.5"/>
    <n v="135"/>
    <x v="1"/>
    <x v="3"/>
  </r>
  <r>
    <x v="0"/>
    <n v="111.1"/>
    <n v="77.5"/>
    <n v="91.1"/>
    <n v="0.5"/>
    <n v="58.5"/>
    <n v="1.71"/>
    <n v="19.399999999999999"/>
    <n v="57.6"/>
    <n v="4.04"/>
    <n v="185.16666666666671"/>
    <n v="77.5"/>
    <n v="113.875"/>
    <n v="1.25"/>
    <n v="146.25"/>
    <n v="85.499999999999986"/>
    <n v="185"/>
    <x v="1"/>
    <x v="0"/>
  </r>
  <r>
    <x v="1"/>
    <n v="2"/>
    <n v="187.7"/>
    <n v="2"/>
    <n v="3.96"/>
    <n v="100.9"/>
    <n v="1.06"/>
    <n v="16.8"/>
    <n v="46.4"/>
    <n v="4.9800000000000004"/>
    <n v="3.333333333333333"/>
    <n v="187.7"/>
    <n v="2.5"/>
    <n v="9.8999999999999986"/>
    <n v="252.25"/>
    <n v="53.000000000000007"/>
    <n v="252"/>
    <x v="0"/>
    <x v="2"/>
  </r>
  <r>
    <x v="2"/>
    <n v="4.8"/>
    <n v="54.1"/>
    <n v="71.2"/>
    <n v="16.420000000000002"/>
    <n v="35.5"/>
    <n v="0.43"/>
    <n v="39.700000000000003"/>
    <n v="78.7"/>
    <n v="3.31"/>
    <n v="8"/>
    <n v="54.1"/>
    <n v="89.000000000000014"/>
    <n v="41.05"/>
    <n v="88.75"/>
    <n v="21.5"/>
    <n v="89"/>
    <x v="3"/>
    <x v="1"/>
  </r>
  <r>
    <x v="3"/>
    <n v="35.6"/>
    <n v="117.1"/>
    <n v="41.8"/>
    <n v="9.65"/>
    <n v="76.3"/>
    <n v="1.73"/>
    <n v="17.5"/>
    <n v="74.8"/>
    <n v="2.88"/>
    <n v="59.333333333333343"/>
    <n v="117.1"/>
    <n v="52.25"/>
    <n v="24.125"/>
    <n v="190.75"/>
    <n v="86.5"/>
    <n v="191"/>
    <x v="1"/>
    <x v="2"/>
  </r>
  <r>
    <x v="4"/>
    <n v="88.7"/>
    <n v="228.8"/>
    <n v="25"/>
    <n v="8.6"/>
    <n v="29.4"/>
    <n v="0.28999999999999998"/>
    <n v="27.4"/>
    <n v="95.2"/>
    <n v="0.79"/>
    <n v="147.83333333333329"/>
    <n v="228.8"/>
    <n v="31.25"/>
    <n v="21.5"/>
    <n v="73.5"/>
    <n v="14.5"/>
    <n v="229"/>
    <x v="0"/>
    <x v="3"/>
  </r>
  <r>
    <x v="0"/>
    <n v="67.900000000000006"/>
    <n v="182.2"/>
    <n v="54.6"/>
    <n v="8.5500000000000007"/>
    <n v="8.6"/>
    <n v="1.54"/>
    <n v="19.7"/>
    <n v="10.6"/>
    <n v="3.93"/>
    <n v="113.1666666666667"/>
    <n v="182.2"/>
    <n v="68.25"/>
    <n v="21.375"/>
    <n v="21.5"/>
    <n v="77"/>
    <n v="182"/>
    <x v="1"/>
    <x v="3"/>
  </r>
  <r>
    <x v="1"/>
    <n v="110.9"/>
    <n v="153.9"/>
    <n v="62"/>
    <n v="16.71"/>
    <n v="57"/>
    <n v="2.1800000000000002"/>
    <n v="22.9"/>
    <n v="73.599999999999994"/>
    <n v="2.88"/>
    <n v="184.83333333333329"/>
    <n v="153.9"/>
    <n v="77.5"/>
    <n v="41.774999999999999"/>
    <n v="142.5"/>
    <n v="109"/>
    <n v="185"/>
    <x v="1"/>
    <x v="0"/>
  </r>
  <r>
    <x v="2"/>
    <n v="62.5"/>
    <n v="41.6"/>
    <n v="48.2"/>
    <n v="3.65"/>
    <n v="22.8"/>
    <n v="0.68"/>
    <n v="17.5"/>
    <n v="88.2"/>
    <n v="4.0999999999999996"/>
    <n v="104.1666666666667"/>
    <n v="41.6"/>
    <n v="60.250000000000007"/>
    <n v="9.125"/>
    <n v="57"/>
    <n v="34"/>
    <n v="104"/>
    <x v="1"/>
    <x v="0"/>
  </r>
  <r>
    <x v="3"/>
    <n v="117.6"/>
    <n v="46.6"/>
    <n v="46.4"/>
    <n v="1.53"/>
    <n v="22.6"/>
    <n v="0.65"/>
    <n v="33.700000000000003"/>
    <n v="42.9"/>
    <n v="3.78"/>
    <n v="196"/>
    <n v="46.6"/>
    <n v="57.999999999999993"/>
    <n v="3.8250000000000002"/>
    <n v="56.5"/>
    <n v="32.5"/>
    <n v="196"/>
    <x v="1"/>
    <x v="0"/>
  </r>
  <r>
    <x v="4"/>
    <n v="85.9"/>
    <n v="284"/>
    <n v="17"/>
    <n v="15.73"/>
    <n v="75.5"/>
    <n v="0.68"/>
    <n v="32"/>
    <n v="56.1"/>
    <n v="2.73"/>
    <n v="143.16666666666671"/>
    <n v="284"/>
    <n v="21.25"/>
    <n v="39.325000000000003"/>
    <n v="188.75"/>
    <n v="34"/>
    <n v="284"/>
    <x v="0"/>
    <x v="3"/>
  </r>
  <r>
    <x v="0"/>
    <n v="40.6"/>
    <n v="88.4"/>
    <n v="98.9"/>
    <n v="9.1999999999999993"/>
    <n v="68.5"/>
    <n v="0.83"/>
    <n v="19.5"/>
    <n v="69.5"/>
    <n v="0.88"/>
    <n v="67.666666666666671"/>
    <n v="88.4"/>
    <n v="123.625"/>
    <n v="23"/>
    <n v="171.25"/>
    <n v="41.499999999999993"/>
    <n v="171"/>
    <x v="1"/>
    <x v="2"/>
  </r>
  <r>
    <x v="1"/>
    <n v="59.4"/>
    <n v="152.6"/>
    <n v="59"/>
    <n v="8.8800000000000008"/>
    <n v="62.4"/>
    <n v="2.02"/>
    <n v="30.1"/>
    <n v="32.299999999999997"/>
    <n v="2.16"/>
    <n v="98.999999999999986"/>
    <n v="152.6"/>
    <n v="73.75"/>
    <n v="22.2"/>
    <n v="156"/>
    <n v="101"/>
    <n v="156"/>
    <x v="1"/>
    <x v="2"/>
  </r>
  <r>
    <x v="2"/>
    <n v="91.1"/>
    <n v="165"/>
    <n v="16.7"/>
    <n v="9.27"/>
    <n v="1"/>
    <n v="1.17"/>
    <n v="38.299999999999997"/>
    <n v="32.9"/>
    <n v="1.5"/>
    <n v="151.83333333333329"/>
    <n v="165"/>
    <n v="20.875"/>
    <n v="23.175000000000001"/>
    <n v="2.5"/>
    <n v="58.5"/>
    <n v="165"/>
    <x v="1"/>
    <x v="3"/>
  </r>
  <r>
    <x v="3"/>
    <n v="82.9"/>
    <n v="27.4"/>
    <n v="32.299999999999997"/>
    <n v="10.98"/>
    <n v="24.1"/>
    <n v="1.06"/>
    <n v="30.2"/>
    <n v="57.6"/>
    <n v="2.82"/>
    <n v="138.16666666666671"/>
    <n v="27.4"/>
    <n v="40.374999999999993"/>
    <n v="27.45"/>
    <n v="60.250000000000007"/>
    <n v="53.000000000000007"/>
    <n v="138"/>
    <x v="1"/>
    <x v="0"/>
  </r>
  <r>
    <x v="4"/>
    <n v="54.8"/>
    <n v="156.4"/>
    <n v="46.8"/>
    <n v="11.32"/>
    <n v="30.3"/>
    <n v="1.2"/>
    <n v="18.100000000000001"/>
    <n v="49.4"/>
    <n v="2.0299999999999998"/>
    <n v="91.333333333333329"/>
    <n v="156.4"/>
    <n v="58.5"/>
    <n v="28.3"/>
    <n v="75.75"/>
    <n v="60"/>
    <n v="156"/>
    <x v="1"/>
    <x v="3"/>
  </r>
  <r>
    <x v="0"/>
    <n v="30.6"/>
    <n v="155.80000000000001"/>
    <n v="56.6"/>
    <n v="13.7"/>
    <n v="33.6"/>
    <n v="1.66"/>
    <n v="28.9"/>
    <n v="58"/>
    <n v="1.51"/>
    <n v="51.000000000000007"/>
    <n v="155.80000000000001"/>
    <n v="70.750000000000014"/>
    <n v="34.249999999999993"/>
    <n v="84"/>
    <n v="82.999999999999986"/>
    <n v="156"/>
    <x v="1"/>
    <x v="3"/>
  </r>
  <r>
    <x v="1"/>
    <n v="80.599999999999994"/>
    <n v="177.3"/>
    <n v="56.4"/>
    <n v="0.5"/>
    <n v="55"/>
    <n v="3.16"/>
    <n v="22.5"/>
    <n v="36.9"/>
    <n v="2.95"/>
    <n v="134.33333333333329"/>
    <n v="177.3"/>
    <n v="70.5"/>
    <n v="1.25"/>
    <n v="137.5"/>
    <n v="158"/>
    <n v="177"/>
    <x v="1"/>
    <x v="3"/>
  </r>
  <r>
    <x v="2"/>
    <n v="65.900000000000006"/>
    <n v="182"/>
    <n v="18.899999999999999"/>
    <n v="11.07"/>
    <n v="52"/>
    <n v="1.06"/>
    <n v="27.4"/>
    <n v="68.5"/>
    <n v="3.55"/>
    <n v="109.8333333333333"/>
    <n v="182"/>
    <n v="23.625"/>
    <n v="27.675000000000001"/>
    <n v="130"/>
    <n v="53.000000000000007"/>
    <n v="182"/>
    <x v="1"/>
    <x v="3"/>
  </r>
  <r>
    <x v="3"/>
    <n v="25.7"/>
    <n v="169.2"/>
    <n v="43.7"/>
    <n v="8.36"/>
    <n v="41.8"/>
    <n v="1.1100000000000001"/>
    <n v="33.299999999999997"/>
    <n v="48.5"/>
    <n v="1.1599999999999999"/>
    <n v="42.833333333333343"/>
    <n v="169.2"/>
    <n v="54.625000000000007"/>
    <n v="20.9"/>
    <n v="104.5"/>
    <n v="55.500000000000007"/>
    <n v="169"/>
    <x v="1"/>
    <x v="3"/>
  </r>
  <r>
    <x v="4"/>
    <n v="53"/>
    <n v="143.80000000000001"/>
    <n v="76.5"/>
    <n v="12.12"/>
    <n v="20.6"/>
    <n v="2.96"/>
    <n v="26.9"/>
    <n v="73"/>
    <n v="2.82"/>
    <n v="88.333333333333329"/>
    <n v="143.80000000000001"/>
    <n v="95.625"/>
    <n v="30.3"/>
    <n v="51.500000000000007"/>
    <n v="148"/>
    <n v="148"/>
    <x v="1"/>
    <x v="4"/>
  </r>
  <r>
    <x v="0"/>
    <n v="87.4"/>
    <n v="195.9"/>
    <n v="79.8"/>
    <n v="15.28"/>
    <n v="71.099999999999994"/>
    <n v="1.1599999999999999"/>
    <n v="21"/>
    <n v="56"/>
    <n v="3.62"/>
    <n v="145.66666666666671"/>
    <n v="195.9"/>
    <n v="99.749999999999986"/>
    <n v="38.200000000000003"/>
    <n v="177.75"/>
    <n v="57.999999999999993"/>
    <n v="196"/>
    <x v="1"/>
    <x v="3"/>
  </r>
  <r>
    <x v="1"/>
    <n v="66.599999999999994"/>
    <n v="229.9"/>
    <n v="92.6"/>
    <n v="4.2699999999999996"/>
    <n v="23.8"/>
    <n v="1.39"/>
    <n v="27.2"/>
    <n v="40.6"/>
    <n v="4.12"/>
    <n v="111"/>
    <n v="229.9"/>
    <n v="115.75"/>
    <n v="10.675000000000001"/>
    <n v="59.500000000000007"/>
    <n v="69.499999999999986"/>
    <n v="230"/>
    <x v="0"/>
    <x v="3"/>
  </r>
  <r>
    <x v="2"/>
    <n v="69.099999999999994"/>
    <n v="116.2"/>
    <n v="15.5"/>
    <n v="1.35"/>
    <n v="44.7"/>
    <n v="0.05"/>
    <n v="32.1"/>
    <n v="47.2"/>
    <n v="6.39"/>
    <n v="115.1666666666667"/>
    <n v="116.2"/>
    <n v="19.375"/>
    <n v="3.375"/>
    <n v="111.75"/>
    <n v="2.5"/>
    <n v="116"/>
    <x v="1"/>
    <x v="3"/>
  </r>
  <r>
    <x v="3"/>
    <n v="129.19999999999999"/>
    <n v="109.1"/>
    <n v="42.9"/>
    <n v="12.98"/>
    <n v="82.6"/>
    <n v="0.22"/>
    <n v="12.5"/>
    <n v="38.799999999999997"/>
    <n v="3.2"/>
    <n v="215.33333333333329"/>
    <n v="109.1"/>
    <n v="53.625"/>
    <n v="32.450000000000003"/>
    <n v="206.5"/>
    <n v="11"/>
    <n v="215"/>
    <x v="0"/>
    <x v="0"/>
  </r>
  <r>
    <x v="4"/>
    <n v="82.4"/>
    <n v="202.6"/>
    <n v="23.1"/>
    <n v="0.5"/>
    <n v="67.599999999999994"/>
    <n v="0.77"/>
    <n v="10.9"/>
    <n v="52.6"/>
    <n v="3.95"/>
    <n v="137.33333333333329"/>
    <n v="202.6"/>
    <n v="28.875"/>
    <n v="1.25"/>
    <n v="169"/>
    <n v="38.5"/>
    <n v="203"/>
    <x v="0"/>
    <x v="3"/>
  </r>
  <r>
    <x v="0"/>
    <n v="64.8"/>
    <n v="106.4"/>
    <n v="48.1"/>
    <n v="7.07"/>
    <n v="7.2"/>
    <n v="0.89"/>
    <n v="28.6"/>
    <n v="55.8"/>
    <n v="2.7"/>
    <n v="108"/>
    <n v="106.4"/>
    <n v="60.125000000000007"/>
    <n v="17.675000000000001"/>
    <n v="18"/>
    <n v="44.5"/>
    <n v="108"/>
    <x v="1"/>
    <x v="0"/>
  </r>
  <r>
    <x v="1"/>
    <n v="37.700000000000003"/>
    <n v="136.4"/>
    <n v="2"/>
    <n v="11.12"/>
    <n v="94.7"/>
    <n v="0.39"/>
    <n v="20.9"/>
    <n v="55.9"/>
    <n v="4"/>
    <n v="62.833333333333343"/>
    <n v="136.4"/>
    <n v="2.5"/>
    <n v="27.8"/>
    <n v="236.75"/>
    <n v="19.5"/>
    <n v="237"/>
    <x v="0"/>
    <x v="2"/>
  </r>
  <r>
    <x v="2"/>
    <n v="44.2"/>
    <n v="74.5"/>
    <n v="5.3"/>
    <n v="8.09"/>
    <n v="86.5"/>
    <n v="1.3"/>
    <n v="24.8"/>
    <n v="55.8"/>
    <n v="2.4900000000000002"/>
    <n v="73.666666666666671"/>
    <n v="74.5"/>
    <n v="6.625"/>
    <n v="20.225000000000001"/>
    <n v="216.25"/>
    <n v="65"/>
    <n v="216"/>
    <x v="0"/>
    <x v="2"/>
  </r>
  <r>
    <x v="3"/>
    <n v="35.6"/>
    <n v="169.4"/>
    <n v="49.5"/>
    <n v="8.09"/>
    <n v="15.6"/>
    <n v="1.98"/>
    <n v="29.7"/>
    <n v="40"/>
    <n v="3.7"/>
    <n v="59.333333333333343"/>
    <n v="169.4"/>
    <n v="61.875"/>
    <n v="20.225000000000001"/>
    <n v="39"/>
    <n v="99"/>
    <n v="169"/>
    <x v="1"/>
    <x v="3"/>
  </r>
  <r>
    <x v="4"/>
    <n v="49.6"/>
    <n v="80.400000000000006"/>
    <n v="32.799999999999997"/>
    <n v="0.5"/>
    <n v="57"/>
    <n v="0.11"/>
    <n v="16.399999999999999"/>
    <n v="12.6"/>
    <n v="2.9"/>
    <n v="82.666666666666671"/>
    <n v="80.400000000000006"/>
    <n v="40.999999999999993"/>
    <n v="1.25"/>
    <n v="142.5"/>
    <n v="5.5"/>
    <n v="142"/>
    <x v="1"/>
    <x v="2"/>
  </r>
  <r>
    <x v="0"/>
    <n v="63.8"/>
    <n v="115.5"/>
    <n v="27.8"/>
    <n v="2.46"/>
    <n v="59.4"/>
    <n v="1"/>
    <n v="27.2"/>
    <n v="34.1"/>
    <n v="2.72"/>
    <n v="106.3333333333333"/>
    <n v="115.5"/>
    <n v="34.75"/>
    <n v="6.15"/>
    <n v="148.5"/>
    <n v="50"/>
    <n v="148"/>
    <x v="1"/>
    <x v="2"/>
  </r>
  <r>
    <x v="1"/>
    <n v="123.9"/>
    <n v="194"/>
    <n v="45.9"/>
    <n v="11.61"/>
    <n v="42.5"/>
    <n v="1.51"/>
    <n v="22.7"/>
    <n v="47"/>
    <n v="2.75"/>
    <n v="206.5"/>
    <n v="194"/>
    <n v="57.374999999999993"/>
    <n v="29.024999999999999"/>
    <n v="106.25"/>
    <n v="75.5"/>
    <n v="207"/>
    <x v="0"/>
    <x v="0"/>
  </r>
  <r>
    <x v="2"/>
    <n v="28.7"/>
    <n v="56.1"/>
    <n v="16.399999999999999"/>
    <n v="0.5"/>
    <n v="9.1"/>
    <n v="1.23"/>
    <n v="18.8"/>
    <n v="59.2"/>
    <n v="2.54"/>
    <n v="47.833333333333329"/>
    <n v="56.1"/>
    <n v="20.5"/>
    <n v="1.25"/>
    <n v="22.75"/>
    <n v="61.5"/>
    <n v="62"/>
    <x v="3"/>
    <x v="4"/>
  </r>
  <r>
    <x v="3"/>
    <n v="2"/>
    <n v="159.30000000000001"/>
    <n v="61.2"/>
    <n v="3.03"/>
    <n v="50.5"/>
    <n v="0.69"/>
    <n v="25.7"/>
    <n v="27.2"/>
    <n v="0.35"/>
    <n v="3.333333333333333"/>
    <n v="159.30000000000001"/>
    <n v="76.5"/>
    <n v="7.5749999999999993"/>
    <n v="126.25"/>
    <n v="34.499999999999993"/>
    <n v="159"/>
    <x v="1"/>
    <x v="3"/>
  </r>
  <r>
    <x v="4"/>
    <n v="53.4"/>
    <n v="123.8"/>
    <n v="40.799999999999997"/>
    <n v="2.29"/>
    <n v="33"/>
    <n v="1.5"/>
    <n v="24.7"/>
    <n v="53.3"/>
    <n v="2.2000000000000002"/>
    <n v="89"/>
    <n v="123.8"/>
    <n v="51"/>
    <n v="5.7249999999999996"/>
    <n v="82.5"/>
    <n v="75"/>
    <n v="124"/>
    <x v="1"/>
    <x v="3"/>
  </r>
  <r>
    <x v="0"/>
    <n v="109.4"/>
    <n v="56.8"/>
    <n v="63"/>
    <n v="16"/>
    <n v="59.8"/>
    <n v="1.24"/>
    <n v="21.3"/>
    <n v="68.599999999999994"/>
    <n v="0.79"/>
    <n v="182.33333333333329"/>
    <n v="56.8"/>
    <n v="78.75"/>
    <n v="40"/>
    <n v="149.5"/>
    <n v="62"/>
    <n v="182"/>
    <x v="1"/>
    <x v="0"/>
  </r>
  <r>
    <x v="1"/>
    <n v="38.6"/>
    <n v="120.2"/>
    <n v="87.2"/>
    <n v="12.37"/>
    <n v="19.7"/>
    <n v="1.27"/>
    <n v="20.7"/>
    <n v="37.200000000000003"/>
    <n v="3.67"/>
    <n v="64.333333333333343"/>
    <n v="120.2"/>
    <n v="109"/>
    <n v="30.925000000000001"/>
    <n v="49.249999999999993"/>
    <n v="63.5"/>
    <n v="120"/>
    <x v="1"/>
    <x v="3"/>
  </r>
  <r>
    <x v="2"/>
    <n v="17.899999999999999"/>
    <n v="205.7"/>
    <n v="58.5"/>
    <n v="12.78"/>
    <n v="27"/>
    <n v="1.05"/>
    <n v="15"/>
    <n v="40.6"/>
    <n v="3.09"/>
    <n v="29.833333333333329"/>
    <n v="205.7"/>
    <n v="73.125"/>
    <n v="31.95"/>
    <n v="67.5"/>
    <n v="52.500000000000007"/>
    <n v="206"/>
    <x v="0"/>
    <x v="3"/>
  </r>
  <r>
    <x v="3"/>
    <n v="98.9"/>
    <n v="53.6"/>
    <n v="37.700000000000003"/>
    <n v="7.24"/>
    <n v="5.0999999999999996"/>
    <n v="1.55"/>
    <n v="19.899999999999999"/>
    <n v="46.5"/>
    <n v="1.96"/>
    <n v="164.83333333333329"/>
    <n v="53.6"/>
    <n v="47.125"/>
    <n v="18.100000000000001"/>
    <n v="12.75"/>
    <n v="77.5"/>
    <n v="165"/>
    <x v="1"/>
    <x v="0"/>
  </r>
  <r>
    <x v="4"/>
    <n v="40"/>
    <n v="131.5"/>
    <n v="44.8"/>
    <n v="6.75"/>
    <n v="24"/>
    <n v="1.53"/>
    <n v="36.6"/>
    <n v="52.5"/>
    <n v="4.2"/>
    <n v="66.666666666666671"/>
    <n v="131.5"/>
    <n v="55.999999999999993"/>
    <n v="16.875"/>
    <n v="60"/>
    <n v="76.5"/>
    <n v="132"/>
    <x v="1"/>
    <x v="3"/>
  </r>
  <r>
    <x v="0"/>
    <n v="21"/>
    <n v="148.9"/>
    <n v="26.5"/>
    <n v="0.71"/>
    <n v="24.7"/>
    <n v="2.2000000000000002"/>
    <n v="31.7"/>
    <n v="54.4"/>
    <n v="0.66"/>
    <n v="35"/>
    <n v="148.9"/>
    <n v="33.125"/>
    <n v="1.7749999999999999"/>
    <n v="61.75"/>
    <n v="110"/>
    <n v="149"/>
    <x v="1"/>
    <x v="3"/>
  </r>
  <r>
    <x v="1"/>
    <n v="67.599999999999994"/>
    <n v="172.6"/>
    <n v="60.6"/>
    <n v="0.5"/>
    <n v="22.2"/>
    <n v="1.45"/>
    <n v="28.8"/>
    <n v="10.5"/>
    <n v="2.31"/>
    <n v="112.6666666666667"/>
    <n v="172.6"/>
    <n v="75.75"/>
    <n v="1.25"/>
    <n v="55.5"/>
    <n v="72.5"/>
    <n v="173"/>
    <x v="1"/>
    <x v="3"/>
  </r>
  <r>
    <x v="2"/>
    <n v="61.1"/>
    <n v="162.4"/>
    <n v="55.9"/>
    <n v="10.37"/>
    <n v="19"/>
    <n v="0.05"/>
    <n v="22.2"/>
    <n v="68"/>
    <n v="4.17"/>
    <n v="101.8333333333333"/>
    <n v="162.4"/>
    <n v="69.874999999999986"/>
    <n v="25.925000000000001"/>
    <n v="47.5"/>
    <n v="2.5"/>
    <n v="162"/>
    <x v="1"/>
    <x v="3"/>
  </r>
  <r>
    <x v="3"/>
    <n v="81.3"/>
    <n v="145.80000000000001"/>
    <n v="52.6"/>
    <n v="5.22"/>
    <n v="36.700000000000003"/>
    <n v="2.2000000000000002"/>
    <n v="18.399999999999999"/>
    <n v="79.099999999999994"/>
    <n v="2.11"/>
    <n v="135.5"/>
    <n v="145.80000000000001"/>
    <n v="65.75"/>
    <n v="13.05"/>
    <n v="91.750000000000014"/>
    <n v="110"/>
    <n v="146"/>
    <x v="1"/>
    <x v="3"/>
  </r>
  <r>
    <x v="4"/>
    <n v="109.7"/>
    <n v="39.200000000000003"/>
    <n v="62.4"/>
    <n v="4.75"/>
    <n v="5.0999999999999996"/>
    <n v="1.46"/>
    <n v="32.1"/>
    <n v="34.799999999999997"/>
    <n v="1.2"/>
    <n v="182.83333333333329"/>
    <n v="39.200000000000003"/>
    <n v="78"/>
    <n v="11.875"/>
    <n v="12.75"/>
    <n v="73"/>
    <n v="183"/>
    <x v="1"/>
    <x v="0"/>
  </r>
  <r>
    <x v="0"/>
    <n v="65.8"/>
    <n v="132"/>
    <n v="64.400000000000006"/>
    <n v="14.66"/>
    <n v="44.3"/>
    <n v="2.66"/>
    <n v="26.6"/>
    <n v="43.8"/>
    <n v="0.56999999999999995"/>
    <n v="109.6666666666667"/>
    <n v="132"/>
    <n v="80.5"/>
    <n v="36.65"/>
    <n v="110.75"/>
    <n v="133"/>
    <n v="133"/>
    <x v="1"/>
    <x v="4"/>
  </r>
  <r>
    <x v="1"/>
    <n v="65.2"/>
    <n v="124.8"/>
    <n v="80.3"/>
    <n v="12.89"/>
    <n v="13.1"/>
    <n v="1.63"/>
    <n v="29.7"/>
    <n v="77.5"/>
    <n v="3.57"/>
    <n v="108.6666666666667"/>
    <n v="124.8"/>
    <n v="100.375"/>
    <n v="32.225000000000001"/>
    <n v="32.75"/>
    <n v="81.499999999999986"/>
    <n v="125"/>
    <x v="1"/>
    <x v="3"/>
  </r>
  <r>
    <x v="2"/>
    <n v="78.7"/>
    <n v="117.4"/>
    <n v="50.1"/>
    <n v="13.54"/>
    <n v="6.3"/>
    <n v="0.94"/>
    <n v="19.600000000000001"/>
    <n v="56.8"/>
    <n v="3.98"/>
    <n v="131.16666666666671"/>
    <n v="117.4"/>
    <n v="62.625"/>
    <n v="33.85"/>
    <n v="15.75"/>
    <n v="47"/>
    <n v="131"/>
    <x v="1"/>
    <x v="0"/>
  </r>
  <r>
    <x v="3"/>
    <n v="42.1"/>
    <n v="5"/>
    <n v="36.799999999999997"/>
    <n v="12.57"/>
    <n v="53.4"/>
    <n v="1.46"/>
    <n v="23"/>
    <n v="27"/>
    <n v="3.12"/>
    <n v="70.166666666666671"/>
    <n v="5"/>
    <n v="46"/>
    <n v="31.425000000000001"/>
    <n v="133.5"/>
    <n v="73"/>
    <n v="134"/>
    <x v="1"/>
    <x v="2"/>
  </r>
  <r>
    <x v="4"/>
    <n v="38.5"/>
    <n v="276.2"/>
    <n v="62.1"/>
    <n v="5.61"/>
    <n v="27.2"/>
    <n v="1.26"/>
    <n v="23.3"/>
    <n v="70.099999999999994"/>
    <n v="3.22"/>
    <n v="64.166666666666657"/>
    <n v="276.2"/>
    <n v="77.625"/>
    <n v="14.025"/>
    <n v="68"/>
    <n v="63"/>
    <n v="276"/>
    <x v="0"/>
    <x v="3"/>
  </r>
  <r>
    <x v="0"/>
    <n v="43.8"/>
    <n v="268.39999999999998"/>
    <n v="52.9"/>
    <n v="13.62"/>
    <n v="28.5"/>
    <n v="1.63"/>
    <n v="27.2"/>
    <n v="16"/>
    <n v="4.92"/>
    <n v="73"/>
    <n v="268.39999999999998"/>
    <n v="66.125"/>
    <n v="34.049999999999997"/>
    <n v="71.25"/>
    <n v="81.499999999999986"/>
    <n v="268"/>
    <x v="0"/>
    <x v="3"/>
  </r>
  <r>
    <x v="1"/>
    <n v="123.4"/>
    <n v="120.2"/>
    <n v="28.7"/>
    <n v="12.17"/>
    <n v="52.7"/>
    <n v="1.77"/>
    <n v="26.3"/>
    <n v="59.1"/>
    <n v="4.24"/>
    <n v="205.66666666666671"/>
    <n v="120.2"/>
    <n v="35.875"/>
    <n v="30.425000000000001"/>
    <n v="131.75"/>
    <n v="88.5"/>
    <n v="206"/>
    <x v="0"/>
    <x v="0"/>
  </r>
  <r>
    <x v="2"/>
    <n v="73.2"/>
    <n v="54.2"/>
    <n v="68.599999999999994"/>
    <n v="15.39"/>
    <n v="112.9"/>
    <n v="0.5"/>
    <n v="26.7"/>
    <n v="12.5"/>
    <n v="3.16"/>
    <n v="122"/>
    <n v="54.2"/>
    <n v="85.75"/>
    <n v="38.475000000000001"/>
    <n v="282.25"/>
    <n v="25"/>
    <n v="282"/>
    <x v="0"/>
    <x v="2"/>
  </r>
  <r>
    <x v="3"/>
    <n v="43.6"/>
    <n v="235.4"/>
    <n v="29.5"/>
    <n v="0.5"/>
    <n v="28.2"/>
    <n v="0.05"/>
    <n v="30.3"/>
    <n v="12.8"/>
    <n v="2.5299999999999998"/>
    <n v="72.666666666666671"/>
    <n v="235.4"/>
    <n v="36.875"/>
    <n v="1.25"/>
    <n v="70.5"/>
    <n v="2.5"/>
    <n v="235"/>
    <x v="0"/>
    <x v="3"/>
  </r>
  <r>
    <x v="4"/>
    <n v="2"/>
    <n v="110.9"/>
    <n v="85.7"/>
    <n v="10.78"/>
    <n v="20.3"/>
    <n v="1.3"/>
    <n v="25.1"/>
    <n v="58.5"/>
    <n v="1.36"/>
    <n v="3.333333333333333"/>
    <n v="110.9"/>
    <n v="107.125"/>
    <n v="26.95"/>
    <n v="50.75"/>
    <n v="65"/>
    <n v="111"/>
    <x v="1"/>
    <x v="3"/>
  </r>
  <r>
    <x v="0"/>
    <n v="89.4"/>
    <n v="5"/>
    <n v="37.299999999999997"/>
    <n v="6.39"/>
    <n v="64.2"/>
    <n v="1.4"/>
    <n v="15.2"/>
    <n v="32.299999999999997"/>
    <n v="2.74"/>
    <n v="149"/>
    <n v="5"/>
    <n v="46.625"/>
    <n v="15.975"/>
    <n v="160.5"/>
    <n v="69.999999999999986"/>
    <n v="160"/>
    <x v="1"/>
    <x v="2"/>
  </r>
  <r>
    <x v="1"/>
    <n v="72"/>
    <n v="106.6"/>
    <n v="44.2"/>
    <n v="14.35"/>
    <n v="33.799999999999997"/>
    <n v="1.43"/>
    <n v="40.200000000000003"/>
    <n v="24.4"/>
    <n v="0.28000000000000003"/>
    <n v="120"/>
    <n v="106.6"/>
    <n v="55.25"/>
    <n v="35.875"/>
    <n v="84.499999999999986"/>
    <n v="71.5"/>
    <n v="120"/>
    <x v="1"/>
    <x v="0"/>
  </r>
  <r>
    <x v="2"/>
    <n v="79.3"/>
    <n v="75.3"/>
    <n v="36.700000000000003"/>
    <n v="3.89"/>
    <n v="31.8"/>
    <n v="2.0499999999999998"/>
    <n v="30.6"/>
    <n v="65.5"/>
    <n v="0.8"/>
    <n v="132.16666666666671"/>
    <n v="75.3"/>
    <n v="45.875000000000007"/>
    <n v="9.7250000000000014"/>
    <n v="79.5"/>
    <n v="102.5"/>
    <n v="132"/>
    <x v="1"/>
    <x v="0"/>
  </r>
  <r>
    <x v="3"/>
    <n v="25.5"/>
    <n v="5"/>
    <n v="28.8"/>
    <n v="12.78"/>
    <n v="52.9"/>
    <n v="1.07"/>
    <n v="24.8"/>
    <n v="37.6"/>
    <n v="2.75"/>
    <n v="42.5"/>
    <n v="5"/>
    <n v="36.000000000000007"/>
    <n v="31.95"/>
    <n v="132.25"/>
    <n v="53.500000000000007"/>
    <n v="132"/>
    <x v="1"/>
    <x v="2"/>
  </r>
  <r>
    <x v="4"/>
    <n v="91.3"/>
    <n v="25.4"/>
    <n v="56.1"/>
    <n v="13.93"/>
    <n v="32.6"/>
    <n v="1.78"/>
    <n v="44.7"/>
    <n v="48.1"/>
    <n v="3.47"/>
    <n v="152.16666666666671"/>
    <n v="25.4"/>
    <n v="70.125"/>
    <n v="34.825000000000003"/>
    <n v="81.5"/>
    <n v="89"/>
    <n v="152"/>
    <x v="1"/>
    <x v="0"/>
  </r>
  <r>
    <x v="0"/>
    <n v="43.5"/>
    <n v="150.5"/>
    <n v="62.3"/>
    <n v="10.32"/>
    <n v="16.7"/>
    <n v="1.52"/>
    <n v="35.200000000000003"/>
    <n v="58.1"/>
    <n v="3.65"/>
    <n v="72.5"/>
    <n v="150.5"/>
    <n v="77.875"/>
    <n v="25.8"/>
    <n v="41.749999999999993"/>
    <n v="76"/>
    <n v="150"/>
    <x v="1"/>
    <x v="3"/>
  </r>
  <r>
    <x v="1"/>
    <n v="66.099999999999994"/>
    <n v="206.2"/>
    <n v="63.2"/>
    <n v="4.0599999999999996"/>
    <n v="60"/>
    <n v="0.76"/>
    <n v="20.6"/>
    <n v="53.4"/>
    <n v="2.86"/>
    <n v="110.1666666666667"/>
    <n v="206.2"/>
    <n v="79"/>
    <n v="10.15"/>
    <n v="150"/>
    <n v="38"/>
    <n v="206"/>
    <x v="0"/>
    <x v="3"/>
  </r>
  <r>
    <x v="2"/>
    <n v="23.1"/>
    <n v="174.1"/>
    <n v="53.6"/>
    <n v="4.25"/>
    <n v="1.5"/>
    <n v="1.06"/>
    <n v="21.9"/>
    <n v="52"/>
    <n v="2.06"/>
    <n v="38.5"/>
    <n v="174.1"/>
    <n v="67"/>
    <n v="10.625"/>
    <n v="3.75"/>
    <n v="53.000000000000007"/>
    <n v="174"/>
    <x v="1"/>
    <x v="3"/>
  </r>
  <r>
    <x v="3"/>
    <n v="2"/>
    <n v="96.7"/>
    <n v="38.9"/>
    <n v="11.17"/>
    <n v="22.5"/>
    <n v="2.21"/>
    <n v="11.6"/>
    <n v="73.599999999999994"/>
    <n v="2.23"/>
    <n v="3.333333333333333"/>
    <n v="96.7"/>
    <n v="48.625"/>
    <n v="27.925000000000001"/>
    <n v="56.25"/>
    <n v="110.5"/>
    <n v="110"/>
    <x v="1"/>
    <x v="4"/>
  </r>
  <r>
    <x v="4"/>
    <n v="94.4"/>
    <n v="137.30000000000001"/>
    <n v="74.599999999999994"/>
    <n v="6.67"/>
    <n v="13.8"/>
    <n v="2.2599999999999998"/>
    <n v="24.2"/>
    <n v="54"/>
    <n v="4.4800000000000004"/>
    <n v="157.33333333333329"/>
    <n v="137.30000000000001"/>
    <n v="93.25"/>
    <n v="16.675000000000001"/>
    <n v="34.5"/>
    <n v="113"/>
    <n v="157"/>
    <x v="1"/>
    <x v="0"/>
  </r>
  <r>
    <x v="0"/>
    <n v="33.4"/>
    <n v="179.1"/>
    <n v="38.200000000000003"/>
    <n v="8.44"/>
    <n v="48.1"/>
    <n v="0.34"/>
    <n v="22.5"/>
    <n v="74.3"/>
    <n v="3.56"/>
    <n v="55.666666666666657"/>
    <n v="179.1"/>
    <n v="47.75"/>
    <n v="21.1"/>
    <n v="120.25"/>
    <n v="17"/>
    <n v="179"/>
    <x v="1"/>
    <x v="3"/>
  </r>
  <r>
    <x v="1"/>
    <n v="72.7"/>
    <n v="168.2"/>
    <n v="48.9"/>
    <n v="18.48"/>
    <n v="43.7"/>
    <n v="1.67"/>
    <n v="36"/>
    <n v="36"/>
    <n v="4.37"/>
    <n v="121.1666666666667"/>
    <n v="168.2"/>
    <n v="61.125"/>
    <n v="46.2"/>
    <n v="109.25"/>
    <n v="83.499999999999986"/>
    <n v="168"/>
    <x v="1"/>
    <x v="3"/>
  </r>
  <r>
    <x v="2"/>
    <n v="13.4"/>
    <n v="206.9"/>
    <n v="35.700000000000003"/>
    <n v="6.45"/>
    <n v="1"/>
    <n v="0.88"/>
    <n v="20.7"/>
    <n v="39.1"/>
    <n v="2.34"/>
    <n v="22.333333333333329"/>
    <n v="206.9"/>
    <n v="44.625000000000007"/>
    <n v="16.125"/>
    <n v="2.5"/>
    <n v="44"/>
    <n v="207"/>
    <x v="0"/>
    <x v="3"/>
  </r>
  <r>
    <x v="3"/>
    <n v="88.7"/>
    <n v="132.5"/>
    <n v="51.2"/>
    <n v="2.52"/>
    <n v="18"/>
    <n v="2.2799999999999998"/>
    <n v="22.9"/>
    <n v="79.8"/>
    <n v="2.21"/>
    <n v="147.83333333333329"/>
    <n v="132.5"/>
    <n v="64"/>
    <n v="6.3"/>
    <n v="45"/>
    <n v="114"/>
    <n v="148"/>
    <x v="1"/>
    <x v="0"/>
  </r>
  <r>
    <x v="4"/>
    <n v="66.099999999999994"/>
    <n v="202.6"/>
    <n v="77.5"/>
    <n v="8.19"/>
    <n v="33.299999999999997"/>
    <n v="1.28"/>
    <n v="30.4"/>
    <n v="66"/>
    <n v="3.01"/>
    <n v="110.1666666666667"/>
    <n v="202.6"/>
    <n v="96.875"/>
    <n v="20.475000000000001"/>
    <n v="83.249999999999986"/>
    <n v="64"/>
    <n v="203"/>
    <x v="0"/>
    <x v="3"/>
  </r>
  <r>
    <x v="0"/>
    <n v="90.4"/>
    <n v="251"/>
    <n v="60.5"/>
    <n v="10.99"/>
    <n v="2.2999999999999998"/>
    <n v="0.05"/>
    <n v="30.7"/>
    <n v="48.3"/>
    <n v="1.88"/>
    <n v="150.66666666666671"/>
    <n v="251"/>
    <n v="75.625"/>
    <n v="27.475000000000001"/>
    <n v="5.75"/>
    <n v="2.5"/>
    <n v="251"/>
    <x v="0"/>
    <x v="3"/>
  </r>
  <r>
    <x v="1"/>
    <n v="84.1"/>
    <n v="145.5"/>
    <n v="84.4"/>
    <n v="10.54"/>
    <n v="26.7"/>
    <n v="2.2400000000000002"/>
    <n v="26.5"/>
    <n v="59.5"/>
    <n v="1.93"/>
    <n v="140.16666666666671"/>
    <n v="145.5"/>
    <n v="105.5"/>
    <n v="26.35"/>
    <n v="66.75"/>
    <n v="112"/>
    <n v="146"/>
    <x v="1"/>
    <x v="3"/>
  </r>
  <r>
    <x v="2"/>
    <n v="38.5"/>
    <n v="118.8"/>
    <n v="43"/>
    <n v="9.8800000000000008"/>
    <n v="31.6"/>
    <n v="0.09"/>
    <n v="25"/>
    <n v="64.3"/>
    <n v="2.14"/>
    <n v="64.166666666666657"/>
    <n v="118.8"/>
    <n v="53.75"/>
    <n v="24.7"/>
    <n v="79"/>
    <n v="4.5"/>
    <n v="119"/>
    <x v="1"/>
    <x v="3"/>
  </r>
  <r>
    <x v="3"/>
    <n v="52.6"/>
    <n v="179.2"/>
    <n v="30.8"/>
    <n v="0.5"/>
    <n v="36"/>
    <n v="0.91"/>
    <n v="21.2"/>
    <n v="46.8"/>
    <n v="3.09"/>
    <n v="87.666666666666671"/>
    <n v="179.2"/>
    <n v="38.5"/>
    <n v="1.25"/>
    <n v="90"/>
    <n v="45.5"/>
    <n v="179"/>
    <x v="1"/>
    <x v="3"/>
  </r>
  <r>
    <x v="4"/>
    <n v="65.7"/>
    <n v="152.30000000000001"/>
    <n v="89.4"/>
    <n v="6.91"/>
    <n v="51.7"/>
    <n v="0.98"/>
    <n v="22.1"/>
    <n v="39.5"/>
    <n v="2.4300000000000002"/>
    <n v="109.5"/>
    <n v="152.30000000000001"/>
    <n v="111.75"/>
    <n v="17.274999999999999"/>
    <n v="129.25"/>
    <n v="49"/>
    <n v="152"/>
    <x v="1"/>
    <x v="3"/>
  </r>
  <r>
    <x v="0"/>
    <n v="81.400000000000006"/>
    <n v="300.10000000000002"/>
    <n v="35.299999999999997"/>
    <n v="6.8"/>
    <n v="44.2"/>
    <n v="1.65"/>
    <n v="29.8"/>
    <n v="73.099999999999994"/>
    <n v="0.2"/>
    <n v="135.66666666666671"/>
    <n v="300.10000000000002"/>
    <n v="44.125"/>
    <n v="17"/>
    <n v="110.5"/>
    <n v="82.499999999999986"/>
    <n v="300"/>
    <x v="0"/>
    <x v="3"/>
  </r>
  <r>
    <x v="1"/>
    <n v="2"/>
    <n v="112.8"/>
    <n v="83.7"/>
    <n v="0.5"/>
    <n v="1"/>
    <n v="1.93"/>
    <n v="29.7"/>
    <n v="30.4"/>
    <n v="1.32"/>
    <n v="3.333333333333333"/>
    <n v="112.8"/>
    <n v="104.625"/>
    <n v="1.25"/>
    <n v="2.5"/>
    <n v="96.5"/>
    <n v="113"/>
    <x v="1"/>
    <x v="3"/>
  </r>
  <r>
    <x v="2"/>
    <n v="29.4"/>
    <n v="120.3"/>
    <n v="30.9"/>
    <n v="9.9499999999999993"/>
    <n v="1"/>
    <n v="0.65"/>
    <n v="20.100000000000001"/>
    <n v="45.4"/>
    <n v="1.85"/>
    <n v="48.999999999999993"/>
    <n v="120.3"/>
    <n v="38.625"/>
    <n v="24.875"/>
    <n v="2.5"/>
    <n v="32.5"/>
    <n v="120"/>
    <x v="1"/>
    <x v="3"/>
  </r>
  <r>
    <x v="3"/>
    <n v="83.9"/>
    <n v="8.4"/>
    <n v="45.9"/>
    <n v="10.79"/>
    <n v="86.4"/>
    <n v="0.91"/>
    <n v="30.3"/>
    <n v="17.5"/>
    <n v="0.2"/>
    <n v="139.83333333333329"/>
    <n v="8.4"/>
    <n v="57.374999999999993"/>
    <n v="26.975000000000001"/>
    <n v="216"/>
    <n v="45.5"/>
    <n v="216"/>
    <x v="0"/>
    <x v="2"/>
  </r>
  <r>
    <x v="4"/>
    <n v="93.9"/>
    <n v="131.6"/>
    <n v="75.400000000000006"/>
    <n v="1.25"/>
    <n v="58.3"/>
    <n v="2.5499999999999998"/>
    <n v="30.9"/>
    <n v="55"/>
    <n v="3.01"/>
    <n v="156.5"/>
    <n v="131.6"/>
    <n v="94.25"/>
    <n v="3.125"/>
    <n v="145.75"/>
    <n v="127.5"/>
    <n v="156"/>
    <x v="1"/>
    <x v="0"/>
  </r>
  <r>
    <x v="0"/>
    <n v="14.8"/>
    <n v="231.5"/>
    <n v="37.700000000000003"/>
    <n v="12.1"/>
    <n v="1.1000000000000001"/>
    <n v="0.56999999999999995"/>
    <n v="38"/>
    <n v="43.7"/>
    <n v="4.24"/>
    <n v="24.666666666666671"/>
    <n v="231.5"/>
    <n v="47.125"/>
    <n v="30.25"/>
    <n v="2.75"/>
    <n v="28.5"/>
    <n v="232"/>
    <x v="0"/>
    <x v="3"/>
  </r>
  <r>
    <x v="1"/>
    <n v="72.099999999999994"/>
    <n v="11.9"/>
    <n v="78.599999999999994"/>
    <n v="6.31"/>
    <n v="71.8"/>
    <n v="1.52"/>
    <n v="17.2"/>
    <n v="53"/>
    <n v="5.14"/>
    <n v="120.1666666666667"/>
    <n v="11.9"/>
    <n v="98.249999999999986"/>
    <n v="15.775"/>
    <n v="179.5"/>
    <n v="76"/>
    <n v="180"/>
    <x v="1"/>
    <x v="2"/>
  </r>
  <r>
    <x v="2"/>
    <n v="71.099999999999994"/>
    <n v="110.7"/>
    <n v="63.2"/>
    <n v="8.6"/>
    <n v="43"/>
    <n v="0.52"/>
    <n v="29.6"/>
    <n v="68.599999999999994"/>
    <n v="1.5"/>
    <n v="118.5"/>
    <n v="110.7"/>
    <n v="79"/>
    <n v="21.5"/>
    <n v="107.5"/>
    <n v="26"/>
    <n v="118"/>
    <x v="1"/>
    <x v="0"/>
  </r>
  <r>
    <x v="3"/>
    <n v="102.7"/>
    <n v="114.5"/>
    <n v="27.2"/>
    <n v="12.99"/>
    <n v="32.799999999999997"/>
    <n v="1.66"/>
    <n v="26"/>
    <n v="48.9"/>
    <n v="3.09"/>
    <n v="171.16666666666671"/>
    <n v="114.5"/>
    <n v="34"/>
    <n v="32.475000000000001"/>
    <n v="81.999999999999986"/>
    <n v="82.999999999999986"/>
    <n v="171"/>
    <x v="1"/>
    <x v="0"/>
  </r>
  <r>
    <x v="4"/>
    <n v="75.599999999999994"/>
    <n v="5"/>
    <n v="24.8"/>
    <n v="13.91"/>
    <n v="40.4"/>
    <n v="0.97"/>
    <n v="18.5"/>
    <n v="30.6"/>
    <n v="0.56999999999999995"/>
    <n v="126"/>
    <n v="5"/>
    <n v="31"/>
    <n v="34.774999999999999"/>
    <n v="101"/>
    <n v="48.5"/>
    <n v="126"/>
    <x v="1"/>
    <x v="0"/>
  </r>
  <r>
    <x v="0"/>
    <n v="65.5"/>
    <n v="96.7"/>
    <n v="29.5"/>
    <n v="8.81"/>
    <n v="56.5"/>
    <n v="2.82"/>
    <n v="17.399999999999999"/>
    <n v="70.900000000000006"/>
    <n v="3.67"/>
    <n v="109.1666666666667"/>
    <n v="96.7"/>
    <n v="36.875"/>
    <n v="22.024999999999999"/>
    <n v="141.25"/>
    <n v="141"/>
    <n v="141"/>
    <x v="1"/>
    <x v="2"/>
  </r>
  <r>
    <x v="1"/>
    <n v="45.8"/>
    <n v="165.2"/>
    <n v="44.8"/>
    <n v="11.16"/>
    <n v="97.2"/>
    <n v="1.95"/>
    <n v="31.6"/>
    <n v="42.3"/>
    <n v="0.72"/>
    <n v="76.333333333333329"/>
    <n v="165.2"/>
    <n v="55.999999999999993"/>
    <n v="27.9"/>
    <n v="243"/>
    <n v="97.5"/>
    <n v="243"/>
    <x v="0"/>
    <x v="2"/>
  </r>
  <r>
    <x v="2"/>
    <n v="51.1"/>
    <n v="182.8"/>
    <n v="13.7"/>
    <n v="2.59"/>
    <n v="41"/>
    <n v="0.57999999999999996"/>
    <n v="22.5"/>
    <n v="42.4"/>
    <n v="0.86"/>
    <n v="85.166666666666671"/>
    <n v="182.8"/>
    <n v="17.125"/>
    <n v="6.4749999999999996"/>
    <n v="102.5"/>
    <n v="29"/>
    <n v="183"/>
    <x v="1"/>
    <x v="3"/>
  </r>
  <r>
    <x v="3"/>
    <n v="30.8"/>
    <n v="162.19999999999999"/>
    <n v="18.899999999999999"/>
    <n v="0.5"/>
    <n v="24.2"/>
    <n v="1.64"/>
    <n v="26.6"/>
    <n v="41.6"/>
    <n v="2.5499999999999998"/>
    <n v="51.333333333333343"/>
    <n v="162.19999999999999"/>
    <n v="23.625"/>
    <n v="1.25"/>
    <n v="60.5"/>
    <n v="81.999999999999986"/>
    <n v="162"/>
    <x v="1"/>
    <x v="3"/>
  </r>
  <r>
    <x v="4"/>
    <n v="8.4"/>
    <n v="164.7"/>
    <n v="57.9"/>
    <n v="6.55"/>
    <n v="71.7"/>
    <n v="0.57999999999999996"/>
    <n v="35.9"/>
    <n v="52.8"/>
    <n v="2.6"/>
    <n v="14"/>
    <n v="164.7"/>
    <n v="72.375"/>
    <n v="16.375"/>
    <n v="179.25"/>
    <n v="29"/>
    <n v="179"/>
    <x v="1"/>
    <x v="2"/>
  </r>
  <r>
    <x v="0"/>
    <n v="68.3"/>
    <n v="130.6"/>
    <n v="79.8"/>
    <n v="3.01"/>
    <n v="24.1"/>
    <n v="2.1"/>
    <n v="23.8"/>
    <n v="66.2"/>
    <n v="4.54"/>
    <n v="113.8333333333333"/>
    <n v="130.6"/>
    <n v="99.749999999999986"/>
    <n v="7.5249999999999986"/>
    <n v="60.250000000000007"/>
    <n v="105"/>
    <n v="131"/>
    <x v="1"/>
    <x v="3"/>
  </r>
  <r>
    <x v="1"/>
    <n v="59.9"/>
    <n v="201.1"/>
    <n v="27.4"/>
    <n v="14.72"/>
    <n v="56.2"/>
    <n v="1.85"/>
    <n v="23.5"/>
    <n v="20.100000000000001"/>
    <n v="3.1"/>
    <n v="99.833333333333329"/>
    <n v="201.1"/>
    <n v="34.249999999999993"/>
    <n v="36.799999999999997"/>
    <n v="140.5"/>
    <n v="92.5"/>
    <n v="201"/>
    <x v="0"/>
    <x v="3"/>
  </r>
  <r>
    <x v="2"/>
    <n v="2"/>
    <n v="95.9"/>
    <n v="60.6"/>
    <n v="8.51"/>
    <n v="84.3"/>
    <n v="1.72"/>
    <n v="23.4"/>
    <n v="50.5"/>
    <n v="2.44"/>
    <n v="3.333333333333333"/>
    <n v="95.9"/>
    <n v="75.75"/>
    <n v="21.274999999999999"/>
    <n v="210.75"/>
    <n v="86"/>
    <n v="211"/>
    <x v="0"/>
    <x v="2"/>
  </r>
  <r>
    <x v="3"/>
    <n v="12.5"/>
    <n v="63.6"/>
    <n v="33.799999999999997"/>
    <n v="0.5"/>
    <n v="41.2"/>
    <n v="1.05"/>
    <n v="16.3"/>
    <n v="57.3"/>
    <n v="3.36"/>
    <n v="20.833333333333329"/>
    <n v="63.6"/>
    <n v="42.249999999999993"/>
    <n v="1.25"/>
    <n v="103"/>
    <n v="52.500000000000007"/>
    <n v="103"/>
    <x v="1"/>
    <x v="2"/>
  </r>
  <r>
    <x v="4"/>
    <n v="73.5"/>
    <n v="110.6"/>
    <n v="62.5"/>
    <n v="12.54"/>
    <n v="52.5"/>
    <n v="0.78"/>
    <n v="29.9"/>
    <n v="71.5"/>
    <n v="2.2799999999999998"/>
    <n v="122.5"/>
    <n v="110.6"/>
    <n v="78.125"/>
    <n v="31.349999999999991"/>
    <n v="131.25"/>
    <n v="39"/>
    <n v="131"/>
    <x v="1"/>
    <x v="2"/>
  </r>
  <r>
    <x v="0"/>
    <n v="141.4"/>
    <n v="101.7"/>
    <n v="52.5"/>
    <n v="5.33"/>
    <n v="52.4"/>
    <n v="0.18"/>
    <n v="24.2"/>
    <n v="30.3"/>
    <n v="2.66"/>
    <n v="235.66666666666671"/>
    <n v="101.7"/>
    <n v="65.625"/>
    <n v="13.324999999999999"/>
    <n v="131"/>
    <n v="9"/>
    <n v="236"/>
    <x v="0"/>
    <x v="0"/>
  </r>
  <r>
    <x v="1"/>
    <n v="112.3"/>
    <n v="198.5"/>
    <n v="2"/>
    <n v="22.76"/>
    <n v="59.2"/>
    <n v="0.92"/>
    <n v="29.1"/>
    <n v="53.2"/>
    <n v="1.7"/>
    <n v="187.16666666666671"/>
    <n v="198.5"/>
    <n v="2.5"/>
    <n v="56.900000000000013"/>
    <n v="148"/>
    <n v="46"/>
    <n v="198"/>
    <x v="1"/>
    <x v="3"/>
  </r>
  <r>
    <x v="2"/>
    <n v="62.6"/>
    <n v="79.400000000000006"/>
    <n v="35.1"/>
    <n v="4.34"/>
    <n v="4"/>
    <n v="1.22"/>
    <n v="32.1"/>
    <n v="59.3"/>
    <n v="3.48"/>
    <n v="104.3333333333333"/>
    <n v="79.400000000000006"/>
    <n v="43.875000000000007"/>
    <n v="10.85"/>
    <n v="10"/>
    <n v="61"/>
    <n v="104"/>
    <x v="1"/>
    <x v="0"/>
  </r>
  <r>
    <x v="3"/>
    <n v="69.7"/>
    <n v="88"/>
    <n v="61.8"/>
    <n v="1.21"/>
    <n v="17.5"/>
    <n v="0.62"/>
    <n v="35.6"/>
    <n v="67"/>
    <n v="3.08"/>
    <n v="116.1666666666667"/>
    <n v="88"/>
    <n v="77.25"/>
    <n v="3.0249999999999999"/>
    <n v="43.75"/>
    <n v="31"/>
    <n v="116"/>
    <x v="1"/>
    <x v="0"/>
  </r>
  <r>
    <x v="4"/>
    <n v="101.4"/>
    <n v="74"/>
    <n v="57.2"/>
    <n v="8.11"/>
    <n v="67.3"/>
    <n v="1.24"/>
    <n v="25.3"/>
    <n v="59.7"/>
    <n v="4.05"/>
    <n v="169"/>
    <n v="74"/>
    <n v="71.500000000000014"/>
    <n v="20.274999999999999"/>
    <n v="168.25"/>
    <n v="62"/>
    <n v="169"/>
    <x v="1"/>
    <x v="0"/>
  </r>
  <r>
    <x v="0"/>
    <n v="45.9"/>
    <n v="133.80000000000001"/>
    <n v="27.4"/>
    <n v="0.5"/>
    <n v="51.8"/>
    <n v="1.8"/>
    <n v="29.8"/>
    <n v="14.9"/>
    <n v="2.08"/>
    <n v="76.5"/>
    <n v="133.80000000000001"/>
    <n v="34.249999999999993"/>
    <n v="1.25"/>
    <n v="129.5"/>
    <n v="90"/>
    <n v="134"/>
    <x v="1"/>
    <x v="3"/>
  </r>
  <r>
    <x v="1"/>
    <n v="2"/>
    <n v="252.7"/>
    <n v="29.1"/>
    <n v="17.850000000000001"/>
    <n v="79.599999999999994"/>
    <n v="0.82"/>
    <n v="20.100000000000001"/>
    <n v="56.3"/>
    <n v="1.49"/>
    <n v="3.333333333333333"/>
    <n v="252.7"/>
    <n v="36.375000000000007"/>
    <n v="44.625000000000007"/>
    <n v="199"/>
    <n v="40.999999999999993"/>
    <n v="253"/>
    <x v="0"/>
    <x v="3"/>
  </r>
  <r>
    <x v="2"/>
    <n v="59.9"/>
    <n v="86.5"/>
    <n v="8.9"/>
    <n v="0.5"/>
    <n v="43.4"/>
    <n v="0.82"/>
    <n v="24.1"/>
    <n v="62.5"/>
    <n v="3.91"/>
    <n v="99.833333333333329"/>
    <n v="86.5"/>
    <n v="11.125"/>
    <n v="1.25"/>
    <n v="108.5"/>
    <n v="40.999999999999993"/>
    <n v="108"/>
    <x v="1"/>
    <x v="2"/>
  </r>
  <r>
    <x v="3"/>
    <n v="51.8"/>
    <n v="99.6"/>
    <n v="55"/>
    <n v="1.22"/>
    <n v="45.6"/>
    <n v="1.53"/>
    <n v="32.799999999999997"/>
    <n v="15.1"/>
    <n v="1.59"/>
    <n v="86.333333333333329"/>
    <n v="99.6"/>
    <n v="68.75"/>
    <n v="3.05"/>
    <n v="114"/>
    <n v="76.5"/>
    <n v="114"/>
    <x v="1"/>
    <x v="2"/>
  </r>
  <r>
    <x v="4"/>
    <n v="37"/>
    <n v="138.6"/>
    <n v="60.1"/>
    <n v="17.03"/>
    <n v="30.4"/>
    <n v="0.99"/>
    <n v="36"/>
    <n v="55.3"/>
    <n v="4.5199999999999996"/>
    <n v="61.666666666666671"/>
    <n v="138.6"/>
    <n v="75.125"/>
    <n v="42.575000000000003"/>
    <n v="76"/>
    <n v="49.5"/>
    <n v="139"/>
    <x v="1"/>
    <x v="3"/>
  </r>
  <r>
    <x v="0"/>
    <n v="79"/>
    <n v="58.2"/>
    <n v="21.1"/>
    <n v="0.5"/>
    <n v="65"/>
    <n v="2.2000000000000002"/>
    <n v="40.9"/>
    <n v="65.2"/>
    <n v="3.9"/>
    <n v="131.66666666666671"/>
    <n v="58.2"/>
    <n v="26.375"/>
    <n v="1.25"/>
    <n v="162.5"/>
    <n v="110"/>
    <n v="162"/>
    <x v="1"/>
    <x v="2"/>
  </r>
  <r>
    <x v="1"/>
    <n v="53.2"/>
    <n v="63.3"/>
    <n v="77.5"/>
    <n v="12.61"/>
    <n v="53.4"/>
    <n v="1.79"/>
    <n v="30.3"/>
    <n v="73.099999999999994"/>
    <n v="4.05"/>
    <n v="88.666666666666671"/>
    <n v="63.3"/>
    <n v="96.875"/>
    <n v="31.524999999999999"/>
    <n v="133.5"/>
    <n v="89.5"/>
    <n v="134"/>
    <x v="1"/>
    <x v="2"/>
  </r>
  <r>
    <x v="2"/>
    <n v="72.5"/>
    <n v="162.19999999999999"/>
    <n v="52.5"/>
    <n v="5.41"/>
    <n v="56"/>
    <n v="0.35"/>
    <n v="35.4"/>
    <n v="28.5"/>
    <n v="2.84"/>
    <n v="120.8333333333333"/>
    <n v="162.19999999999999"/>
    <n v="65.625"/>
    <n v="13.525"/>
    <n v="140"/>
    <n v="17.5"/>
    <n v="162"/>
    <x v="1"/>
    <x v="3"/>
  </r>
  <r>
    <x v="3"/>
    <n v="34.6"/>
    <n v="153.19999999999999"/>
    <n v="44.3"/>
    <n v="0.5"/>
    <n v="50.5"/>
    <n v="0.85"/>
    <n v="34.200000000000003"/>
    <n v="50"/>
    <n v="2.97"/>
    <n v="57.666666666666671"/>
    <n v="153.19999999999999"/>
    <n v="55.374999999999993"/>
    <n v="1.25"/>
    <n v="126.25"/>
    <n v="42.499999999999993"/>
    <n v="153"/>
    <x v="1"/>
    <x v="3"/>
  </r>
  <r>
    <x v="4"/>
    <n v="34.4"/>
    <n v="93.1"/>
    <n v="39.4"/>
    <n v="13.51"/>
    <n v="90.1"/>
    <n v="0.79"/>
    <n v="35.5"/>
    <n v="10.9"/>
    <n v="1.57"/>
    <n v="57.333333333333343"/>
    <n v="93.1"/>
    <n v="49.249999999999993"/>
    <n v="33.774999999999999"/>
    <n v="225.25"/>
    <n v="39.5"/>
    <n v="225"/>
    <x v="0"/>
    <x v="2"/>
  </r>
  <r>
    <x v="0"/>
    <n v="35.9"/>
    <n v="44.7"/>
    <n v="15.3"/>
    <n v="11.57"/>
    <n v="39.799999999999997"/>
    <n v="1.64"/>
    <n v="32.799999999999997"/>
    <n v="54.8"/>
    <n v="3.29"/>
    <n v="59.833333333333329"/>
    <n v="44.7"/>
    <n v="19.125"/>
    <n v="28.925000000000001"/>
    <n v="99.499999999999986"/>
    <n v="81.999999999999986"/>
    <n v="99"/>
    <x v="3"/>
    <x v="2"/>
  </r>
  <r>
    <x v="1"/>
    <n v="72.400000000000006"/>
    <n v="61"/>
    <n v="82.7"/>
    <n v="6.32"/>
    <n v="20.8"/>
    <n v="1.37"/>
    <n v="21.6"/>
    <n v="42.5"/>
    <n v="2.91"/>
    <n v="120.6666666666667"/>
    <n v="61"/>
    <n v="103.375"/>
    <n v="15.8"/>
    <n v="52.000000000000007"/>
    <n v="68.5"/>
    <n v="121"/>
    <x v="1"/>
    <x v="0"/>
  </r>
  <r>
    <x v="2"/>
    <n v="66.900000000000006"/>
    <n v="62.8"/>
    <n v="33.5"/>
    <n v="12.7"/>
    <n v="49.8"/>
    <n v="2.3199999999999998"/>
    <n v="36.299999999999997"/>
    <n v="70.599999999999994"/>
    <n v="0.83"/>
    <n v="111.5"/>
    <n v="62.8"/>
    <n v="41.875"/>
    <n v="31.75"/>
    <n v="124.5"/>
    <n v="116"/>
    <n v="124"/>
    <x v="1"/>
    <x v="2"/>
  </r>
  <r>
    <x v="3"/>
    <n v="82.9"/>
    <n v="116.8"/>
    <n v="34"/>
    <n v="8.84"/>
    <n v="63.6"/>
    <n v="1.5"/>
    <n v="21.9"/>
    <n v="63.4"/>
    <n v="1.73"/>
    <n v="138.16666666666671"/>
    <n v="116.8"/>
    <n v="42.5"/>
    <n v="22.1"/>
    <n v="159"/>
    <n v="75"/>
    <n v="159"/>
    <x v="1"/>
    <x v="2"/>
  </r>
  <r>
    <x v="4"/>
    <n v="73.2"/>
    <n v="112"/>
    <n v="44.7"/>
    <n v="13.01"/>
    <n v="15.4"/>
    <n v="2.6"/>
    <n v="15.3"/>
    <n v="39.200000000000003"/>
    <n v="3.44"/>
    <n v="122"/>
    <n v="112"/>
    <n v="55.875"/>
    <n v="32.524999999999999"/>
    <n v="38.5"/>
    <n v="130"/>
    <n v="130"/>
    <x v="1"/>
    <x v="4"/>
  </r>
  <r>
    <x v="0"/>
    <n v="89.2"/>
    <n v="131.1"/>
    <n v="50.4"/>
    <n v="11.56"/>
    <n v="39.4"/>
    <n v="2.34"/>
    <n v="33.9"/>
    <n v="65.7"/>
    <n v="1.34"/>
    <n v="148.66666666666671"/>
    <n v="131.1"/>
    <n v="63"/>
    <n v="28.9"/>
    <n v="98.499999999999986"/>
    <n v="117"/>
    <n v="149"/>
    <x v="1"/>
    <x v="0"/>
  </r>
  <r>
    <x v="1"/>
    <n v="72"/>
    <n v="127.5"/>
    <n v="31.1"/>
    <n v="12.25"/>
    <n v="33.200000000000003"/>
    <n v="1.99"/>
    <n v="20.5"/>
    <n v="80.900000000000006"/>
    <n v="1.42"/>
    <n v="120"/>
    <n v="127.5"/>
    <n v="38.875"/>
    <n v="30.625"/>
    <n v="83"/>
    <n v="99.5"/>
    <n v="128"/>
    <x v="1"/>
    <x v="3"/>
  </r>
  <r>
    <x v="2"/>
    <n v="63.3"/>
    <n v="159.1"/>
    <n v="31.9"/>
    <n v="11.65"/>
    <n v="8.8000000000000007"/>
    <n v="1.97"/>
    <n v="28.1"/>
    <n v="39.299999999999997"/>
    <n v="2.14"/>
    <n v="105.5"/>
    <n v="159.1"/>
    <n v="39.875"/>
    <n v="29.125"/>
    <n v="22"/>
    <n v="98.5"/>
    <n v="159"/>
    <x v="1"/>
    <x v="3"/>
  </r>
  <r>
    <x v="3"/>
    <n v="84.3"/>
    <n v="84.9"/>
    <n v="30"/>
    <n v="6.89"/>
    <n v="10.6"/>
    <n v="2.29"/>
    <n v="24"/>
    <n v="65"/>
    <n v="2.75"/>
    <n v="140.5"/>
    <n v="84.9"/>
    <n v="37.5"/>
    <n v="17.225000000000001"/>
    <n v="26.5"/>
    <n v="114.5"/>
    <n v="140"/>
    <x v="1"/>
    <x v="0"/>
  </r>
  <r>
    <x v="4"/>
    <n v="33.5"/>
    <n v="131.6"/>
    <n v="66.7"/>
    <n v="7.76"/>
    <n v="76.8"/>
    <n v="1.99"/>
    <n v="34.4"/>
    <n v="41.7"/>
    <n v="1.7"/>
    <n v="55.833333333333329"/>
    <n v="131.6"/>
    <n v="83.375"/>
    <n v="19.399999999999999"/>
    <n v="192"/>
    <n v="99.5"/>
    <n v="192"/>
    <x v="1"/>
    <x v="2"/>
  </r>
  <r>
    <x v="0"/>
    <n v="47.8"/>
    <n v="151.5"/>
    <n v="64.3"/>
    <n v="0.5"/>
    <n v="45.8"/>
    <n v="1.49"/>
    <n v="26.1"/>
    <n v="73.2"/>
    <n v="3.01"/>
    <n v="79.666666666666657"/>
    <n v="151.5"/>
    <n v="80.375"/>
    <n v="1.25"/>
    <n v="114.5"/>
    <n v="74.5"/>
    <n v="152"/>
    <x v="1"/>
    <x v="3"/>
  </r>
  <r>
    <x v="1"/>
    <n v="124.1"/>
    <n v="133.80000000000001"/>
    <n v="79.7"/>
    <n v="20.22"/>
    <n v="91"/>
    <n v="0.68"/>
    <n v="26.2"/>
    <n v="43.8"/>
    <n v="3.09"/>
    <n v="206.83333333333329"/>
    <n v="133.80000000000001"/>
    <n v="99.625"/>
    <n v="50.55"/>
    <n v="227.5"/>
    <n v="34"/>
    <n v="228"/>
    <x v="0"/>
    <x v="2"/>
  </r>
  <r>
    <x v="2"/>
    <n v="76.599999999999994"/>
    <n v="66.2"/>
    <n v="44"/>
    <n v="0.5"/>
    <n v="72.2"/>
    <n v="0.85"/>
    <n v="28.4"/>
    <n v="44.4"/>
    <n v="3.88"/>
    <n v="127.6666666666667"/>
    <n v="66.2"/>
    <n v="55"/>
    <n v="1.25"/>
    <n v="180.5"/>
    <n v="42.499999999999993"/>
    <n v="180"/>
    <x v="1"/>
    <x v="2"/>
  </r>
  <r>
    <x v="3"/>
    <n v="2"/>
    <n v="119"/>
    <n v="42.9"/>
    <n v="5.73"/>
    <n v="83.2"/>
    <n v="0.67"/>
    <n v="33.4"/>
    <n v="56.4"/>
    <n v="4.01"/>
    <n v="3.333333333333333"/>
    <n v="119"/>
    <n v="53.625"/>
    <n v="14.324999999999999"/>
    <n v="208"/>
    <n v="33.5"/>
    <n v="208"/>
    <x v="0"/>
    <x v="2"/>
  </r>
  <r>
    <x v="4"/>
    <n v="44"/>
    <n v="83.6"/>
    <n v="73.599999999999994"/>
    <n v="11.14"/>
    <n v="1.5"/>
    <n v="0.96"/>
    <n v="30.7"/>
    <n v="65.099999999999994"/>
    <n v="2.1800000000000002"/>
    <n v="73.333333333333329"/>
    <n v="83.6"/>
    <n v="92"/>
    <n v="27.85"/>
    <n v="3.75"/>
    <n v="48"/>
    <n v="92"/>
    <x v="3"/>
    <x v="1"/>
  </r>
  <r>
    <x v="0"/>
    <n v="2"/>
    <n v="174.1"/>
    <n v="23.7"/>
    <n v="0.5"/>
    <n v="1"/>
    <n v="1.94"/>
    <n v="28.9"/>
    <n v="45.9"/>
    <n v="4.17"/>
    <n v="3.333333333333333"/>
    <n v="174.1"/>
    <n v="29.625"/>
    <n v="1.25"/>
    <n v="2.5"/>
    <n v="97"/>
    <n v="174"/>
    <x v="1"/>
    <x v="3"/>
  </r>
  <r>
    <x v="1"/>
    <n v="98.9"/>
    <n v="271.2"/>
    <n v="21.4"/>
    <n v="9.7799999999999994"/>
    <n v="1"/>
    <n v="1.33"/>
    <n v="26.3"/>
    <n v="61.3"/>
    <n v="2.5499999999999998"/>
    <n v="164.83333333333329"/>
    <n v="271.2"/>
    <n v="26.75"/>
    <n v="24.45"/>
    <n v="2.5"/>
    <n v="66.5"/>
    <n v="271"/>
    <x v="0"/>
    <x v="3"/>
  </r>
  <r>
    <x v="2"/>
    <n v="74.8"/>
    <n v="154.1"/>
    <n v="83.7"/>
    <n v="6.1"/>
    <n v="15.7"/>
    <n v="1.28"/>
    <n v="22.4"/>
    <n v="76.7"/>
    <n v="2.16"/>
    <n v="124.6666666666667"/>
    <n v="154.1"/>
    <n v="104.625"/>
    <n v="15.25"/>
    <n v="39.25"/>
    <n v="64"/>
    <n v="154"/>
    <x v="1"/>
    <x v="3"/>
  </r>
  <r>
    <x v="3"/>
    <n v="43"/>
    <n v="91.7"/>
    <n v="59.4"/>
    <n v="7.21"/>
    <n v="24"/>
    <n v="2.2000000000000002"/>
    <n v="22"/>
    <n v="50.6"/>
    <n v="3.28"/>
    <n v="71.666666666666671"/>
    <n v="91.7"/>
    <n v="74.25"/>
    <n v="18.024999999999999"/>
    <n v="60"/>
    <n v="110"/>
    <n v="110"/>
    <x v="1"/>
    <x v="4"/>
  </r>
  <r>
    <x v="4"/>
    <n v="12.2"/>
    <n v="163.69999999999999"/>
    <n v="26.3"/>
    <n v="13.33"/>
    <n v="17.5"/>
    <n v="1.78"/>
    <n v="35.700000000000003"/>
    <n v="65.5"/>
    <n v="3.3"/>
    <n v="20.333333333333329"/>
    <n v="163.69999999999999"/>
    <n v="32.875"/>
    <n v="33.325000000000003"/>
    <n v="43.75"/>
    <n v="89"/>
    <n v="164"/>
    <x v="1"/>
    <x v="3"/>
  </r>
  <r>
    <x v="0"/>
    <n v="61"/>
    <n v="98.2"/>
    <n v="85.6"/>
    <n v="5.18"/>
    <n v="16.2"/>
    <n v="1.84"/>
    <n v="22.4"/>
    <n v="32.9"/>
    <n v="0.77"/>
    <n v="101.6666666666667"/>
    <n v="98.2"/>
    <n v="107"/>
    <n v="12.95"/>
    <n v="40.5"/>
    <n v="92"/>
    <n v="107"/>
    <x v="1"/>
    <x v="1"/>
  </r>
  <r>
    <x v="1"/>
    <n v="56.9"/>
    <n v="143.80000000000001"/>
    <n v="62.3"/>
    <n v="15.95"/>
    <n v="66.5"/>
    <n v="1.36"/>
    <n v="26.6"/>
    <n v="59.2"/>
    <n v="4.03"/>
    <n v="94.833333333333329"/>
    <n v="143.80000000000001"/>
    <n v="77.875"/>
    <n v="39.875"/>
    <n v="166.25"/>
    <n v="68"/>
    <n v="166"/>
    <x v="1"/>
    <x v="2"/>
  </r>
  <r>
    <x v="2"/>
    <n v="60.6"/>
    <n v="87.3"/>
    <n v="23.9"/>
    <n v="0.74"/>
    <n v="53.8"/>
    <n v="1.47"/>
    <n v="32"/>
    <n v="47.7"/>
    <n v="4.1900000000000004"/>
    <n v="101"/>
    <n v="87.3"/>
    <n v="29.875"/>
    <n v="1.85"/>
    <n v="134.5"/>
    <n v="73.5"/>
    <n v="134"/>
    <x v="1"/>
    <x v="2"/>
  </r>
  <r>
    <x v="3"/>
    <n v="45.5"/>
    <n v="177.3"/>
    <n v="44.2"/>
    <n v="4.96"/>
    <n v="54.8"/>
    <n v="1.45"/>
    <n v="30.5"/>
    <n v="51.5"/>
    <n v="2.4500000000000002"/>
    <n v="75.833333333333343"/>
    <n v="177.3"/>
    <n v="55.25"/>
    <n v="12.4"/>
    <n v="137"/>
    <n v="72.5"/>
    <n v="177"/>
    <x v="1"/>
    <x v="3"/>
  </r>
  <r>
    <x v="4"/>
    <n v="144.80000000000001"/>
    <n v="210.2"/>
    <n v="65.400000000000006"/>
    <n v="9.41"/>
    <n v="71.7"/>
    <n v="1.66"/>
    <n v="28.2"/>
    <n v="44.5"/>
    <n v="2.9"/>
    <n v="241.33333333333329"/>
    <n v="210.2"/>
    <n v="81.75"/>
    <n v="23.524999999999999"/>
    <n v="179.25"/>
    <n v="82.999999999999986"/>
    <n v="241"/>
    <x v="0"/>
    <x v="0"/>
  </r>
  <r>
    <x v="0"/>
    <n v="2"/>
    <n v="152.5"/>
    <n v="40.5"/>
    <n v="18.36"/>
    <n v="46.6"/>
    <n v="0.56000000000000005"/>
    <n v="27.7"/>
    <n v="31.2"/>
    <n v="3.07"/>
    <n v="3.333333333333333"/>
    <n v="152.5"/>
    <n v="50.625"/>
    <n v="45.9"/>
    <n v="116.5"/>
    <n v="28"/>
    <n v="152"/>
    <x v="1"/>
    <x v="3"/>
  </r>
  <r>
    <x v="1"/>
    <n v="85.9"/>
    <n v="221.8"/>
    <n v="36.5"/>
    <n v="10.210000000000001"/>
    <n v="7.3"/>
    <n v="2.0299999999999998"/>
    <n v="31.6"/>
    <n v="58.9"/>
    <n v="2.5"/>
    <n v="143.16666666666671"/>
    <n v="221.8"/>
    <n v="45.625"/>
    <n v="25.524999999999999"/>
    <n v="18.25"/>
    <n v="101.5"/>
    <n v="222"/>
    <x v="0"/>
    <x v="3"/>
  </r>
  <r>
    <x v="2"/>
    <n v="68.8"/>
    <n v="205.4"/>
    <n v="37.299999999999997"/>
    <n v="8.26"/>
    <n v="12.2"/>
    <n v="0.65"/>
    <n v="28.7"/>
    <n v="69.900000000000006"/>
    <n v="2.19"/>
    <n v="114.6666666666667"/>
    <n v="205.4"/>
    <n v="46.625"/>
    <n v="20.65"/>
    <n v="30.5"/>
    <n v="32.5"/>
    <n v="205"/>
    <x v="0"/>
    <x v="3"/>
  </r>
  <r>
    <x v="3"/>
    <n v="52.9"/>
    <n v="95.6"/>
    <n v="34.299999999999997"/>
    <n v="9.4700000000000006"/>
    <n v="2.6"/>
    <n v="1.97"/>
    <n v="23.3"/>
    <n v="63"/>
    <n v="0.98"/>
    <n v="88.166666666666671"/>
    <n v="95.6"/>
    <n v="42.875"/>
    <n v="23.675000000000001"/>
    <n v="6.5000000000000009"/>
    <n v="98.5"/>
    <n v="98"/>
    <x v="3"/>
    <x v="4"/>
  </r>
  <r>
    <x v="4"/>
    <n v="88.1"/>
    <n v="176.3"/>
    <n v="58"/>
    <n v="3.33"/>
    <n v="50.9"/>
    <n v="0.54"/>
    <n v="26.2"/>
    <n v="68.5"/>
    <n v="3.96"/>
    <n v="146.83333333333329"/>
    <n v="176.3"/>
    <n v="72.5"/>
    <n v="8.3250000000000011"/>
    <n v="127.25"/>
    <n v="27"/>
    <n v="176"/>
    <x v="1"/>
    <x v="3"/>
  </r>
  <r>
    <x v="0"/>
    <n v="69.5"/>
    <n v="70.7"/>
    <n v="66.599999999999994"/>
    <n v="9.31"/>
    <n v="1"/>
    <n v="1.92"/>
    <n v="27.8"/>
    <n v="71.599999999999994"/>
    <n v="1.19"/>
    <n v="115.8333333333333"/>
    <n v="70.7"/>
    <n v="83.249999999999986"/>
    <n v="23.274999999999999"/>
    <n v="2.5"/>
    <n v="96"/>
    <n v="116"/>
    <x v="1"/>
    <x v="0"/>
  </r>
  <r>
    <x v="1"/>
    <n v="2"/>
    <n v="170.9"/>
    <n v="63.5"/>
    <n v="0.5"/>
    <n v="19.399999999999999"/>
    <n v="3.57"/>
    <n v="25.9"/>
    <n v="63.2"/>
    <n v="1.72"/>
    <n v="3.333333333333333"/>
    <n v="170.9"/>
    <n v="79.375"/>
    <n v="1.25"/>
    <n v="48.499999999999993"/>
    <n v="178.5"/>
    <n v="178"/>
    <x v="1"/>
    <x v="4"/>
  </r>
  <r>
    <x v="2"/>
    <n v="2"/>
    <n v="104.3"/>
    <n v="37.700000000000003"/>
    <n v="5.7"/>
    <n v="35.299999999999997"/>
    <n v="1.29"/>
    <n v="26.9"/>
    <n v="27.2"/>
    <n v="3.08"/>
    <n v="3.333333333333333"/>
    <n v="104.3"/>
    <n v="47.125"/>
    <n v="14.25"/>
    <n v="88.25"/>
    <n v="64.5"/>
    <n v="104"/>
    <x v="1"/>
    <x v="3"/>
  </r>
  <r>
    <x v="3"/>
    <n v="2"/>
    <n v="5"/>
    <n v="59.8"/>
    <n v="10.54"/>
    <n v="38.6"/>
    <n v="0.36"/>
    <n v="23"/>
    <n v="45.3"/>
    <n v="0.57999999999999996"/>
    <n v="3.333333333333333"/>
    <n v="5"/>
    <n v="74.75"/>
    <n v="26.35"/>
    <n v="96.5"/>
    <n v="18"/>
    <n v="96"/>
    <x v="3"/>
    <x v="2"/>
  </r>
  <r>
    <x v="4"/>
    <n v="41.6"/>
    <n v="175.1"/>
    <n v="80.900000000000006"/>
    <n v="6.49"/>
    <n v="64.8"/>
    <n v="0.06"/>
    <n v="32.6"/>
    <n v="35.5"/>
    <n v="3.37"/>
    <n v="69.333333333333329"/>
    <n v="175.1"/>
    <n v="101.125"/>
    <n v="16.225000000000001"/>
    <n v="162"/>
    <n v="3"/>
    <n v="175"/>
    <x v="1"/>
    <x v="3"/>
  </r>
  <r>
    <x v="0"/>
    <n v="60.5"/>
    <n v="229.1"/>
    <n v="31.6"/>
    <n v="12.81"/>
    <n v="38"/>
    <n v="1.27"/>
    <n v="26.7"/>
    <n v="34.799999999999997"/>
    <n v="2.48"/>
    <n v="100.8333333333333"/>
    <n v="229.1"/>
    <n v="39.5"/>
    <n v="32.024999999999999"/>
    <n v="95"/>
    <n v="63.5"/>
    <n v="229"/>
    <x v="0"/>
    <x v="3"/>
  </r>
  <r>
    <x v="1"/>
    <n v="72.7"/>
    <n v="168.1"/>
    <n v="58.4"/>
    <n v="14.99"/>
    <n v="78.900000000000006"/>
    <n v="0.71"/>
    <n v="34.1"/>
    <n v="28.6"/>
    <n v="3.21"/>
    <n v="121.1666666666667"/>
    <n v="168.1"/>
    <n v="73"/>
    <n v="37.475000000000001"/>
    <n v="197.25"/>
    <n v="35.5"/>
    <n v="197"/>
    <x v="1"/>
    <x v="2"/>
  </r>
  <r>
    <x v="2"/>
    <n v="74.7"/>
    <n v="5.0999999999999996"/>
    <n v="44.5"/>
    <n v="5.37"/>
    <n v="20"/>
    <n v="1.91"/>
    <n v="23.4"/>
    <n v="35.5"/>
    <n v="2.59"/>
    <n v="124.5"/>
    <n v="5.0999999999999996"/>
    <n v="55.625"/>
    <n v="13.425000000000001"/>
    <n v="50"/>
    <n v="95.5"/>
    <n v="124"/>
    <x v="1"/>
    <x v="0"/>
  </r>
  <r>
    <x v="3"/>
    <n v="80.599999999999994"/>
    <n v="111.5"/>
    <n v="68.3"/>
    <n v="10.65"/>
    <n v="1"/>
    <n v="0.88"/>
    <n v="24.1"/>
    <n v="58.6"/>
    <n v="0.2"/>
    <n v="134.33333333333329"/>
    <n v="111.5"/>
    <n v="85.374999999999986"/>
    <n v="26.625"/>
    <n v="2.5"/>
    <n v="44"/>
    <n v="134"/>
    <x v="1"/>
    <x v="0"/>
  </r>
  <r>
    <x v="4"/>
    <n v="150.1"/>
    <n v="167"/>
    <n v="52.8"/>
    <n v="15.3"/>
    <n v="108.5"/>
    <n v="1.89"/>
    <n v="34.6"/>
    <n v="52.4"/>
    <n v="2.83"/>
    <n v="250.16666666666671"/>
    <n v="167"/>
    <n v="66"/>
    <n v="38.25"/>
    <n v="271.25"/>
    <n v="94.5"/>
    <n v="271"/>
    <x v="0"/>
    <x v="2"/>
  </r>
  <r>
    <x v="0"/>
    <n v="52.6"/>
    <n v="81"/>
    <n v="35.9"/>
    <n v="1.43"/>
    <n v="43.8"/>
    <n v="0.22"/>
    <n v="29.3"/>
    <n v="49.3"/>
    <n v="2.68"/>
    <n v="87.666666666666671"/>
    <n v="81"/>
    <n v="44.875"/>
    <n v="3.5750000000000002"/>
    <n v="109.5"/>
    <n v="11"/>
    <n v="109"/>
    <x v="1"/>
    <x v="2"/>
  </r>
  <r>
    <x v="1"/>
    <n v="55.4"/>
    <n v="380.8"/>
    <n v="90.3"/>
    <n v="2.2200000000000002"/>
    <n v="57.3"/>
    <n v="1.04"/>
    <n v="20.9"/>
    <n v="25.9"/>
    <n v="3.02"/>
    <n v="92.333333333333343"/>
    <n v="380.8"/>
    <n v="112.875"/>
    <n v="5.55"/>
    <n v="143.25"/>
    <n v="52.000000000000007"/>
    <n v="381"/>
    <x v="2"/>
    <x v="3"/>
  </r>
  <r>
    <x v="2"/>
    <n v="37.6"/>
    <n v="169.2"/>
    <n v="61.6"/>
    <n v="14.13"/>
    <n v="17.8"/>
    <n v="1.41"/>
    <n v="32.4"/>
    <n v="41.5"/>
    <n v="1.57"/>
    <n v="62.666666666666657"/>
    <n v="169.2"/>
    <n v="77"/>
    <n v="35.325000000000003"/>
    <n v="44.500000000000007"/>
    <n v="70.5"/>
    <n v="169"/>
    <x v="1"/>
    <x v="3"/>
  </r>
  <r>
    <x v="3"/>
    <n v="108.3"/>
    <n v="133.6"/>
    <n v="57.7"/>
    <n v="3.89"/>
    <n v="9.5"/>
    <n v="0.86"/>
    <n v="27.1"/>
    <n v="30.8"/>
    <n v="2.4900000000000002"/>
    <n v="180.5"/>
    <n v="133.6"/>
    <n v="72.125000000000014"/>
    <n v="9.7250000000000014"/>
    <n v="23.75"/>
    <n v="43"/>
    <n v="180"/>
    <x v="1"/>
    <x v="0"/>
  </r>
  <r>
    <x v="4"/>
    <n v="10.3"/>
    <n v="58.1"/>
    <n v="64.3"/>
    <n v="12.12"/>
    <n v="33.200000000000003"/>
    <n v="0.65"/>
    <n v="20.8"/>
    <n v="43.3"/>
    <n v="3.77"/>
    <n v="17.166666666666671"/>
    <n v="58.1"/>
    <n v="80.375"/>
    <n v="30.3"/>
    <n v="83"/>
    <n v="32.5"/>
    <n v="83"/>
    <x v="3"/>
    <x v="2"/>
  </r>
  <r>
    <x v="0"/>
    <n v="101"/>
    <n v="103.7"/>
    <n v="25.2"/>
    <n v="10.74"/>
    <n v="22.3"/>
    <n v="1.02"/>
    <n v="37.299999999999997"/>
    <n v="64.900000000000006"/>
    <n v="2.69"/>
    <n v="168.33333333333329"/>
    <n v="103.7"/>
    <n v="31.5"/>
    <n v="26.85"/>
    <n v="55.75"/>
    <n v="51.000000000000007"/>
    <n v="168"/>
    <x v="1"/>
    <x v="0"/>
  </r>
  <r>
    <x v="1"/>
    <n v="27.3"/>
    <n v="165.9"/>
    <n v="82.8"/>
    <n v="7.65"/>
    <n v="92.2"/>
    <n v="2.4700000000000002"/>
    <n v="39.6"/>
    <n v="55.5"/>
    <n v="3.2"/>
    <n v="45.5"/>
    <n v="165.9"/>
    <n v="103.5"/>
    <n v="19.125"/>
    <n v="230.5"/>
    <n v="123.5"/>
    <n v="230"/>
    <x v="0"/>
    <x v="2"/>
  </r>
  <r>
    <x v="2"/>
    <n v="97.3"/>
    <n v="139.5"/>
    <n v="33.200000000000003"/>
    <n v="5.47"/>
    <n v="43.7"/>
    <n v="0.4"/>
    <n v="27"/>
    <n v="69.7"/>
    <n v="0.2"/>
    <n v="162.16666666666671"/>
    <n v="139.5"/>
    <n v="41.5"/>
    <n v="13.675000000000001"/>
    <n v="109.25"/>
    <n v="20"/>
    <n v="162"/>
    <x v="1"/>
    <x v="0"/>
  </r>
  <r>
    <x v="3"/>
    <n v="106"/>
    <n v="187.3"/>
    <n v="35.799999999999997"/>
    <n v="10.72"/>
    <n v="40.1"/>
    <n v="1.94"/>
    <n v="34.9"/>
    <n v="24.8"/>
    <n v="3.2"/>
    <n v="176.66666666666671"/>
    <n v="187.3"/>
    <n v="44.75"/>
    <n v="26.8"/>
    <n v="100.25"/>
    <n v="97"/>
    <n v="187"/>
    <x v="1"/>
    <x v="3"/>
  </r>
  <r>
    <x v="4"/>
    <n v="59.2"/>
    <n v="137.5"/>
    <n v="33.5"/>
    <n v="18.41"/>
    <n v="72.599999999999994"/>
    <n v="0.83"/>
    <n v="18.7"/>
    <n v="43.1"/>
    <n v="3.52"/>
    <n v="98.666666666666671"/>
    <n v="137.5"/>
    <n v="41.875"/>
    <n v="46.025000000000013"/>
    <n v="181.5"/>
    <n v="41.499999999999993"/>
    <n v="182"/>
    <x v="1"/>
    <x v="2"/>
  </r>
  <r>
    <x v="0"/>
    <n v="77.3"/>
    <n v="224.5"/>
    <n v="69.900000000000006"/>
    <n v="14.78"/>
    <n v="55.4"/>
    <n v="0.42"/>
    <n v="26.6"/>
    <n v="69.099999999999994"/>
    <n v="2.44"/>
    <n v="128.83333333333329"/>
    <n v="224.5"/>
    <n v="87.375000000000014"/>
    <n v="36.950000000000003"/>
    <n v="138.5"/>
    <n v="21"/>
    <n v="224"/>
    <x v="0"/>
    <x v="3"/>
  </r>
  <r>
    <x v="1"/>
    <n v="93.9"/>
    <n v="126.1"/>
    <n v="30.5"/>
    <n v="9.23"/>
    <n v="59.7"/>
    <n v="1.01"/>
    <n v="26.4"/>
    <n v="33.1"/>
    <n v="3.84"/>
    <n v="156.5"/>
    <n v="126.1"/>
    <n v="38.125"/>
    <n v="23.074999999999999"/>
    <n v="149.25"/>
    <n v="50.5"/>
    <n v="156"/>
    <x v="1"/>
    <x v="0"/>
  </r>
  <r>
    <x v="2"/>
    <n v="48.6"/>
    <n v="196.8"/>
    <n v="71.8"/>
    <n v="7.22"/>
    <n v="14"/>
    <n v="0.05"/>
    <n v="17.7"/>
    <n v="25.3"/>
    <n v="4.1500000000000004"/>
    <n v="81"/>
    <n v="196.8"/>
    <n v="89.75"/>
    <n v="18.05"/>
    <n v="35"/>
    <n v="2.5"/>
    <n v="197"/>
    <x v="1"/>
    <x v="3"/>
  </r>
  <r>
    <x v="3"/>
    <n v="63.5"/>
    <n v="143.4"/>
    <n v="2"/>
    <n v="2.0099999999999998"/>
    <n v="62.2"/>
    <n v="1.37"/>
    <n v="27"/>
    <n v="60.2"/>
    <n v="4.46"/>
    <n v="105.8333333333333"/>
    <n v="143.4"/>
    <n v="2.5"/>
    <n v="5.0249999999999986"/>
    <n v="155.5"/>
    <n v="68.5"/>
    <n v="156"/>
    <x v="1"/>
    <x v="2"/>
  </r>
  <r>
    <x v="4"/>
    <n v="58.7"/>
    <n v="136.6"/>
    <n v="53.7"/>
    <n v="21.96"/>
    <n v="1"/>
    <n v="1.77"/>
    <n v="27.2"/>
    <n v="60.2"/>
    <n v="2.21"/>
    <n v="97.833333333333343"/>
    <n v="136.6"/>
    <n v="67.125"/>
    <n v="54.900000000000013"/>
    <n v="2.5"/>
    <n v="88.5"/>
    <n v="137"/>
    <x v="1"/>
    <x v="3"/>
  </r>
  <r>
    <x v="0"/>
    <n v="67.3"/>
    <n v="187.1"/>
    <n v="123.3"/>
    <n v="13.85"/>
    <n v="21.6"/>
    <n v="1.0900000000000001"/>
    <n v="24.8"/>
    <n v="17.7"/>
    <n v="2.1"/>
    <n v="112.1666666666667"/>
    <n v="187.1"/>
    <n v="154.125"/>
    <n v="34.624999999999993"/>
    <n v="54.000000000000007"/>
    <n v="54.500000000000007"/>
    <n v="187"/>
    <x v="1"/>
    <x v="3"/>
  </r>
  <r>
    <x v="1"/>
    <n v="102.5"/>
    <n v="54.4"/>
    <n v="82.5"/>
    <n v="13.05"/>
    <n v="27.1"/>
    <n v="1.39"/>
    <n v="39.200000000000003"/>
    <n v="63.2"/>
    <n v="2.5099999999999998"/>
    <n v="170.83333333333329"/>
    <n v="54.4"/>
    <n v="103.125"/>
    <n v="32.625"/>
    <n v="67.75"/>
    <n v="69.499999999999986"/>
    <n v="171"/>
    <x v="1"/>
    <x v="0"/>
  </r>
  <r>
    <x v="2"/>
    <n v="50.2"/>
    <n v="118.4"/>
    <n v="33"/>
    <n v="0.5"/>
    <n v="86.5"/>
    <n v="1.23"/>
    <n v="30.8"/>
    <n v="49"/>
    <n v="1.62"/>
    <n v="83.666666666666671"/>
    <n v="118.4"/>
    <n v="41.25"/>
    <n v="1.25"/>
    <n v="216.25"/>
    <n v="61.5"/>
    <n v="216"/>
    <x v="0"/>
    <x v="2"/>
  </r>
  <r>
    <x v="3"/>
    <n v="54.4"/>
    <n v="24"/>
    <n v="90.5"/>
    <n v="1.83"/>
    <n v="14.2"/>
    <n v="0.94"/>
    <n v="37"/>
    <n v="50.3"/>
    <n v="1.02"/>
    <n v="90.666666666666657"/>
    <n v="24"/>
    <n v="113.125"/>
    <n v="4.5750000000000002"/>
    <n v="35.5"/>
    <n v="47"/>
    <n v="113"/>
    <x v="1"/>
    <x v="1"/>
  </r>
  <r>
    <x v="4"/>
    <n v="107.4"/>
    <n v="180.2"/>
    <n v="61.3"/>
    <n v="12.74"/>
    <n v="109.8"/>
    <n v="2.76"/>
    <n v="23.2"/>
    <n v="79.2"/>
    <n v="3.46"/>
    <n v="179"/>
    <n v="180.2"/>
    <n v="76.625"/>
    <n v="31.85"/>
    <n v="274.49999999999989"/>
    <n v="138"/>
    <n v="274"/>
    <x v="0"/>
    <x v="2"/>
  </r>
  <r>
    <x v="0"/>
    <n v="86.2"/>
    <n v="21.2"/>
    <n v="47.8"/>
    <n v="4.53"/>
    <n v="69.8"/>
    <n v="2.12"/>
    <n v="13.5"/>
    <n v="49.6"/>
    <n v="3.85"/>
    <n v="143.66666666666671"/>
    <n v="21.2"/>
    <n v="59.75"/>
    <n v="11.324999999999999"/>
    <n v="174.5"/>
    <n v="106"/>
    <n v="174"/>
    <x v="1"/>
    <x v="2"/>
  </r>
  <r>
    <x v="1"/>
    <n v="68"/>
    <n v="204.7"/>
    <n v="65"/>
    <n v="12.14"/>
    <n v="41.5"/>
    <n v="0.59"/>
    <n v="20.100000000000001"/>
    <n v="62.8"/>
    <n v="2.52"/>
    <n v="113.3333333333333"/>
    <n v="204.7"/>
    <n v="81.25"/>
    <n v="30.35"/>
    <n v="103.75"/>
    <n v="29.5"/>
    <n v="205"/>
    <x v="0"/>
    <x v="3"/>
  </r>
  <r>
    <x v="2"/>
    <n v="53.1"/>
    <n v="89.8"/>
    <n v="37"/>
    <n v="12.57"/>
    <n v="30"/>
    <n v="0.38"/>
    <n v="33.200000000000003"/>
    <n v="46.3"/>
    <n v="2.54"/>
    <n v="88.500000000000014"/>
    <n v="89.8"/>
    <n v="46.25"/>
    <n v="31.425000000000001"/>
    <n v="75"/>
    <n v="19"/>
    <n v="90"/>
    <x v="3"/>
    <x v="3"/>
  </r>
  <r>
    <x v="3"/>
    <n v="108.2"/>
    <n v="118.8"/>
    <n v="50.8"/>
    <n v="2.11"/>
    <n v="34.5"/>
    <n v="1.57"/>
    <n v="17.100000000000001"/>
    <n v="53.6"/>
    <n v="2.62"/>
    <n v="180.33333333333329"/>
    <n v="118.8"/>
    <n v="63.5"/>
    <n v="5.2749999999999986"/>
    <n v="86.25"/>
    <n v="78.5"/>
    <n v="180"/>
    <x v="1"/>
    <x v="0"/>
  </r>
  <r>
    <x v="4"/>
    <n v="67.400000000000006"/>
    <n v="200.5"/>
    <n v="56.9"/>
    <n v="16.93"/>
    <n v="16.7"/>
    <n v="1.41"/>
    <n v="28.6"/>
    <n v="30.8"/>
    <n v="4.1500000000000004"/>
    <n v="112.3333333333333"/>
    <n v="200.5"/>
    <n v="71.125"/>
    <n v="42.325000000000003"/>
    <n v="41.749999999999993"/>
    <n v="70.5"/>
    <n v="200"/>
    <x v="1"/>
    <x v="3"/>
  </r>
  <r>
    <x v="0"/>
    <n v="149.19999999999999"/>
    <n v="136.80000000000001"/>
    <n v="63.4"/>
    <n v="9.69"/>
    <n v="25.5"/>
    <n v="0.12"/>
    <n v="23.1"/>
    <n v="24.9"/>
    <n v="4.54"/>
    <n v="248.66666666666671"/>
    <n v="136.80000000000001"/>
    <n v="79.25"/>
    <n v="24.225000000000001"/>
    <n v="63.75"/>
    <n v="6"/>
    <n v="249"/>
    <x v="0"/>
    <x v="0"/>
  </r>
  <r>
    <x v="1"/>
    <n v="70.7"/>
    <n v="124.1"/>
    <n v="78.5"/>
    <n v="2.99"/>
    <n v="26"/>
    <n v="1.55"/>
    <n v="35.200000000000003"/>
    <n v="59"/>
    <n v="2.8"/>
    <n v="117.8333333333333"/>
    <n v="124.1"/>
    <n v="98.125"/>
    <n v="7.4750000000000014"/>
    <n v="65"/>
    <n v="77.5"/>
    <n v="124"/>
    <x v="1"/>
    <x v="3"/>
  </r>
  <r>
    <x v="2"/>
    <n v="59.2"/>
    <n v="136.80000000000001"/>
    <n v="46.6"/>
    <n v="2.71"/>
    <n v="39.1"/>
    <n v="0.53"/>
    <n v="28.6"/>
    <n v="41.3"/>
    <n v="5.55"/>
    <n v="98.666666666666671"/>
    <n v="136.80000000000001"/>
    <n v="58.25"/>
    <n v="6.7749999999999986"/>
    <n v="97.75"/>
    <n v="26.5"/>
    <n v="137"/>
    <x v="1"/>
    <x v="3"/>
  </r>
  <r>
    <x v="3"/>
    <n v="58.8"/>
    <n v="35.700000000000003"/>
    <n v="42.3"/>
    <n v="10.6"/>
    <n v="81.8"/>
    <n v="0.85"/>
    <n v="16.899999999999999"/>
    <n v="64.7"/>
    <n v="0.84"/>
    <n v="97.999999999999986"/>
    <n v="35.700000000000003"/>
    <n v="52.875"/>
    <n v="26.5"/>
    <n v="204.5"/>
    <n v="42.499999999999993"/>
    <n v="204"/>
    <x v="0"/>
    <x v="2"/>
  </r>
  <r>
    <x v="4"/>
    <n v="51.6"/>
    <n v="115"/>
    <n v="48"/>
    <n v="12.59"/>
    <n v="25.2"/>
    <n v="1.1399999999999999"/>
    <n v="27.9"/>
    <n v="52.7"/>
    <n v="3.12"/>
    <n v="86"/>
    <n v="115"/>
    <n v="60"/>
    <n v="31.475000000000001"/>
    <n v="63"/>
    <n v="56.999999999999993"/>
    <n v="115"/>
    <x v="1"/>
    <x v="3"/>
  </r>
  <r>
    <x v="0"/>
    <n v="84"/>
    <n v="196.2"/>
    <n v="60.8"/>
    <n v="11.81"/>
    <n v="1"/>
    <n v="1.41"/>
    <n v="31.4"/>
    <n v="63.1"/>
    <n v="1.67"/>
    <n v="140"/>
    <n v="196.2"/>
    <n v="76"/>
    <n v="29.524999999999999"/>
    <n v="2.5"/>
    <n v="70.5"/>
    <n v="196"/>
    <x v="1"/>
    <x v="3"/>
  </r>
  <r>
    <x v="1"/>
    <n v="50.3"/>
    <n v="106.9"/>
    <n v="69.7"/>
    <n v="16.46"/>
    <n v="37.299999999999997"/>
    <n v="2.1800000000000002"/>
    <n v="28.9"/>
    <n v="47.8"/>
    <n v="2.25"/>
    <n v="83.833333333333329"/>
    <n v="106.9"/>
    <n v="87.125000000000014"/>
    <n v="41.15"/>
    <n v="93.25"/>
    <n v="109"/>
    <n v="109"/>
    <x v="1"/>
    <x v="4"/>
  </r>
  <r>
    <x v="2"/>
    <n v="78.3"/>
    <n v="132.6"/>
    <n v="86"/>
    <n v="3.55"/>
    <n v="50.3"/>
    <n v="0.84"/>
    <n v="21.9"/>
    <n v="49.8"/>
    <n v="2.66"/>
    <n v="130.5"/>
    <n v="132.6"/>
    <n v="107.5"/>
    <n v="8.875"/>
    <n v="125.75"/>
    <n v="41.999999999999993"/>
    <n v="133"/>
    <x v="1"/>
    <x v="3"/>
  </r>
  <r>
    <x v="3"/>
    <n v="147.5"/>
    <n v="109"/>
    <n v="22.4"/>
    <n v="9.3699999999999992"/>
    <n v="1"/>
    <n v="1.1399999999999999"/>
    <n v="28.1"/>
    <n v="64.3"/>
    <n v="3.67"/>
    <n v="245.83333333333329"/>
    <n v="109"/>
    <n v="28"/>
    <n v="23.425000000000001"/>
    <n v="2.5"/>
    <n v="56.999999999999993"/>
    <n v="246"/>
    <x v="0"/>
    <x v="0"/>
  </r>
  <r>
    <x v="4"/>
    <n v="49.4"/>
    <n v="122.1"/>
    <n v="32.6"/>
    <n v="2.6"/>
    <n v="52.5"/>
    <n v="0.48"/>
    <n v="25.1"/>
    <n v="32.1"/>
    <n v="3.66"/>
    <n v="82.333333333333329"/>
    <n v="122.1"/>
    <n v="40.75"/>
    <n v="6.5000000000000009"/>
    <n v="131.25"/>
    <n v="24"/>
    <n v="131"/>
    <x v="1"/>
    <x v="2"/>
  </r>
  <r>
    <x v="0"/>
    <n v="131.1"/>
    <n v="48.2"/>
    <n v="9.1"/>
    <n v="8.48"/>
    <n v="46.5"/>
    <n v="1.53"/>
    <n v="24.9"/>
    <n v="46.4"/>
    <n v="2.94"/>
    <n v="218.5"/>
    <n v="48.2"/>
    <n v="11.375"/>
    <n v="21.2"/>
    <n v="116.25"/>
    <n v="76.5"/>
    <n v="218"/>
    <x v="0"/>
    <x v="0"/>
  </r>
  <r>
    <x v="1"/>
    <n v="114"/>
    <n v="5"/>
    <n v="47"/>
    <n v="11.34"/>
    <n v="21.3"/>
    <n v="2.8"/>
    <n v="23.6"/>
    <n v="49.3"/>
    <n v="3.17"/>
    <n v="190"/>
    <n v="5"/>
    <n v="58.75"/>
    <n v="28.35"/>
    <n v="53.25"/>
    <n v="140"/>
    <n v="190"/>
    <x v="1"/>
    <x v="0"/>
  </r>
  <r>
    <x v="2"/>
    <n v="40.1"/>
    <n v="8.6999999999999993"/>
    <n v="34.6"/>
    <n v="12.49"/>
    <n v="30"/>
    <n v="0.66"/>
    <n v="34.5"/>
    <n v="44"/>
    <n v="1.89"/>
    <n v="66.833333333333343"/>
    <n v="8.6999999999999993"/>
    <n v="43.250000000000007"/>
    <n v="31.225000000000001"/>
    <n v="75"/>
    <n v="33"/>
    <n v="75"/>
    <x v="3"/>
    <x v="2"/>
  </r>
  <r>
    <x v="3"/>
    <n v="64.5"/>
    <n v="166.2"/>
    <n v="92.6"/>
    <n v="12.14"/>
    <n v="69"/>
    <n v="0.9"/>
    <n v="20.8"/>
    <n v="51.1"/>
    <n v="2.63"/>
    <n v="107.5"/>
    <n v="166.2"/>
    <n v="115.75"/>
    <n v="30.35"/>
    <n v="172.5"/>
    <n v="45"/>
    <n v="172"/>
    <x v="1"/>
    <x v="2"/>
  </r>
  <r>
    <x v="4"/>
    <n v="30.4"/>
    <n v="120.4"/>
    <n v="58.3"/>
    <n v="10.78"/>
    <n v="57.9"/>
    <n v="1.51"/>
    <n v="24.5"/>
    <n v="40.700000000000003"/>
    <n v="1.56"/>
    <n v="50.666666666666657"/>
    <n v="120.4"/>
    <n v="72.875"/>
    <n v="26.95"/>
    <n v="144.75"/>
    <n v="75.5"/>
    <n v="145"/>
    <x v="1"/>
    <x v="2"/>
  </r>
  <r>
    <x v="0"/>
    <n v="130.6"/>
    <n v="138.9"/>
    <n v="46.6"/>
    <n v="3.86"/>
    <n v="130.4"/>
    <n v="0.64"/>
    <n v="25"/>
    <n v="57.5"/>
    <n v="3.22"/>
    <n v="217.66666666666671"/>
    <n v="138.9"/>
    <n v="58.25"/>
    <n v="9.6499999999999986"/>
    <n v="326"/>
    <n v="32"/>
    <n v="326"/>
    <x v="2"/>
    <x v="2"/>
  </r>
  <r>
    <x v="1"/>
    <n v="110.9"/>
    <n v="285.60000000000002"/>
    <n v="68.900000000000006"/>
    <n v="3.4"/>
    <n v="42"/>
    <n v="1.73"/>
    <n v="42.5"/>
    <n v="24.8"/>
    <n v="3.94"/>
    <n v="184.83333333333329"/>
    <n v="285.60000000000002"/>
    <n v="86.125"/>
    <n v="8.5"/>
    <n v="105"/>
    <n v="86.5"/>
    <n v="286"/>
    <x v="0"/>
    <x v="3"/>
  </r>
  <r>
    <x v="2"/>
    <n v="62.1"/>
    <n v="161.80000000000001"/>
    <n v="40.799999999999997"/>
    <n v="3.6"/>
    <n v="55.8"/>
    <n v="1.51"/>
    <n v="34.799999999999997"/>
    <n v="49.8"/>
    <n v="1.78"/>
    <n v="103.5"/>
    <n v="161.80000000000001"/>
    <n v="51"/>
    <n v="9.0000000000000018"/>
    <n v="139.5"/>
    <n v="75.5"/>
    <n v="162"/>
    <x v="1"/>
    <x v="3"/>
  </r>
  <r>
    <x v="3"/>
    <n v="13.2"/>
    <n v="169.2"/>
    <n v="53.5"/>
    <n v="3.17"/>
    <n v="26.5"/>
    <n v="0.92"/>
    <n v="17.600000000000001"/>
    <n v="35.299999999999997"/>
    <n v="1.1399999999999999"/>
    <n v="22"/>
    <n v="169.2"/>
    <n v="66.875"/>
    <n v="7.9249999999999998"/>
    <n v="66.25"/>
    <n v="46"/>
    <n v="169"/>
    <x v="1"/>
    <x v="3"/>
  </r>
  <r>
    <x v="4"/>
    <n v="52.4"/>
    <n v="83.2"/>
    <n v="13.7"/>
    <n v="19.920000000000002"/>
    <n v="78.400000000000006"/>
    <n v="0.81"/>
    <n v="29.9"/>
    <n v="57.5"/>
    <n v="4.43"/>
    <n v="87.333333333333329"/>
    <n v="83.2"/>
    <n v="17.125"/>
    <n v="49.8"/>
    <n v="196"/>
    <n v="40.5"/>
    <n v="196"/>
    <x v="1"/>
    <x v="2"/>
  </r>
  <r>
    <x v="0"/>
    <n v="40.799999999999997"/>
    <n v="213.4"/>
    <n v="39.1"/>
    <n v="1.52"/>
    <n v="66.8"/>
    <n v="2.27"/>
    <n v="46.1"/>
    <n v="28.4"/>
    <n v="3.34"/>
    <n v="67.999999999999986"/>
    <n v="213.4"/>
    <n v="48.875"/>
    <n v="3.8"/>
    <n v="167"/>
    <n v="113.5"/>
    <n v="213"/>
    <x v="0"/>
    <x v="3"/>
  </r>
  <r>
    <x v="1"/>
    <n v="59.6"/>
    <n v="208.8"/>
    <n v="19.5"/>
    <n v="2.11"/>
    <n v="25.8"/>
    <n v="1.56"/>
    <n v="23.5"/>
    <n v="61.9"/>
    <n v="3.73"/>
    <n v="99.333333333333329"/>
    <n v="208.8"/>
    <n v="24.375"/>
    <n v="5.2749999999999986"/>
    <n v="64.5"/>
    <n v="78"/>
    <n v="209"/>
    <x v="0"/>
    <x v="3"/>
  </r>
  <r>
    <x v="2"/>
    <n v="74.099999999999994"/>
    <n v="206.3"/>
    <n v="50.7"/>
    <n v="1.82"/>
    <n v="70.400000000000006"/>
    <n v="0.8"/>
    <n v="34.4"/>
    <n v="78.3"/>
    <n v="3.05"/>
    <n v="123.5"/>
    <n v="206.3"/>
    <n v="63.375"/>
    <n v="4.55"/>
    <n v="176"/>
    <n v="40"/>
    <n v="206"/>
    <x v="0"/>
    <x v="3"/>
  </r>
  <r>
    <x v="3"/>
    <n v="15.1"/>
    <n v="64.900000000000006"/>
    <n v="71.5"/>
    <n v="7.15"/>
    <n v="42"/>
    <n v="1.66"/>
    <n v="32.9"/>
    <n v="55"/>
    <n v="2.25"/>
    <n v="25.166666666666671"/>
    <n v="64.900000000000006"/>
    <n v="89.375"/>
    <n v="17.875"/>
    <n v="105"/>
    <n v="82.999999999999986"/>
    <n v="105"/>
    <x v="1"/>
    <x v="2"/>
  </r>
  <r>
    <x v="4"/>
    <n v="55.7"/>
    <n v="188.6"/>
    <n v="61.7"/>
    <n v="7.38"/>
    <n v="73.8"/>
    <n v="1.23"/>
    <n v="22"/>
    <n v="36.299999999999997"/>
    <n v="1.83"/>
    <n v="92.833333333333343"/>
    <n v="188.6"/>
    <n v="77.125"/>
    <n v="18.45"/>
    <n v="184.5"/>
    <n v="61.5"/>
    <n v="189"/>
    <x v="1"/>
    <x v="3"/>
  </r>
  <r>
    <x v="0"/>
    <n v="59.6"/>
    <n v="223.1"/>
    <n v="33.200000000000003"/>
    <n v="10.28"/>
    <n v="27.1"/>
    <n v="1.2"/>
    <n v="17.399999999999999"/>
    <n v="46"/>
    <n v="2.27"/>
    <n v="99.333333333333329"/>
    <n v="223.1"/>
    <n v="41.5"/>
    <n v="25.7"/>
    <n v="67.75"/>
    <n v="60"/>
    <n v="223"/>
    <x v="0"/>
    <x v="3"/>
  </r>
  <r>
    <x v="1"/>
    <n v="95.3"/>
    <n v="166.7"/>
    <n v="26.3"/>
    <n v="16.78"/>
    <n v="56.6"/>
    <n v="1.65"/>
    <n v="27.9"/>
    <n v="40.700000000000003"/>
    <n v="2.76"/>
    <n v="158.83333333333329"/>
    <n v="166.7"/>
    <n v="32.875"/>
    <n v="41.95"/>
    <n v="141.5"/>
    <n v="82.499999999999986"/>
    <n v="167"/>
    <x v="1"/>
    <x v="3"/>
  </r>
  <r>
    <x v="2"/>
    <n v="70.599999999999994"/>
    <n v="14.4"/>
    <n v="32.5"/>
    <n v="6.39"/>
    <n v="44.1"/>
    <n v="1.82"/>
    <n v="22.6"/>
    <n v="41"/>
    <n v="1.88"/>
    <n v="117.6666666666667"/>
    <n v="14.4"/>
    <n v="40.625"/>
    <n v="15.975"/>
    <n v="110.25"/>
    <n v="91"/>
    <n v="118"/>
    <x v="1"/>
    <x v="0"/>
  </r>
  <r>
    <x v="3"/>
    <n v="36"/>
    <n v="99.2"/>
    <n v="60.4"/>
    <n v="2.73"/>
    <n v="50.7"/>
    <n v="0.18"/>
    <n v="24.1"/>
    <n v="44.1"/>
    <n v="4.51"/>
    <n v="60"/>
    <n v="99.2"/>
    <n v="75.5"/>
    <n v="6.8250000000000002"/>
    <n v="126.75"/>
    <n v="9"/>
    <n v="127"/>
    <x v="1"/>
    <x v="2"/>
  </r>
  <r>
    <x v="4"/>
    <n v="56.9"/>
    <n v="5"/>
    <n v="5.5"/>
    <n v="8.99"/>
    <n v="60.9"/>
    <n v="1.57"/>
    <n v="29.2"/>
    <n v="70.900000000000006"/>
    <n v="2.35"/>
    <n v="94.833333333333329"/>
    <n v="5"/>
    <n v="6.875"/>
    <n v="22.475000000000001"/>
    <n v="152.25"/>
    <n v="78.5"/>
    <n v="152"/>
    <x v="1"/>
    <x v="2"/>
  </r>
  <r>
    <x v="0"/>
    <n v="99.9"/>
    <n v="25.4"/>
    <n v="30.9"/>
    <n v="0.5"/>
    <n v="38.1"/>
    <n v="1.35"/>
    <n v="28.8"/>
    <n v="51.1"/>
    <n v="1.39"/>
    <n v="166.5"/>
    <n v="25.4"/>
    <n v="38.625"/>
    <n v="1.25"/>
    <n v="95.25"/>
    <n v="67.5"/>
    <n v="166"/>
    <x v="1"/>
    <x v="0"/>
  </r>
  <r>
    <x v="1"/>
    <n v="67.900000000000006"/>
    <n v="37.700000000000003"/>
    <n v="90.3"/>
    <n v="8.1"/>
    <n v="34.700000000000003"/>
    <n v="2.69"/>
    <n v="19.3"/>
    <n v="29.7"/>
    <n v="1.18"/>
    <n v="113.1666666666667"/>
    <n v="37.700000000000003"/>
    <n v="112.875"/>
    <n v="20.25"/>
    <n v="86.750000000000014"/>
    <n v="134.5"/>
    <n v="134"/>
    <x v="1"/>
    <x v="4"/>
  </r>
  <r>
    <x v="2"/>
    <n v="55.1"/>
    <n v="138.6"/>
    <n v="56.8"/>
    <n v="19.82"/>
    <n v="1"/>
    <n v="1.49"/>
    <n v="24.1"/>
    <n v="39.4"/>
    <n v="1.76"/>
    <n v="91.833333333333343"/>
    <n v="138.6"/>
    <n v="71"/>
    <n v="49.55"/>
    <n v="2.5"/>
    <n v="74.5"/>
    <n v="139"/>
    <x v="1"/>
    <x v="3"/>
  </r>
  <r>
    <x v="3"/>
    <n v="32.700000000000003"/>
    <n v="221.1"/>
    <n v="61.8"/>
    <n v="8.1199999999999992"/>
    <n v="73.8"/>
    <n v="0.28999999999999998"/>
    <n v="18.7"/>
    <n v="10.8"/>
    <n v="1.66"/>
    <n v="54.500000000000007"/>
    <n v="221.1"/>
    <n v="77.25"/>
    <n v="20.3"/>
    <n v="184.5"/>
    <n v="14.5"/>
    <n v="221"/>
    <x v="0"/>
    <x v="3"/>
  </r>
  <r>
    <x v="4"/>
    <n v="71.3"/>
    <n v="138.80000000000001"/>
    <n v="52.8"/>
    <n v="1.04"/>
    <n v="66.099999999999994"/>
    <n v="1.48"/>
    <n v="33.1"/>
    <n v="15.9"/>
    <n v="3.37"/>
    <n v="118.8333333333333"/>
    <n v="138.80000000000001"/>
    <n v="66"/>
    <n v="2.6"/>
    <n v="165.25"/>
    <n v="74"/>
    <n v="165"/>
    <x v="1"/>
    <x v="2"/>
  </r>
  <r>
    <x v="0"/>
    <n v="28"/>
    <n v="110.6"/>
    <n v="64"/>
    <n v="9.7200000000000006"/>
    <n v="21.5"/>
    <n v="1.38"/>
    <n v="17.3"/>
    <n v="70.7"/>
    <n v="2.25"/>
    <n v="46.666666666666671"/>
    <n v="110.6"/>
    <n v="80"/>
    <n v="24.3"/>
    <n v="53.75"/>
    <n v="68.999999999999986"/>
    <n v="111"/>
    <x v="1"/>
    <x v="3"/>
  </r>
  <r>
    <x v="1"/>
    <n v="116.9"/>
    <n v="110.5"/>
    <n v="43.2"/>
    <n v="5.22"/>
    <n v="77.400000000000006"/>
    <n v="0.97"/>
    <n v="32.5"/>
    <n v="43.1"/>
    <n v="0.2"/>
    <n v="194.83333333333329"/>
    <n v="110.5"/>
    <n v="54.000000000000007"/>
    <n v="13.05"/>
    <n v="193.5"/>
    <n v="48.5"/>
    <n v="195"/>
    <x v="1"/>
    <x v="0"/>
  </r>
  <r>
    <x v="2"/>
    <n v="40.700000000000003"/>
    <n v="46.8"/>
    <n v="43.4"/>
    <n v="1.95"/>
    <n v="60"/>
    <n v="1.0900000000000001"/>
    <n v="26.8"/>
    <n v="61.8"/>
    <n v="3.66"/>
    <n v="67.833333333333343"/>
    <n v="46.8"/>
    <n v="54.25"/>
    <n v="4.875"/>
    <n v="150"/>
    <n v="54.500000000000007"/>
    <n v="150"/>
    <x v="1"/>
    <x v="2"/>
  </r>
  <r>
    <x v="3"/>
    <n v="59.4"/>
    <n v="73.7"/>
    <n v="9.5"/>
    <n v="4.57"/>
    <n v="24.6"/>
    <n v="1.26"/>
    <n v="25.6"/>
    <n v="62.4"/>
    <n v="1.76"/>
    <n v="98.999999999999986"/>
    <n v="73.7"/>
    <n v="11.875"/>
    <n v="11.425000000000001"/>
    <n v="61.500000000000007"/>
    <n v="63"/>
    <n v="99"/>
    <x v="3"/>
    <x v="0"/>
  </r>
  <r>
    <x v="4"/>
    <n v="64.099999999999994"/>
    <n v="210.1"/>
    <n v="57"/>
    <n v="8.4700000000000006"/>
    <n v="27.4"/>
    <n v="0.9"/>
    <n v="22"/>
    <n v="40.299999999999997"/>
    <n v="3.91"/>
    <n v="106.8333333333333"/>
    <n v="210.1"/>
    <n v="71.25"/>
    <n v="21.175000000000001"/>
    <n v="68.499999999999986"/>
    <n v="45"/>
    <n v="210"/>
    <x v="0"/>
    <x v="3"/>
  </r>
  <r>
    <x v="0"/>
    <n v="61.3"/>
    <n v="44.9"/>
    <n v="92.4"/>
    <n v="11.04"/>
    <n v="5.6"/>
    <n v="1.08"/>
    <n v="28.8"/>
    <n v="90.7"/>
    <n v="1.17"/>
    <n v="102.1666666666667"/>
    <n v="44.9"/>
    <n v="115.5"/>
    <n v="27.6"/>
    <n v="14"/>
    <n v="54.000000000000007"/>
    <n v="116"/>
    <x v="1"/>
    <x v="1"/>
  </r>
  <r>
    <x v="1"/>
    <n v="111.6"/>
    <n v="255"/>
    <n v="40.5"/>
    <n v="8.27"/>
    <n v="17.600000000000001"/>
    <n v="1.35"/>
    <n v="27.7"/>
    <n v="71.900000000000006"/>
    <n v="3.81"/>
    <n v="186"/>
    <n v="255"/>
    <n v="50.625"/>
    <n v="20.675000000000001"/>
    <n v="44.000000000000007"/>
    <n v="67.5"/>
    <n v="255"/>
    <x v="0"/>
    <x v="3"/>
  </r>
  <r>
    <x v="2"/>
    <n v="35.700000000000003"/>
    <n v="5"/>
    <n v="42.3"/>
    <n v="8.99"/>
    <n v="43.9"/>
    <n v="0.95"/>
    <n v="28.9"/>
    <n v="87.3"/>
    <n v="2.96"/>
    <n v="59.500000000000007"/>
    <n v="5"/>
    <n v="52.875"/>
    <n v="22.475000000000001"/>
    <n v="109.75"/>
    <n v="47.5"/>
    <n v="110"/>
    <x v="1"/>
    <x v="2"/>
  </r>
  <r>
    <x v="3"/>
    <n v="48.8"/>
    <n v="90"/>
    <n v="41.6"/>
    <n v="16.18"/>
    <n v="35.4"/>
    <n v="1.19"/>
    <n v="24.6"/>
    <n v="79.8"/>
    <n v="4.8499999999999996"/>
    <n v="81.333333333333329"/>
    <n v="90"/>
    <n v="52.000000000000007"/>
    <n v="40.450000000000003"/>
    <n v="88.5"/>
    <n v="59.5"/>
    <n v="90"/>
    <x v="3"/>
    <x v="3"/>
  </r>
  <r>
    <x v="4"/>
    <n v="80.900000000000006"/>
    <n v="137.5"/>
    <n v="50.3"/>
    <n v="0.5"/>
    <n v="64.5"/>
    <n v="1.41"/>
    <n v="31"/>
    <n v="47.2"/>
    <n v="2.54"/>
    <n v="134.83333333333329"/>
    <n v="137.5"/>
    <n v="62.875"/>
    <n v="1.25"/>
    <n v="161.25"/>
    <n v="70.5"/>
    <n v="161"/>
    <x v="1"/>
    <x v="2"/>
  </r>
  <r>
    <x v="0"/>
    <n v="54.8"/>
    <n v="208.5"/>
    <n v="43"/>
    <n v="21.18"/>
    <n v="58.4"/>
    <n v="0.5"/>
    <n v="27.1"/>
    <n v="48.3"/>
    <n v="0.2"/>
    <n v="91.333333333333329"/>
    <n v="208.5"/>
    <n v="53.75"/>
    <n v="52.95"/>
    <n v="146"/>
    <n v="25"/>
    <n v="208"/>
    <x v="0"/>
    <x v="3"/>
  </r>
  <r>
    <x v="1"/>
    <n v="135"/>
    <n v="202.7"/>
    <n v="69.599999999999994"/>
    <n v="11.03"/>
    <n v="6.8"/>
    <n v="1.1399999999999999"/>
    <n v="33.9"/>
    <n v="41.1"/>
    <n v="0.2"/>
    <n v="225"/>
    <n v="202.7"/>
    <n v="87"/>
    <n v="27.574999999999999"/>
    <n v="17"/>
    <n v="56.999999999999993"/>
    <n v="225"/>
    <x v="0"/>
    <x v="0"/>
  </r>
  <r>
    <x v="2"/>
    <n v="50.5"/>
    <n v="105.9"/>
    <n v="45.3"/>
    <n v="11.06"/>
    <n v="53.1"/>
    <n v="1.29"/>
    <n v="36.4"/>
    <n v="32.700000000000003"/>
    <n v="3.11"/>
    <n v="84.166666666666671"/>
    <n v="105.9"/>
    <n v="56.624999999999993"/>
    <n v="27.65"/>
    <n v="132.75"/>
    <n v="64.5"/>
    <n v="133"/>
    <x v="1"/>
    <x v="2"/>
  </r>
  <r>
    <x v="3"/>
    <n v="78.8"/>
    <n v="45.6"/>
    <n v="14.9"/>
    <n v="4.2699999999999996"/>
    <n v="23.5"/>
    <n v="1.65"/>
    <n v="23.7"/>
    <n v="44.6"/>
    <n v="1.77"/>
    <n v="131.33333333333329"/>
    <n v="45.6"/>
    <n v="18.625"/>
    <n v="10.675000000000001"/>
    <n v="58.75"/>
    <n v="82.499999999999986"/>
    <n v="131"/>
    <x v="1"/>
    <x v="0"/>
  </r>
  <r>
    <x v="4"/>
    <n v="102.9"/>
    <n v="132.9"/>
    <n v="45.6"/>
    <n v="8.19"/>
    <n v="79.5"/>
    <n v="0.83"/>
    <n v="37.200000000000003"/>
    <n v="63.8"/>
    <n v="2.81"/>
    <n v="171.5"/>
    <n v="132.9"/>
    <n v="57"/>
    <n v="20.475000000000001"/>
    <n v="198.75"/>
    <n v="41.499999999999993"/>
    <n v="199"/>
    <x v="1"/>
    <x v="2"/>
  </r>
  <r>
    <x v="0"/>
    <n v="155.30000000000001"/>
    <n v="65.2"/>
    <n v="43.6"/>
    <n v="2.11"/>
    <n v="73.400000000000006"/>
    <n v="2.5499999999999998"/>
    <n v="39.700000000000003"/>
    <n v="82"/>
    <n v="2.2599999999999998"/>
    <n v="258.83333333333343"/>
    <n v="65.2"/>
    <n v="54.5"/>
    <n v="5.2749999999999986"/>
    <n v="183.5"/>
    <n v="127.5"/>
    <n v="259"/>
    <x v="0"/>
    <x v="0"/>
  </r>
  <r>
    <x v="1"/>
    <n v="61.3"/>
    <n v="24.7"/>
    <n v="107.1"/>
    <n v="12.93"/>
    <n v="34.6"/>
    <n v="2.5"/>
    <n v="21.2"/>
    <n v="67.3"/>
    <n v="2.29"/>
    <n v="102.1666666666667"/>
    <n v="24.7"/>
    <n v="133.875"/>
    <n v="32.325000000000003"/>
    <n v="86.500000000000014"/>
    <n v="125"/>
    <n v="134"/>
    <x v="1"/>
    <x v="1"/>
  </r>
  <r>
    <x v="2"/>
    <n v="75.2"/>
    <n v="110.4"/>
    <n v="15.2"/>
    <n v="7.96"/>
    <n v="62.9"/>
    <n v="1.1200000000000001"/>
    <n v="33.4"/>
    <n v="41.2"/>
    <n v="2.4700000000000002"/>
    <n v="125.3333333333333"/>
    <n v="110.4"/>
    <n v="19"/>
    <n v="19.899999999999999"/>
    <n v="157.25"/>
    <n v="56.000000000000007"/>
    <n v="157"/>
    <x v="1"/>
    <x v="2"/>
  </r>
  <r>
    <x v="3"/>
    <n v="41.3"/>
    <n v="164.8"/>
    <n v="45.6"/>
    <n v="11.45"/>
    <n v="67.2"/>
    <n v="1.61"/>
    <n v="29.9"/>
    <n v="42"/>
    <n v="2.5"/>
    <n v="68.833333333333329"/>
    <n v="164.8"/>
    <n v="57"/>
    <n v="28.625"/>
    <n v="168"/>
    <n v="80.5"/>
    <n v="168"/>
    <x v="1"/>
    <x v="2"/>
  </r>
  <r>
    <x v="4"/>
    <n v="48.4"/>
    <n v="109.3"/>
    <n v="41.3"/>
    <n v="3.41"/>
    <n v="1"/>
    <n v="0.88"/>
    <n v="29.4"/>
    <n v="35.700000000000003"/>
    <n v="3.02"/>
    <n v="80.666666666666657"/>
    <n v="109.3"/>
    <n v="51.625"/>
    <n v="8.5250000000000004"/>
    <n v="2.5"/>
    <n v="44"/>
    <n v="109"/>
    <x v="1"/>
    <x v="3"/>
  </r>
  <r>
    <x v="0"/>
    <n v="134.6"/>
    <n v="208.6"/>
    <n v="89.6"/>
    <n v="11.45"/>
    <n v="79.599999999999994"/>
    <n v="0.88"/>
    <n v="23.5"/>
    <n v="10.7"/>
    <n v="3.92"/>
    <n v="224.33333333333329"/>
    <n v="208.6"/>
    <n v="112"/>
    <n v="28.625"/>
    <n v="199"/>
    <n v="44"/>
    <n v="224"/>
    <x v="0"/>
    <x v="0"/>
  </r>
  <r>
    <x v="1"/>
    <n v="132.80000000000001"/>
    <n v="108.5"/>
    <n v="49.9"/>
    <n v="5.29"/>
    <n v="62"/>
    <n v="2.34"/>
    <n v="15.8"/>
    <n v="67.400000000000006"/>
    <n v="2.17"/>
    <n v="221.33333333333329"/>
    <n v="108.5"/>
    <n v="62.375"/>
    <n v="13.225"/>
    <n v="155"/>
    <n v="117"/>
    <n v="221"/>
    <x v="0"/>
    <x v="0"/>
  </r>
  <r>
    <x v="2"/>
    <n v="60.2"/>
    <n v="140.19999999999999"/>
    <n v="39.200000000000003"/>
    <n v="7.11"/>
    <n v="32.9"/>
    <n v="1.69"/>
    <n v="30.9"/>
    <n v="64"/>
    <n v="0.97"/>
    <n v="100.3333333333333"/>
    <n v="140.19999999999999"/>
    <n v="49"/>
    <n v="17.774999999999999"/>
    <n v="82.249999999999986"/>
    <n v="84.499999999999986"/>
    <n v="140"/>
    <x v="1"/>
    <x v="3"/>
  </r>
  <r>
    <x v="3"/>
    <n v="48.6"/>
    <n v="173.9"/>
    <n v="45.8"/>
    <n v="11.3"/>
    <n v="84.2"/>
    <n v="1.82"/>
    <n v="28.7"/>
    <n v="50.8"/>
    <n v="0.2"/>
    <n v="81"/>
    <n v="173.9"/>
    <n v="57.249999999999993"/>
    <n v="28.25"/>
    <n v="210.5"/>
    <n v="91"/>
    <n v="211"/>
    <x v="0"/>
    <x v="2"/>
  </r>
  <r>
    <x v="4"/>
    <n v="60.4"/>
    <n v="110.5"/>
    <n v="58.1"/>
    <n v="7.95"/>
    <n v="35.200000000000003"/>
    <n v="0.15"/>
    <n v="21.4"/>
    <n v="68.599999999999994"/>
    <n v="5.0599999999999996"/>
    <n v="100.6666666666667"/>
    <n v="110.5"/>
    <n v="72.625"/>
    <n v="19.875"/>
    <n v="88.000000000000014"/>
    <n v="7.5"/>
    <n v="110"/>
    <x v="1"/>
    <x v="3"/>
  </r>
  <r>
    <x v="0"/>
    <n v="65.599999999999994"/>
    <n v="160.6"/>
    <n v="73.7"/>
    <n v="4.54"/>
    <n v="56.5"/>
    <n v="0.87"/>
    <n v="34.1"/>
    <n v="62.7"/>
    <n v="2.86"/>
    <n v="109.3333333333333"/>
    <n v="160.6"/>
    <n v="92.125"/>
    <n v="11.35"/>
    <n v="141.25"/>
    <n v="43.5"/>
    <n v="161"/>
    <x v="1"/>
    <x v="3"/>
  </r>
  <r>
    <x v="1"/>
    <n v="45.7"/>
    <n v="203"/>
    <n v="108.4"/>
    <n v="3.7"/>
    <n v="39.4"/>
    <n v="1.67"/>
    <n v="33.5"/>
    <n v="49.9"/>
    <n v="0.2"/>
    <n v="76.166666666666671"/>
    <n v="203"/>
    <n v="135.5"/>
    <n v="9.2500000000000018"/>
    <n v="98.499999999999986"/>
    <n v="83.499999999999986"/>
    <n v="203"/>
    <x v="0"/>
    <x v="3"/>
  </r>
  <r>
    <x v="2"/>
    <n v="95.7"/>
    <n v="157.30000000000001"/>
    <n v="9.6"/>
    <n v="4.71"/>
    <n v="75.2"/>
    <n v="1.97"/>
    <n v="34.6"/>
    <n v="56.8"/>
    <n v="2.6"/>
    <n v="159.5"/>
    <n v="157.30000000000001"/>
    <n v="12"/>
    <n v="11.775"/>
    <n v="188"/>
    <n v="98.5"/>
    <n v="188"/>
    <x v="1"/>
    <x v="2"/>
  </r>
  <r>
    <x v="3"/>
    <n v="56.1"/>
    <n v="187.7"/>
    <n v="27.5"/>
    <n v="3.97"/>
    <n v="65.3"/>
    <n v="1.17"/>
    <n v="37.6"/>
    <n v="47.9"/>
    <n v="2.4300000000000002"/>
    <n v="93.5"/>
    <n v="187.7"/>
    <n v="34.375"/>
    <n v="9.9249999999999989"/>
    <n v="163.25"/>
    <n v="58.5"/>
    <n v="188"/>
    <x v="1"/>
    <x v="3"/>
  </r>
  <r>
    <x v="4"/>
    <n v="35.6"/>
    <n v="132.5"/>
    <n v="17"/>
    <n v="6.12"/>
    <n v="4.5"/>
    <n v="1.78"/>
    <n v="33"/>
    <n v="28.9"/>
    <n v="4.5999999999999996"/>
    <n v="59.333333333333343"/>
    <n v="132.5"/>
    <n v="21.25"/>
    <n v="15.3"/>
    <n v="11.25"/>
    <n v="89"/>
    <n v="132"/>
    <x v="1"/>
    <x v="3"/>
  </r>
  <r>
    <x v="0"/>
    <n v="155.19999999999999"/>
    <n v="141.19999999999999"/>
    <n v="37"/>
    <n v="25.44"/>
    <n v="8.1"/>
    <n v="1.39"/>
    <n v="29.3"/>
    <n v="84.2"/>
    <n v="2.93"/>
    <n v="258.66666666666657"/>
    <n v="141.19999999999999"/>
    <n v="46.25"/>
    <n v="63.6"/>
    <n v="20.25"/>
    <n v="69.499999999999986"/>
    <n v="259"/>
    <x v="0"/>
    <x v="0"/>
  </r>
  <r>
    <x v="1"/>
    <n v="56.3"/>
    <n v="78.7"/>
    <n v="47.7"/>
    <n v="3.71"/>
    <n v="51.5"/>
    <n v="1.08"/>
    <n v="17.5"/>
    <n v="82.6"/>
    <n v="1.9"/>
    <n v="93.833333333333329"/>
    <n v="78.7"/>
    <n v="59.625000000000007"/>
    <n v="9.2750000000000004"/>
    <n v="128.75"/>
    <n v="54.000000000000007"/>
    <n v="129"/>
    <x v="1"/>
    <x v="2"/>
  </r>
  <r>
    <x v="2"/>
    <n v="20.9"/>
    <n v="104.4"/>
    <n v="44"/>
    <n v="0.5"/>
    <n v="45.9"/>
    <n v="0.54"/>
    <n v="40"/>
    <n v="69.400000000000006"/>
    <n v="2.02"/>
    <n v="34.833333333333343"/>
    <n v="104.4"/>
    <n v="55"/>
    <n v="1.25"/>
    <n v="114.75"/>
    <n v="27"/>
    <n v="115"/>
    <x v="1"/>
    <x v="2"/>
  </r>
  <r>
    <x v="3"/>
    <n v="37.6"/>
    <n v="113.7"/>
    <n v="57.3"/>
    <n v="7.87"/>
    <n v="34.6"/>
    <n v="1.24"/>
    <n v="23.8"/>
    <n v="53.8"/>
    <n v="0.2"/>
    <n v="62.666666666666657"/>
    <n v="113.7"/>
    <n v="71.625"/>
    <n v="19.675000000000001"/>
    <n v="86.500000000000014"/>
    <n v="62"/>
    <n v="114"/>
    <x v="1"/>
    <x v="3"/>
  </r>
  <r>
    <x v="4"/>
    <n v="98.1"/>
    <n v="151.69999999999999"/>
    <n v="32.5"/>
    <n v="19.239999999999998"/>
    <n v="46.4"/>
    <n v="0.64"/>
    <n v="34"/>
    <n v="67.2"/>
    <n v="3.47"/>
    <n v="163.5"/>
    <n v="151.69999999999999"/>
    <n v="40.625"/>
    <n v="48.099999999999987"/>
    <n v="116"/>
    <n v="32"/>
    <n v="163"/>
    <x v="1"/>
    <x v="0"/>
  </r>
  <r>
    <x v="0"/>
    <n v="54.3"/>
    <n v="169.1"/>
    <n v="45.7"/>
    <n v="12.4"/>
    <n v="1"/>
    <n v="1.08"/>
    <n v="40.1"/>
    <n v="46.2"/>
    <n v="1.78"/>
    <n v="90.5"/>
    <n v="169.1"/>
    <n v="57.125"/>
    <n v="31"/>
    <n v="2.5"/>
    <n v="54.000000000000007"/>
    <n v="169"/>
    <x v="1"/>
    <x v="3"/>
  </r>
  <r>
    <x v="1"/>
    <n v="58.2"/>
    <n v="58.9"/>
    <n v="2"/>
    <n v="8.56"/>
    <n v="54.2"/>
    <n v="1.46"/>
    <n v="27"/>
    <n v="60.8"/>
    <n v="3.73"/>
    <n v="97"/>
    <n v="58.9"/>
    <n v="2.5"/>
    <n v="21.4"/>
    <n v="135.5"/>
    <n v="73"/>
    <n v="136"/>
    <x v="1"/>
    <x v="2"/>
  </r>
  <r>
    <x v="2"/>
    <n v="51.6"/>
    <n v="81.3"/>
    <n v="37.4"/>
    <n v="10.35"/>
    <n v="71.5"/>
    <n v="0.78"/>
    <n v="28.7"/>
    <n v="66.099999999999994"/>
    <n v="1.31"/>
    <n v="86"/>
    <n v="81.3"/>
    <n v="46.75"/>
    <n v="25.875"/>
    <n v="178.75"/>
    <n v="39"/>
    <n v="179"/>
    <x v="1"/>
    <x v="2"/>
  </r>
  <r>
    <x v="3"/>
    <n v="60.6"/>
    <n v="32.1"/>
    <n v="9.6"/>
    <n v="9.83"/>
    <n v="30.4"/>
    <n v="1.32"/>
    <n v="27.9"/>
    <n v="42.4"/>
    <n v="2.4500000000000002"/>
    <n v="101"/>
    <n v="32.1"/>
    <n v="12"/>
    <n v="24.574999999999999"/>
    <n v="76"/>
    <n v="66"/>
    <n v="101"/>
    <x v="1"/>
    <x v="0"/>
  </r>
  <r>
    <x v="4"/>
    <n v="25.3"/>
    <n v="223.8"/>
    <n v="19.7"/>
    <n v="7.72"/>
    <n v="15.3"/>
    <n v="1.7"/>
    <n v="25.7"/>
    <n v="50.7"/>
    <n v="4.0199999999999996"/>
    <n v="42.166666666666657"/>
    <n v="223.8"/>
    <n v="24.625"/>
    <n v="19.3"/>
    <n v="38.25"/>
    <n v="84.999999999999986"/>
    <n v="224"/>
    <x v="0"/>
    <x v="3"/>
  </r>
  <r>
    <x v="0"/>
    <n v="70"/>
    <n v="173.6"/>
    <n v="29.2"/>
    <n v="1.1200000000000001"/>
    <n v="49.1"/>
    <n v="1.1599999999999999"/>
    <n v="32.4"/>
    <n v="58.6"/>
    <n v="2.75"/>
    <n v="116.6666666666667"/>
    <n v="173.6"/>
    <n v="36.5"/>
    <n v="2.8"/>
    <n v="122.75"/>
    <n v="57.999999999999993"/>
    <n v="174"/>
    <x v="1"/>
    <x v="3"/>
  </r>
  <r>
    <x v="1"/>
    <n v="14.1"/>
    <n v="291.60000000000002"/>
    <n v="52.1"/>
    <n v="14.36"/>
    <n v="23.9"/>
    <n v="1.73"/>
    <n v="18.899999999999999"/>
    <n v="68.099999999999994"/>
    <n v="2.0699999999999998"/>
    <n v="23.5"/>
    <n v="291.60000000000002"/>
    <n v="65.125"/>
    <n v="35.9"/>
    <n v="59.75"/>
    <n v="86.5"/>
    <n v="292"/>
    <x v="0"/>
    <x v="3"/>
  </r>
  <r>
    <x v="2"/>
    <n v="57.8"/>
    <n v="153.80000000000001"/>
    <n v="19.3"/>
    <n v="4.3499999999999996"/>
    <n v="48.9"/>
    <n v="2.34"/>
    <n v="27"/>
    <n v="70.599999999999994"/>
    <n v="2.37"/>
    <n v="96.333333333333329"/>
    <n v="153.80000000000001"/>
    <n v="24.125"/>
    <n v="10.875"/>
    <n v="122.25"/>
    <n v="117"/>
    <n v="154"/>
    <x v="1"/>
    <x v="3"/>
  </r>
  <r>
    <x v="3"/>
    <n v="118.3"/>
    <n v="15.2"/>
    <n v="46.9"/>
    <n v="0.5"/>
    <n v="1"/>
    <n v="1.38"/>
    <n v="29"/>
    <n v="54.9"/>
    <n v="2.37"/>
    <n v="197.16666666666671"/>
    <n v="15.2"/>
    <n v="58.625"/>
    <n v="1.25"/>
    <n v="2.5"/>
    <n v="68.999999999999986"/>
    <n v="197"/>
    <x v="1"/>
    <x v="0"/>
  </r>
  <r>
    <x v="4"/>
    <n v="168.2"/>
    <n v="115"/>
    <n v="60.7"/>
    <n v="5.23"/>
    <n v="52.1"/>
    <n v="1.1599999999999999"/>
    <n v="25.1"/>
    <n v="92.7"/>
    <n v="4.41"/>
    <n v="280.33333333333331"/>
    <n v="115"/>
    <n v="75.875"/>
    <n v="13.074999999999999"/>
    <n v="130.25"/>
    <n v="57.999999999999993"/>
    <n v="280"/>
    <x v="0"/>
    <x v="0"/>
  </r>
  <r>
    <x v="0"/>
    <n v="73.7"/>
    <n v="5"/>
    <n v="43.4"/>
    <n v="24.74"/>
    <n v="39.4"/>
    <n v="2.14"/>
    <n v="38.1"/>
    <n v="63.9"/>
    <n v="1.49"/>
    <n v="122.8333333333333"/>
    <n v="5"/>
    <n v="54.25"/>
    <n v="61.849999999999987"/>
    <n v="98.499999999999986"/>
    <n v="107"/>
    <n v="123"/>
    <x v="1"/>
    <x v="0"/>
  </r>
  <r>
    <x v="1"/>
    <n v="2"/>
    <n v="201.3"/>
    <n v="35.9"/>
    <n v="11.1"/>
    <n v="10.9"/>
    <n v="1.3"/>
    <n v="28.2"/>
    <n v="64.8"/>
    <n v="1.1599999999999999"/>
    <n v="3.333333333333333"/>
    <n v="201.3"/>
    <n v="44.875"/>
    <n v="27.75"/>
    <n v="27.25"/>
    <n v="65"/>
    <n v="201"/>
    <x v="0"/>
    <x v="3"/>
  </r>
  <r>
    <x v="2"/>
    <n v="91.1"/>
    <n v="80"/>
    <n v="10.9"/>
    <n v="7.08"/>
    <n v="38.799999999999997"/>
    <n v="1.23"/>
    <n v="37.5"/>
    <n v="55.7"/>
    <n v="2.36"/>
    <n v="151.83333333333329"/>
    <n v="80"/>
    <n v="13.625"/>
    <n v="17.7"/>
    <n v="96.999999999999986"/>
    <n v="61.5"/>
    <n v="152"/>
    <x v="1"/>
    <x v="0"/>
  </r>
  <r>
    <x v="3"/>
    <n v="26.9"/>
    <n v="169.2"/>
    <n v="48.7"/>
    <n v="5.9"/>
    <n v="1"/>
    <n v="2.0699999999999998"/>
    <n v="19.399999999999999"/>
    <n v="49.4"/>
    <n v="2.93"/>
    <n v="44.833333333333329"/>
    <n v="169.2"/>
    <n v="60.875000000000007"/>
    <n v="14.75"/>
    <n v="2.5"/>
    <n v="103.5"/>
    <n v="169"/>
    <x v="1"/>
    <x v="3"/>
  </r>
  <r>
    <x v="4"/>
    <n v="26.5"/>
    <n v="33.4"/>
    <n v="2.8"/>
    <n v="12.77"/>
    <n v="29"/>
    <n v="3.25"/>
    <n v="21"/>
    <n v="43.4"/>
    <n v="2.3199999999999998"/>
    <n v="44.166666666666657"/>
    <n v="33.4"/>
    <n v="3.5"/>
    <n v="31.925000000000001"/>
    <n v="72.5"/>
    <n v="162.5"/>
    <n v="162"/>
    <x v="1"/>
    <x v="4"/>
  </r>
  <r>
    <x v="0"/>
    <n v="77.400000000000006"/>
    <n v="105.6"/>
    <n v="65.8"/>
    <n v="3.57"/>
    <n v="6.3"/>
    <n v="0.14000000000000001"/>
    <n v="12.4"/>
    <n v="50.7"/>
    <n v="2.14"/>
    <n v="129"/>
    <n v="105.6"/>
    <n v="82.249999999999986"/>
    <n v="8.9249999999999989"/>
    <n v="15.75"/>
    <n v="7.0000000000000009"/>
    <n v="129"/>
    <x v="1"/>
    <x v="0"/>
  </r>
  <r>
    <x v="1"/>
    <n v="51.3"/>
    <n v="243.3"/>
    <n v="87"/>
    <n v="7.91"/>
    <n v="1"/>
    <n v="1.07"/>
    <n v="23.8"/>
    <n v="48.2"/>
    <n v="1.66"/>
    <n v="85.499999999999986"/>
    <n v="243.3"/>
    <n v="108.75"/>
    <n v="19.774999999999999"/>
    <n v="2.5"/>
    <n v="53.500000000000007"/>
    <n v="243"/>
    <x v="0"/>
    <x v="3"/>
  </r>
  <r>
    <x v="2"/>
    <n v="38.4"/>
    <n v="92"/>
    <n v="30.7"/>
    <n v="8.59"/>
    <n v="46.6"/>
    <n v="0.62"/>
    <n v="36.9"/>
    <n v="42.4"/>
    <n v="0.56000000000000005"/>
    <n v="64"/>
    <n v="92"/>
    <n v="38.375"/>
    <n v="21.475000000000001"/>
    <n v="116.5"/>
    <n v="31"/>
    <n v="116"/>
    <x v="1"/>
    <x v="2"/>
  </r>
  <r>
    <x v="3"/>
    <n v="71.400000000000006"/>
    <n v="71"/>
    <n v="51.4"/>
    <n v="0.5"/>
    <n v="74.8"/>
    <n v="1.6"/>
    <n v="17.5"/>
    <n v="33.4"/>
    <n v="4.51"/>
    <n v="119"/>
    <n v="71"/>
    <n v="64.25"/>
    <n v="1.25"/>
    <n v="187"/>
    <n v="80"/>
    <n v="187"/>
    <x v="1"/>
    <x v="2"/>
  </r>
  <r>
    <x v="4"/>
    <n v="41.7"/>
    <n v="76.900000000000006"/>
    <n v="2"/>
    <n v="6.87"/>
    <n v="37.700000000000003"/>
    <n v="1.79"/>
    <n v="18.2"/>
    <n v="32.6"/>
    <n v="3.54"/>
    <n v="69.5"/>
    <n v="76.900000000000006"/>
    <n v="2.5"/>
    <n v="17.175000000000001"/>
    <n v="94.25"/>
    <n v="89.5"/>
    <n v="94"/>
    <x v="3"/>
    <x v="2"/>
  </r>
  <r>
    <x v="0"/>
    <n v="103.7"/>
    <n v="29.6"/>
    <n v="76.599999999999994"/>
    <n v="9.42"/>
    <n v="77.400000000000006"/>
    <n v="1.33"/>
    <n v="10.3"/>
    <n v="57.3"/>
    <n v="3.77"/>
    <n v="172.83333333333329"/>
    <n v="29.6"/>
    <n v="95.749999999999986"/>
    <n v="23.55"/>
    <n v="193.5"/>
    <n v="66.5"/>
    <n v="194"/>
    <x v="1"/>
    <x v="2"/>
  </r>
  <r>
    <x v="1"/>
    <n v="41.5"/>
    <n v="120.9"/>
    <n v="51.8"/>
    <n v="0.5"/>
    <n v="102.2"/>
    <n v="0.82"/>
    <n v="31.5"/>
    <n v="58.4"/>
    <n v="4.01"/>
    <n v="69.166666666666671"/>
    <n v="120.9"/>
    <n v="64.75"/>
    <n v="1.25"/>
    <n v="255.5"/>
    <n v="40.999999999999993"/>
    <n v="256"/>
    <x v="0"/>
    <x v="2"/>
  </r>
  <r>
    <x v="2"/>
    <n v="68.599999999999994"/>
    <n v="100.6"/>
    <n v="25.8"/>
    <n v="11.39"/>
    <n v="1"/>
    <n v="1.51"/>
    <n v="20.3"/>
    <n v="82.5"/>
    <n v="2.69"/>
    <n v="114.3333333333333"/>
    <n v="100.6"/>
    <n v="32.25"/>
    <n v="28.475000000000001"/>
    <n v="2.5"/>
    <n v="75.5"/>
    <n v="114"/>
    <x v="1"/>
    <x v="0"/>
  </r>
  <r>
    <x v="3"/>
    <n v="79.3"/>
    <n v="124.9"/>
    <n v="10"/>
    <n v="3.7"/>
    <n v="56.8"/>
    <n v="1.3"/>
    <n v="36.299999999999997"/>
    <n v="67.3"/>
    <n v="1.34"/>
    <n v="132.16666666666671"/>
    <n v="124.9"/>
    <n v="12.5"/>
    <n v="9.2500000000000018"/>
    <n v="142"/>
    <n v="65"/>
    <n v="142"/>
    <x v="1"/>
    <x v="2"/>
  </r>
  <r>
    <x v="4"/>
    <n v="39.700000000000003"/>
    <n v="138.80000000000001"/>
    <n v="2"/>
    <n v="18"/>
    <n v="56.1"/>
    <n v="2.13"/>
    <n v="16.899999999999999"/>
    <n v="82.4"/>
    <n v="5.68"/>
    <n v="66.166666666666671"/>
    <n v="138.80000000000001"/>
    <n v="2.5"/>
    <n v="45"/>
    <n v="140.25"/>
    <n v="106.5"/>
    <n v="140"/>
    <x v="1"/>
    <x v="2"/>
  </r>
  <r>
    <x v="0"/>
    <n v="23.4"/>
    <n v="191.2"/>
    <n v="51.8"/>
    <n v="0.5"/>
    <n v="60.2"/>
    <n v="1.96"/>
    <n v="23.8"/>
    <n v="81"/>
    <n v="0.5"/>
    <n v="39"/>
    <n v="191.2"/>
    <n v="64.75"/>
    <n v="1.25"/>
    <n v="150.5"/>
    <n v="98"/>
    <n v="191"/>
    <x v="1"/>
    <x v="3"/>
  </r>
  <r>
    <x v="1"/>
    <n v="18.899999999999999"/>
    <n v="160.19999999999999"/>
    <n v="56.9"/>
    <n v="5.52"/>
    <n v="75.3"/>
    <n v="1.9"/>
    <n v="34"/>
    <n v="57.8"/>
    <n v="3.22"/>
    <n v="31.5"/>
    <n v="160.19999999999999"/>
    <n v="71.125"/>
    <n v="13.8"/>
    <n v="188.25"/>
    <n v="95"/>
    <n v="188"/>
    <x v="1"/>
    <x v="2"/>
  </r>
  <r>
    <x v="2"/>
    <n v="44.3"/>
    <n v="231.1"/>
    <n v="27.3"/>
    <n v="17.600000000000001"/>
    <n v="38.799999999999997"/>
    <n v="0.36"/>
    <n v="37.6"/>
    <n v="62.3"/>
    <n v="3.52"/>
    <n v="73.833333333333329"/>
    <n v="231.1"/>
    <n v="34.125"/>
    <n v="44.000000000000007"/>
    <n v="96.999999999999986"/>
    <n v="18"/>
    <n v="231"/>
    <x v="0"/>
    <x v="3"/>
  </r>
  <r>
    <x v="3"/>
    <n v="96.7"/>
    <n v="140.30000000000001"/>
    <n v="33.200000000000003"/>
    <n v="12.88"/>
    <n v="40"/>
    <n v="1.61"/>
    <n v="12.9"/>
    <n v="68"/>
    <n v="1.73"/>
    <n v="161.16666666666671"/>
    <n v="140.30000000000001"/>
    <n v="41.5"/>
    <n v="32.200000000000003"/>
    <n v="100"/>
    <n v="80.5"/>
    <n v="161"/>
    <x v="1"/>
    <x v="0"/>
  </r>
  <r>
    <x v="4"/>
    <n v="120.6"/>
    <n v="173.1"/>
    <n v="54.8"/>
    <n v="11.47"/>
    <n v="16.5"/>
    <n v="2.39"/>
    <n v="41.9"/>
    <n v="67.099999999999994"/>
    <n v="4.91"/>
    <n v="201"/>
    <n v="173.1"/>
    <n v="68.499999999999986"/>
    <n v="28.675000000000001"/>
    <n v="41.25"/>
    <n v="119.5"/>
    <n v="201"/>
    <x v="0"/>
    <x v="0"/>
  </r>
  <r>
    <x v="0"/>
    <n v="49.4"/>
    <n v="83"/>
    <n v="52.7"/>
    <n v="11.7"/>
    <n v="34.700000000000003"/>
    <n v="1.75"/>
    <n v="30.1"/>
    <n v="42"/>
    <n v="3.12"/>
    <n v="82.333333333333329"/>
    <n v="83"/>
    <n v="65.875"/>
    <n v="29.25"/>
    <n v="86.750000000000014"/>
    <n v="87.5"/>
    <n v="88"/>
    <x v="3"/>
    <x v="4"/>
  </r>
  <r>
    <x v="1"/>
    <n v="107.4"/>
    <n v="162.9"/>
    <n v="85.1"/>
    <n v="2.39"/>
    <n v="64.599999999999994"/>
    <n v="0.62"/>
    <n v="20.2"/>
    <n v="48.6"/>
    <n v="1.37"/>
    <n v="179"/>
    <n v="162.9"/>
    <n v="106.375"/>
    <n v="5.9750000000000014"/>
    <n v="161.5"/>
    <n v="31"/>
    <n v="179"/>
    <x v="1"/>
    <x v="0"/>
  </r>
  <r>
    <x v="2"/>
    <n v="41.4"/>
    <n v="101.8"/>
    <n v="58.7"/>
    <n v="6.07"/>
    <n v="1"/>
    <n v="1.79"/>
    <n v="22.1"/>
    <n v="58.9"/>
    <n v="3.04"/>
    <n v="68.999999999999986"/>
    <n v="101.8"/>
    <n v="73.375000000000014"/>
    <n v="15.175000000000001"/>
    <n v="2.5"/>
    <n v="89.5"/>
    <n v="102"/>
    <x v="1"/>
    <x v="3"/>
  </r>
  <r>
    <x v="3"/>
    <n v="66"/>
    <n v="185.7"/>
    <n v="54.6"/>
    <n v="3.69"/>
    <n v="94.5"/>
    <n v="1.32"/>
    <n v="27"/>
    <n v="77.400000000000006"/>
    <n v="2.8"/>
    <n v="110"/>
    <n v="185.7"/>
    <n v="68.25"/>
    <n v="9.2250000000000014"/>
    <n v="236.25"/>
    <n v="66"/>
    <n v="236"/>
    <x v="0"/>
    <x v="2"/>
  </r>
  <r>
    <x v="4"/>
    <n v="79.2"/>
    <n v="296.5"/>
    <n v="43.4"/>
    <n v="7.05"/>
    <n v="47.2"/>
    <n v="2.0299999999999998"/>
    <n v="17.5"/>
    <n v="24.6"/>
    <n v="2.2999999999999998"/>
    <n v="132"/>
    <n v="296.5"/>
    <n v="54.25"/>
    <n v="17.625"/>
    <n v="118"/>
    <n v="101.5"/>
    <n v="296"/>
    <x v="0"/>
    <x v="3"/>
  </r>
  <r>
    <x v="0"/>
    <n v="12.6"/>
    <n v="108.7"/>
    <n v="63.3"/>
    <n v="4.08"/>
    <n v="5"/>
    <n v="1.43"/>
    <n v="34"/>
    <n v="29.5"/>
    <n v="3.48"/>
    <n v="21"/>
    <n v="108.7"/>
    <n v="79.125"/>
    <n v="10.199999999999999"/>
    <n v="12.5"/>
    <n v="71.5"/>
    <n v="109"/>
    <x v="1"/>
    <x v="3"/>
  </r>
  <r>
    <x v="1"/>
    <n v="105.6"/>
    <n v="221.6"/>
    <n v="86.7"/>
    <n v="23.76"/>
    <n v="38.9"/>
    <n v="1.58"/>
    <n v="25.1"/>
    <n v="60"/>
    <n v="4.34"/>
    <n v="176"/>
    <n v="221.6"/>
    <n v="108.375"/>
    <n v="59.4"/>
    <n v="97.25"/>
    <n v="79"/>
    <n v="222"/>
    <x v="0"/>
    <x v="3"/>
  </r>
  <r>
    <x v="2"/>
    <n v="18.7"/>
    <n v="64.900000000000006"/>
    <n v="68.900000000000006"/>
    <n v="12.45"/>
    <n v="29.4"/>
    <n v="1.63"/>
    <n v="30.4"/>
    <n v="87"/>
    <n v="2.59"/>
    <n v="31.166666666666661"/>
    <n v="64.900000000000006"/>
    <n v="86.125"/>
    <n v="31.125"/>
    <n v="73.5"/>
    <n v="81.499999999999986"/>
    <n v="86"/>
    <x v="3"/>
    <x v="1"/>
  </r>
  <r>
    <x v="3"/>
    <n v="90.8"/>
    <n v="278.5"/>
    <n v="57"/>
    <n v="8.25"/>
    <n v="58.1"/>
    <n v="0.98"/>
    <n v="44.7"/>
    <n v="63.2"/>
    <n v="2.17"/>
    <n v="151.33333333333329"/>
    <n v="278.5"/>
    <n v="71.25"/>
    <n v="20.625"/>
    <n v="145.25"/>
    <n v="49"/>
    <n v="278"/>
    <x v="0"/>
    <x v="3"/>
  </r>
  <r>
    <x v="4"/>
    <n v="38.4"/>
    <n v="204.4"/>
    <n v="68.599999999999994"/>
    <n v="6.06"/>
    <n v="59.9"/>
    <n v="0.32"/>
    <n v="29.3"/>
    <n v="68.099999999999994"/>
    <n v="5.05"/>
    <n v="64"/>
    <n v="204.4"/>
    <n v="85.75"/>
    <n v="15.15"/>
    <n v="149.75"/>
    <n v="16"/>
    <n v="204"/>
    <x v="0"/>
    <x v="3"/>
  </r>
  <r>
    <x v="0"/>
    <n v="42.4"/>
    <n v="49.8"/>
    <n v="31.2"/>
    <n v="1.51"/>
    <n v="84.4"/>
    <n v="2.4500000000000002"/>
    <n v="30.2"/>
    <n v="82"/>
    <n v="2.66"/>
    <n v="70.666666666666671"/>
    <n v="49.8"/>
    <n v="39"/>
    <n v="3.7749999999999999"/>
    <n v="211"/>
    <n v="122.5"/>
    <n v="211"/>
    <x v="0"/>
    <x v="2"/>
  </r>
  <r>
    <x v="1"/>
    <n v="71.400000000000006"/>
    <n v="125"/>
    <n v="48.5"/>
    <n v="0.5"/>
    <n v="58.3"/>
    <n v="1.47"/>
    <n v="33.200000000000003"/>
    <n v="61.7"/>
    <n v="2.2999999999999998"/>
    <n v="119"/>
    <n v="125"/>
    <n v="60.625"/>
    <n v="1.25"/>
    <n v="145.75"/>
    <n v="73.5"/>
    <n v="146"/>
    <x v="1"/>
    <x v="2"/>
  </r>
  <r>
    <x v="2"/>
    <n v="32.200000000000003"/>
    <n v="118.1"/>
    <n v="56.8"/>
    <n v="2.17"/>
    <n v="40.1"/>
    <n v="1.27"/>
    <n v="23"/>
    <n v="49.4"/>
    <n v="2.78"/>
    <n v="53.666666666666671"/>
    <n v="118.1"/>
    <n v="71"/>
    <n v="5.4249999999999998"/>
    <n v="100.25"/>
    <n v="63.5"/>
    <n v="118"/>
    <x v="1"/>
    <x v="3"/>
  </r>
  <r>
    <x v="3"/>
    <n v="26"/>
    <n v="141"/>
    <n v="27.1"/>
    <n v="13.31"/>
    <n v="98.4"/>
    <n v="0.68"/>
    <n v="31.7"/>
    <n v="46.9"/>
    <n v="3.75"/>
    <n v="43.333333333333343"/>
    <n v="141"/>
    <n v="33.875"/>
    <n v="33.274999999999999"/>
    <n v="246"/>
    <n v="34"/>
    <n v="246"/>
    <x v="0"/>
    <x v="2"/>
  </r>
  <r>
    <x v="4"/>
    <n v="24.2"/>
    <n v="163.69999999999999"/>
    <n v="30.3"/>
    <n v="7.66"/>
    <n v="15.6"/>
    <n v="1.86"/>
    <n v="22.1"/>
    <n v="69.900000000000006"/>
    <n v="2.59"/>
    <n v="40.333333333333329"/>
    <n v="163.69999999999999"/>
    <n v="37.875"/>
    <n v="19.149999999999999"/>
    <n v="39"/>
    <n v="93"/>
    <n v="164"/>
    <x v="1"/>
    <x v="3"/>
  </r>
  <r>
    <x v="0"/>
    <n v="65.099999999999994"/>
    <n v="148.19999999999999"/>
    <n v="34.200000000000003"/>
    <n v="10.41"/>
    <n v="90"/>
    <n v="0.84"/>
    <n v="36.200000000000003"/>
    <n v="87"/>
    <n v="1.52"/>
    <n v="108.5"/>
    <n v="148.19999999999999"/>
    <n v="42.75"/>
    <n v="26.024999999999999"/>
    <n v="225"/>
    <n v="41.999999999999993"/>
    <n v="225"/>
    <x v="0"/>
    <x v="2"/>
  </r>
  <r>
    <x v="1"/>
    <n v="20.399999999999999"/>
    <n v="172.6"/>
    <n v="42.6"/>
    <n v="21.68"/>
    <n v="51.1"/>
    <n v="0.9"/>
    <n v="20"/>
    <n v="79.599999999999994"/>
    <n v="1.81"/>
    <n v="33.999999999999993"/>
    <n v="172.6"/>
    <n v="53.25"/>
    <n v="54.2"/>
    <n v="127.75"/>
    <n v="45"/>
    <n v="173"/>
    <x v="1"/>
    <x v="3"/>
  </r>
  <r>
    <x v="2"/>
    <n v="58.2"/>
    <n v="168.5"/>
    <n v="33.5"/>
    <n v="7.38"/>
    <n v="37.6"/>
    <n v="1.53"/>
    <n v="32.1"/>
    <n v="56"/>
    <n v="2.58"/>
    <n v="97"/>
    <n v="168.5"/>
    <n v="41.875"/>
    <n v="18.45"/>
    <n v="94"/>
    <n v="76.5"/>
    <n v="168"/>
    <x v="1"/>
    <x v="3"/>
  </r>
  <r>
    <x v="3"/>
    <n v="48.8"/>
    <n v="31.3"/>
    <n v="50.2"/>
    <n v="17.46"/>
    <n v="17.899999999999999"/>
    <n v="0.74"/>
    <n v="21.9"/>
    <n v="73"/>
    <n v="3.04"/>
    <n v="81.333333333333329"/>
    <n v="31.3"/>
    <n v="62.75"/>
    <n v="43.65"/>
    <n v="44.75"/>
    <n v="37"/>
    <n v="81"/>
    <x v="3"/>
    <x v="0"/>
  </r>
  <r>
    <x v="4"/>
    <n v="60.8"/>
    <n v="71.400000000000006"/>
    <n v="51.5"/>
    <n v="0.5"/>
    <n v="47.9"/>
    <n v="1.9"/>
    <n v="19.2"/>
    <n v="32.4"/>
    <n v="4.9000000000000004"/>
    <n v="101.3333333333333"/>
    <n v="71.400000000000006"/>
    <n v="64.375"/>
    <n v="1.25"/>
    <n v="119.75"/>
    <n v="95"/>
    <n v="120"/>
    <x v="1"/>
    <x v="2"/>
  </r>
  <r>
    <x v="0"/>
    <n v="47.9"/>
    <n v="216.4"/>
    <n v="48.2"/>
    <n v="8.27"/>
    <n v="58.6"/>
    <n v="0.77"/>
    <n v="28.9"/>
    <n v="53.1"/>
    <n v="0.92"/>
    <n v="79.833333333333329"/>
    <n v="216.4"/>
    <n v="60.250000000000007"/>
    <n v="20.675000000000001"/>
    <n v="146.5"/>
    <n v="38.5"/>
    <n v="216"/>
    <x v="0"/>
    <x v="3"/>
  </r>
  <r>
    <x v="1"/>
    <n v="87.7"/>
    <n v="130.30000000000001"/>
    <n v="52.3"/>
    <n v="2.44"/>
    <n v="99.7"/>
    <n v="2.16"/>
    <n v="34.700000000000003"/>
    <n v="54.5"/>
    <n v="0.42"/>
    <n v="146.16666666666671"/>
    <n v="130.30000000000001"/>
    <n v="65.375"/>
    <n v="6.1"/>
    <n v="249.25"/>
    <n v="108"/>
    <n v="249"/>
    <x v="0"/>
    <x v="2"/>
  </r>
  <r>
    <x v="2"/>
    <n v="112.7"/>
    <n v="110.5"/>
    <n v="28.5"/>
    <n v="9.58"/>
    <n v="65.7"/>
    <n v="1.1299999999999999"/>
    <n v="37"/>
    <n v="79.5"/>
    <n v="1.21"/>
    <n v="187.83333333333329"/>
    <n v="110.5"/>
    <n v="35.625"/>
    <n v="23.95"/>
    <n v="164.25"/>
    <n v="56.499999999999993"/>
    <n v="188"/>
    <x v="1"/>
    <x v="0"/>
  </r>
  <r>
    <x v="3"/>
    <n v="39.799999999999997"/>
    <n v="177.5"/>
    <n v="2"/>
    <n v="7.25"/>
    <n v="4.2"/>
    <n v="0.91"/>
    <n v="25.9"/>
    <n v="53.6"/>
    <n v="1.84"/>
    <n v="66.333333333333329"/>
    <n v="177.5"/>
    <n v="2.5"/>
    <n v="18.125"/>
    <n v="10.5"/>
    <n v="45.5"/>
    <n v="178"/>
    <x v="1"/>
    <x v="3"/>
  </r>
  <r>
    <x v="4"/>
    <n v="29.8"/>
    <n v="283.3"/>
    <n v="90.6"/>
    <n v="2.41"/>
    <n v="87.5"/>
    <n v="1.06"/>
    <n v="28.9"/>
    <n v="58.9"/>
    <n v="2.21"/>
    <n v="49.666666666666657"/>
    <n v="283.3"/>
    <n v="113.25"/>
    <n v="6.0250000000000004"/>
    <n v="218.75"/>
    <n v="53.000000000000007"/>
    <n v="283"/>
    <x v="0"/>
    <x v="3"/>
  </r>
  <r>
    <x v="0"/>
    <n v="102.9"/>
    <n v="146.69999999999999"/>
    <n v="40.799999999999997"/>
    <n v="1.7"/>
    <n v="20.3"/>
    <n v="0.25"/>
    <n v="28.1"/>
    <n v="38.5"/>
    <n v="2.1800000000000002"/>
    <n v="171.5"/>
    <n v="146.69999999999999"/>
    <n v="51"/>
    <n v="4.25"/>
    <n v="50.75"/>
    <n v="12.5"/>
    <n v="172"/>
    <x v="1"/>
    <x v="0"/>
  </r>
  <r>
    <x v="1"/>
    <n v="126.4"/>
    <n v="239.9"/>
    <n v="55.4"/>
    <n v="9.4600000000000009"/>
    <n v="108.7"/>
    <n v="1.89"/>
    <n v="25.7"/>
    <n v="34.299999999999997"/>
    <n v="2.97"/>
    <n v="210.66666666666671"/>
    <n v="239.9"/>
    <n v="69.249999999999986"/>
    <n v="23.65"/>
    <n v="271.75"/>
    <n v="94.5"/>
    <n v="272"/>
    <x v="0"/>
    <x v="2"/>
  </r>
  <r>
    <x v="2"/>
    <n v="80.599999999999994"/>
    <n v="78"/>
    <n v="48.3"/>
    <n v="5.87"/>
    <n v="33.6"/>
    <n v="0.05"/>
    <n v="26.4"/>
    <n v="77.400000000000006"/>
    <n v="1.74"/>
    <n v="134.33333333333329"/>
    <n v="78"/>
    <n v="60.375"/>
    <n v="14.675000000000001"/>
    <n v="84"/>
    <n v="2.5"/>
    <n v="134"/>
    <x v="1"/>
    <x v="0"/>
  </r>
  <r>
    <x v="3"/>
    <n v="61.6"/>
    <n v="74.599999999999994"/>
    <n v="52.2"/>
    <n v="6.92"/>
    <n v="16.5"/>
    <n v="2"/>
    <n v="34.5"/>
    <n v="49.1"/>
    <n v="3.1"/>
    <n v="102.6666666666667"/>
    <n v="74.599999999999994"/>
    <n v="65.25"/>
    <n v="17.3"/>
    <n v="41.25"/>
    <n v="100"/>
    <n v="103"/>
    <x v="1"/>
    <x v="0"/>
  </r>
  <r>
    <x v="4"/>
    <n v="83.7"/>
    <n v="174.4"/>
    <n v="12.2"/>
    <n v="14.34"/>
    <n v="28.3"/>
    <n v="1.08"/>
    <n v="46.5"/>
    <n v="65.400000000000006"/>
    <n v="2.54"/>
    <n v="139.5"/>
    <n v="174.4"/>
    <n v="15.25"/>
    <n v="35.85"/>
    <n v="70.750000000000014"/>
    <n v="54.000000000000007"/>
    <n v="174"/>
    <x v="1"/>
    <x v="3"/>
  </r>
  <r>
    <x v="0"/>
    <n v="2"/>
    <n v="233.9"/>
    <n v="20.8"/>
    <n v="3.43"/>
    <n v="36.5"/>
    <n v="2.36"/>
    <n v="33.4"/>
    <n v="57.2"/>
    <n v="2.87"/>
    <n v="3.333333333333333"/>
    <n v="233.9"/>
    <n v="26"/>
    <n v="8.5750000000000011"/>
    <n v="91.25"/>
    <n v="118"/>
    <n v="234"/>
    <x v="0"/>
    <x v="3"/>
  </r>
  <r>
    <x v="1"/>
    <n v="52.5"/>
    <n v="160.5"/>
    <n v="58.1"/>
    <n v="16.05"/>
    <n v="80.2"/>
    <n v="1.87"/>
    <n v="25.5"/>
    <n v="73.400000000000006"/>
    <n v="2.39"/>
    <n v="87.5"/>
    <n v="160.5"/>
    <n v="72.625"/>
    <n v="40.125"/>
    <n v="200.5"/>
    <n v="93.5"/>
    <n v="200"/>
    <x v="1"/>
    <x v="2"/>
  </r>
  <r>
    <x v="2"/>
    <n v="26.2"/>
    <n v="91"/>
    <n v="44.4"/>
    <n v="11.92"/>
    <n v="33.6"/>
    <n v="0.45"/>
    <n v="28.4"/>
    <n v="62"/>
    <n v="2.72"/>
    <n v="43.666666666666657"/>
    <n v="91"/>
    <n v="55.5"/>
    <n v="29.8"/>
    <n v="84"/>
    <n v="22.5"/>
    <n v="91"/>
    <x v="3"/>
    <x v="3"/>
  </r>
  <r>
    <x v="3"/>
    <n v="87.6"/>
    <n v="181.1"/>
    <n v="33.1"/>
    <n v="4.92"/>
    <n v="14"/>
    <n v="1.62"/>
    <n v="38.1"/>
    <n v="54.3"/>
    <n v="2.21"/>
    <n v="146"/>
    <n v="181.1"/>
    <n v="41.375"/>
    <n v="12.3"/>
    <n v="35"/>
    <n v="81"/>
    <n v="181"/>
    <x v="1"/>
    <x v="3"/>
  </r>
  <r>
    <x v="4"/>
    <n v="114.4"/>
    <n v="165.4"/>
    <n v="59.1"/>
    <n v="2.25"/>
    <n v="62.7"/>
    <n v="0.71"/>
    <n v="20.100000000000001"/>
    <n v="53.8"/>
    <n v="2.2999999999999998"/>
    <n v="190.66666666666671"/>
    <n v="165.4"/>
    <n v="73.875"/>
    <n v="5.625"/>
    <n v="156.75"/>
    <n v="35.5"/>
    <n v="191"/>
    <x v="1"/>
    <x v="0"/>
  </r>
  <r>
    <x v="0"/>
    <n v="61.4"/>
    <n v="38.6"/>
    <n v="73.8"/>
    <n v="15.68"/>
    <n v="1"/>
    <n v="2.06"/>
    <n v="22.3"/>
    <n v="75.400000000000006"/>
    <n v="2.42"/>
    <n v="102.3333333333333"/>
    <n v="38.6"/>
    <n v="92.25"/>
    <n v="39.200000000000003"/>
    <n v="2.5"/>
    <n v="103"/>
    <n v="103"/>
    <x v="1"/>
    <x v="4"/>
  </r>
  <r>
    <x v="1"/>
    <n v="76.099999999999994"/>
    <n v="136.1"/>
    <n v="86.6"/>
    <n v="2.25"/>
    <n v="69"/>
    <n v="2.33"/>
    <n v="33"/>
    <n v="100"/>
    <n v="1.87"/>
    <n v="126.8333333333333"/>
    <n v="136.1"/>
    <n v="108.25"/>
    <n v="5.625"/>
    <n v="172.5"/>
    <n v="116.5"/>
    <n v="172"/>
    <x v="1"/>
    <x v="2"/>
  </r>
  <r>
    <x v="2"/>
    <n v="84.3"/>
    <n v="108"/>
    <n v="66.2"/>
    <n v="7.56"/>
    <n v="28.8"/>
    <n v="1.88"/>
    <n v="24.6"/>
    <n v="34.6"/>
    <n v="1.88"/>
    <n v="140.5"/>
    <n v="108"/>
    <n v="82.75"/>
    <n v="18.899999999999999"/>
    <n v="72.000000000000014"/>
    <n v="94"/>
    <n v="140"/>
    <x v="1"/>
    <x v="0"/>
  </r>
  <r>
    <x v="3"/>
    <n v="78.599999999999994"/>
    <n v="203.5"/>
    <n v="47.2"/>
    <n v="14.59"/>
    <n v="6"/>
    <n v="0.93"/>
    <n v="26"/>
    <n v="57.9"/>
    <n v="2.6"/>
    <n v="131"/>
    <n v="203.5"/>
    <n v="59.000000000000007"/>
    <n v="36.475000000000001"/>
    <n v="15"/>
    <n v="46.5"/>
    <n v="204"/>
    <x v="0"/>
    <x v="3"/>
  </r>
  <r>
    <x v="4"/>
    <n v="88.8"/>
    <n v="102.6"/>
    <n v="52.6"/>
    <n v="8.5500000000000007"/>
    <n v="18.5"/>
    <n v="1.24"/>
    <n v="27"/>
    <n v="57"/>
    <n v="3.04"/>
    <n v="148"/>
    <n v="102.6"/>
    <n v="65.75"/>
    <n v="21.375"/>
    <n v="46.25"/>
    <n v="62"/>
    <n v="148"/>
    <x v="1"/>
    <x v="0"/>
  </r>
  <r>
    <x v="0"/>
    <n v="71.599999999999994"/>
    <n v="108.2"/>
    <n v="81"/>
    <n v="2.48"/>
    <n v="25.3"/>
    <n v="3.3"/>
    <n v="20.7"/>
    <n v="35.6"/>
    <n v="3.38"/>
    <n v="119.3333333333333"/>
    <n v="108.2"/>
    <n v="101.25"/>
    <n v="6.2"/>
    <n v="63.25"/>
    <n v="165"/>
    <n v="165"/>
    <x v="1"/>
    <x v="4"/>
  </r>
  <r>
    <x v="1"/>
    <n v="2"/>
    <n v="132.4"/>
    <n v="109.9"/>
    <n v="0.5"/>
    <n v="1"/>
    <n v="0.38"/>
    <n v="34.299999999999997"/>
    <n v="80.2"/>
    <n v="1.88"/>
    <n v="3.333333333333333"/>
    <n v="132.4"/>
    <n v="137.375"/>
    <n v="1.25"/>
    <n v="2.5"/>
    <n v="19"/>
    <n v="137"/>
    <x v="1"/>
    <x v="1"/>
  </r>
  <r>
    <x v="2"/>
    <n v="76.5"/>
    <n v="193.2"/>
    <n v="76.7"/>
    <n v="6.43"/>
    <n v="1"/>
    <n v="0.67"/>
    <n v="25"/>
    <n v="55.3"/>
    <n v="2.27"/>
    <n v="127.5"/>
    <n v="193.2"/>
    <n v="95.875"/>
    <n v="16.074999999999999"/>
    <n v="2.5"/>
    <n v="33.5"/>
    <n v="193"/>
    <x v="1"/>
    <x v="3"/>
  </r>
  <r>
    <x v="3"/>
    <n v="93.6"/>
    <n v="196.5"/>
    <n v="41.6"/>
    <n v="13.49"/>
    <n v="48.9"/>
    <n v="1.24"/>
    <n v="34.299999999999997"/>
    <n v="61.3"/>
    <n v="4.97"/>
    <n v="156"/>
    <n v="196.5"/>
    <n v="52.000000000000007"/>
    <n v="33.725000000000001"/>
    <n v="122.25"/>
    <n v="62"/>
    <n v="196"/>
    <x v="1"/>
    <x v="3"/>
  </r>
  <r>
    <x v="4"/>
    <n v="18.5"/>
    <n v="98"/>
    <n v="46.7"/>
    <n v="11.22"/>
    <n v="78.900000000000006"/>
    <n v="1.3"/>
    <n v="18"/>
    <n v="75.2"/>
    <n v="3.91"/>
    <n v="30.833333333333339"/>
    <n v="98"/>
    <n v="58.375"/>
    <n v="28.05"/>
    <n v="197.25"/>
    <n v="65"/>
    <n v="197"/>
    <x v="1"/>
    <x v="2"/>
  </r>
  <r>
    <x v="0"/>
    <n v="2"/>
    <n v="137.69999999999999"/>
    <n v="15.2"/>
    <n v="5.38"/>
    <n v="20"/>
    <n v="1.94"/>
    <n v="28.8"/>
    <n v="36.9"/>
    <n v="3.56"/>
    <n v="3.333333333333333"/>
    <n v="137.69999999999999"/>
    <n v="19"/>
    <n v="13.45"/>
    <n v="50"/>
    <n v="97"/>
    <n v="138"/>
    <x v="1"/>
    <x v="3"/>
  </r>
  <r>
    <x v="1"/>
    <n v="21.2"/>
    <n v="174.8"/>
    <n v="35.9"/>
    <n v="7.71"/>
    <n v="65.8"/>
    <n v="1.89"/>
    <n v="37.4"/>
    <n v="58.5"/>
    <n v="2.87"/>
    <n v="35.333333333333343"/>
    <n v="174.8"/>
    <n v="44.875"/>
    <n v="19.274999999999999"/>
    <n v="164.5"/>
    <n v="94.5"/>
    <n v="175"/>
    <x v="1"/>
    <x v="3"/>
  </r>
  <r>
    <x v="2"/>
    <n v="44.5"/>
    <n v="124.4"/>
    <n v="51.1"/>
    <n v="7.13"/>
    <n v="1"/>
    <n v="1.33"/>
    <n v="30.6"/>
    <n v="47.8"/>
    <n v="0.96"/>
    <n v="74.166666666666671"/>
    <n v="124.4"/>
    <n v="63.875"/>
    <n v="17.824999999999999"/>
    <n v="2.5"/>
    <n v="66.5"/>
    <n v="124"/>
    <x v="1"/>
    <x v="3"/>
  </r>
  <r>
    <x v="3"/>
    <n v="104.3"/>
    <n v="149.5"/>
    <n v="40.4"/>
    <n v="2.31"/>
    <n v="19.5"/>
    <n v="1.98"/>
    <n v="29"/>
    <n v="50.1"/>
    <n v="3.11"/>
    <n v="173.83333333333329"/>
    <n v="149.5"/>
    <n v="50.499999999999993"/>
    <n v="5.7749999999999986"/>
    <n v="48.75"/>
    <n v="99"/>
    <n v="174"/>
    <x v="1"/>
    <x v="0"/>
  </r>
  <r>
    <x v="4"/>
    <n v="39.1"/>
    <n v="231.1"/>
    <n v="79.3"/>
    <n v="6.23"/>
    <n v="26.7"/>
    <n v="0.05"/>
    <n v="17.600000000000001"/>
    <n v="35.9"/>
    <n v="3.16"/>
    <n v="65.166666666666671"/>
    <n v="231.1"/>
    <n v="99.124999999999986"/>
    <n v="15.574999999999999"/>
    <n v="66.75"/>
    <n v="2.5"/>
    <n v="231"/>
    <x v="0"/>
    <x v="3"/>
  </r>
  <r>
    <x v="0"/>
    <n v="57.7"/>
    <n v="45.2"/>
    <n v="45.3"/>
    <n v="12.11"/>
    <n v="61.2"/>
    <n v="7.0000000000000007E-2"/>
    <n v="27.1"/>
    <n v="35.1"/>
    <n v="3.58"/>
    <n v="96.166666666666671"/>
    <n v="45.2"/>
    <n v="56.624999999999993"/>
    <n v="30.274999999999999"/>
    <n v="153"/>
    <n v="3.5"/>
    <n v="153"/>
    <x v="1"/>
    <x v="2"/>
  </r>
  <r>
    <x v="1"/>
    <n v="104.4"/>
    <n v="82.6"/>
    <n v="37.1"/>
    <n v="7.12"/>
    <n v="1"/>
    <n v="1.75"/>
    <n v="26.1"/>
    <n v="77.5"/>
    <n v="1.18"/>
    <n v="174"/>
    <n v="82.6"/>
    <n v="46.375"/>
    <n v="17.8"/>
    <n v="2.5"/>
    <n v="87.5"/>
    <n v="174"/>
    <x v="1"/>
    <x v="0"/>
  </r>
  <r>
    <x v="2"/>
    <n v="39.4"/>
    <n v="28.1"/>
    <n v="23.7"/>
    <n v="1.99"/>
    <n v="61.7"/>
    <n v="0.74"/>
    <n v="28.9"/>
    <n v="53.1"/>
    <n v="0.98"/>
    <n v="65.666666666666671"/>
    <n v="28.1"/>
    <n v="29.625"/>
    <n v="4.9750000000000014"/>
    <n v="154.25"/>
    <n v="37"/>
    <n v="154"/>
    <x v="1"/>
    <x v="2"/>
  </r>
  <r>
    <x v="3"/>
    <n v="55"/>
    <n v="155.9"/>
    <n v="20.8"/>
    <n v="12.05"/>
    <n v="18.8"/>
    <n v="0.91"/>
    <n v="31.7"/>
    <n v="48.1"/>
    <n v="2.5499999999999998"/>
    <n v="91.666666666666657"/>
    <n v="155.9"/>
    <n v="26"/>
    <n v="30.125"/>
    <n v="47"/>
    <n v="45.5"/>
    <n v="156"/>
    <x v="1"/>
    <x v="3"/>
  </r>
  <r>
    <x v="4"/>
    <n v="55.6"/>
    <n v="140.5"/>
    <n v="2"/>
    <n v="0.5"/>
    <n v="60.9"/>
    <n v="2"/>
    <n v="21.6"/>
    <n v="55.6"/>
    <n v="3.35"/>
    <n v="92.666666666666671"/>
    <n v="140.5"/>
    <n v="2.5"/>
    <n v="1.25"/>
    <n v="152.25"/>
    <n v="100"/>
    <n v="152"/>
    <x v="1"/>
    <x v="2"/>
  </r>
  <r>
    <x v="0"/>
    <n v="92.9"/>
    <n v="5"/>
    <n v="31.4"/>
    <n v="7.29"/>
    <n v="66.2"/>
    <n v="3.1"/>
    <n v="26.4"/>
    <n v="34.700000000000003"/>
    <n v="2.98"/>
    <n v="154.83333333333329"/>
    <n v="5"/>
    <n v="39.25"/>
    <n v="18.225000000000001"/>
    <n v="165.5"/>
    <n v="155"/>
    <n v="166"/>
    <x v="1"/>
    <x v="2"/>
  </r>
  <r>
    <x v="1"/>
    <n v="124.5"/>
    <n v="158.1"/>
    <n v="33.6"/>
    <n v="15.99"/>
    <n v="70.7"/>
    <n v="0.73"/>
    <n v="30.7"/>
    <n v="78"/>
    <n v="3.92"/>
    <n v="207.5"/>
    <n v="158.1"/>
    <n v="42"/>
    <n v="39.975000000000001"/>
    <n v="176.75"/>
    <n v="36.5"/>
    <n v="208"/>
    <x v="0"/>
    <x v="0"/>
  </r>
  <r>
    <x v="2"/>
    <n v="55.1"/>
    <n v="93.6"/>
    <n v="66.099999999999994"/>
    <n v="1.85"/>
    <n v="48.4"/>
    <n v="0.36"/>
    <n v="35.5"/>
    <n v="55.4"/>
    <n v="4.0199999999999996"/>
    <n v="91.833333333333343"/>
    <n v="93.6"/>
    <n v="82.624999999999986"/>
    <n v="4.6250000000000009"/>
    <n v="121"/>
    <n v="18"/>
    <n v="121"/>
    <x v="1"/>
    <x v="2"/>
  </r>
  <r>
    <x v="3"/>
    <n v="74.7"/>
    <n v="46.6"/>
    <n v="73.5"/>
    <n v="15.76"/>
    <n v="62.1"/>
    <n v="0.74"/>
    <n v="25.9"/>
    <n v="62.6"/>
    <n v="1.66"/>
    <n v="124.5"/>
    <n v="46.6"/>
    <n v="91.875"/>
    <n v="39.4"/>
    <n v="155.25"/>
    <n v="37"/>
    <n v="155"/>
    <x v="1"/>
    <x v="2"/>
  </r>
  <r>
    <x v="4"/>
    <n v="121.8"/>
    <n v="141.5"/>
    <n v="2"/>
    <n v="10.67"/>
    <n v="34.4"/>
    <n v="1.27"/>
    <n v="25.4"/>
    <n v="74.5"/>
    <n v="4.34"/>
    <n v="203"/>
    <n v="141.5"/>
    <n v="2.5"/>
    <n v="26.675000000000001"/>
    <n v="86"/>
    <n v="63.5"/>
    <n v="203"/>
    <x v="0"/>
    <x v="0"/>
  </r>
  <r>
    <x v="0"/>
    <n v="78.8"/>
    <n v="114.6"/>
    <n v="50.8"/>
    <n v="9.31"/>
    <n v="22.9"/>
    <n v="1.78"/>
    <n v="31.2"/>
    <n v="87.7"/>
    <n v="4.01"/>
    <n v="131.33333333333329"/>
    <n v="114.6"/>
    <n v="63.5"/>
    <n v="23.274999999999999"/>
    <n v="57.249999999999993"/>
    <n v="89"/>
    <n v="131"/>
    <x v="1"/>
    <x v="0"/>
  </r>
  <r>
    <x v="1"/>
    <n v="49.3"/>
    <n v="211.5"/>
    <n v="32.5"/>
    <n v="14.35"/>
    <n v="33.9"/>
    <n v="0.73"/>
    <n v="30"/>
    <n v="11.9"/>
    <n v="0.4"/>
    <n v="82.166666666666671"/>
    <n v="211.5"/>
    <n v="40.625"/>
    <n v="35.875"/>
    <n v="84.749999999999986"/>
    <n v="36.5"/>
    <n v="212"/>
    <x v="0"/>
    <x v="3"/>
  </r>
  <r>
    <x v="2"/>
    <n v="51.9"/>
    <n v="118.7"/>
    <n v="35.700000000000003"/>
    <n v="0.5"/>
    <n v="18.600000000000001"/>
    <n v="1.36"/>
    <n v="32.1"/>
    <n v="59.7"/>
    <n v="3.89"/>
    <n v="86.5"/>
    <n v="118.7"/>
    <n v="44.625000000000007"/>
    <n v="1.25"/>
    <n v="46.500000000000007"/>
    <n v="68"/>
    <n v="119"/>
    <x v="1"/>
    <x v="3"/>
  </r>
  <r>
    <x v="3"/>
    <n v="71.900000000000006"/>
    <n v="75.2"/>
    <n v="39.4"/>
    <n v="0.99"/>
    <n v="37.299999999999997"/>
    <n v="1.87"/>
    <n v="32.799999999999997"/>
    <n v="85.2"/>
    <n v="2.14"/>
    <n v="119.8333333333333"/>
    <n v="75.2"/>
    <n v="49.249999999999993"/>
    <n v="2.4750000000000001"/>
    <n v="93.25"/>
    <n v="93.5"/>
    <n v="120"/>
    <x v="1"/>
    <x v="0"/>
  </r>
  <r>
    <x v="4"/>
    <n v="110.4"/>
    <n v="119.2"/>
    <n v="81.900000000000006"/>
    <n v="8.68"/>
    <n v="63.4"/>
    <n v="2.29"/>
    <n v="26.6"/>
    <n v="63.9"/>
    <n v="4.55"/>
    <n v="184"/>
    <n v="119.2"/>
    <n v="102.375"/>
    <n v="21.7"/>
    <n v="158.5"/>
    <n v="114.5"/>
    <n v="184"/>
    <x v="1"/>
    <x v="0"/>
  </r>
  <r>
    <x v="0"/>
    <n v="64.400000000000006"/>
    <n v="46.9"/>
    <n v="101"/>
    <n v="6.5"/>
    <n v="50.6"/>
    <n v="2.1800000000000002"/>
    <n v="23.7"/>
    <n v="41.9"/>
    <n v="2.8"/>
    <n v="107.3333333333333"/>
    <n v="46.9"/>
    <n v="126.25"/>
    <n v="16.25"/>
    <n v="126.5"/>
    <n v="109"/>
    <n v="126"/>
    <x v="1"/>
    <x v="2"/>
  </r>
  <r>
    <x v="1"/>
    <n v="7.8"/>
    <n v="128.4"/>
    <n v="62.4"/>
    <n v="8.31"/>
    <n v="1.8"/>
    <n v="2.7"/>
    <n v="28.7"/>
    <n v="85.8"/>
    <n v="2.19"/>
    <n v="13"/>
    <n v="128.4"/>
    <n v="78"/>
    <n v="20.774999999999999"/>
    <n v="4.5000000000000009"/>
    <n v="135"/>
    <n v="135"/>
    <x v="1"/>
    <x v="4"/>
  </r>
  <r>
    <x v="2"/>
    <n v="31.9"/>
    <n v="129.30000000000001"/>
    <n v="38.700000000000003"/>
    <n v="2.0099999999999998"/>
    <n v="72.900000000000006"/>
    <n v="0.79"/>
    <n v="15.1"/>
    <n v="83.9"/>
    <n v="1.89"/>
    <n v="53.166666666666657"/>
    <n v="129.30000000000001"/>
    <n v="48.375"/>
    <n v="5.0249999999999986"/>
    <n v="182.25"/>
    <n v="39.5"/>
    <n v="182"/>
    <x v="1"/>
    <x v="2"/>
  </r>
  <r>
    <x v="3"/>
    <n v="41.8"/>
    <n v="14.1"/>
    <n v="79.8"/>
    <n v="1.55"/>
    <n v="41.5"/>
    <n v="1.75"/>
    <n v="31"/>
    <n v="58.9"/>
    <n v="0.46"/>
    <n v="69.666666666666671"/>
    <n v="14.1"/>
    <n v="99.749999999999986"/>
    <n v="3.875"/>
    <n v="103.75"/>
    <n v="87.5"/>
    <n v="104"/>
    <x v="1"/>
    <x v="2"/>
  </r>
  <r>
    <x v="4"/>
    <n v="39.299999999999997"/>
    <n v="144.4"/>
    <n v="32.200000000000003"/>
    <n v="9.92"/>
    <n v="62.7"/>
    <n v="1.96"/>
    <n v="19.399999999999999"/>
    <n v="99.5"/>
    <n v="3.92"/>
    <n v="65.499999999999986"/>
    <n v="144.4"/>
    <n v="40.25"/>
    <n v="24.8"/>
    <n v="156.75"/>
    <n v="98"/>
    <n v="157"/>
    <x v="1"/>
    <x v="2"/>
  </r>
  <r>
    <x v="0"/>
    <n v="68.900000000000006"/>
    <n v="213.2"/>
    <n v="106.2"/>
    <n v="0.93"/>
    <n v="39.5"/>
    <n v="0.05"/>
    <n v="29.3"/>
    <n v="66.599999999999994"/>
    <n v="2.4500000000000002"/>
    <n v="114.8333333333333"/>
    <n v="213.2"/>
    <n v="132.75"/>
    <n v="2.3250000000000002"/>
    <n v="98.75"/>
    <n v="2.5"/>
    <n v="213"/>
    <x v="0"/>
    <x v="3"/>
  </r>
  <r>
    <x v="1"/>
    <n v="50.5"/>
    <n v="5"/>
    <n v="65.599999999999994"/>
    <n v="19.100000000000001"/>
    <n v="31.5"/>
    <n v="1.83"/>
    <n v="17"/>
    <n v="68.2"/>
    <n v="2.0299999999999998"/>
    <n v="84.166666666666671"/>
    <n v="5"/>
    <n v="81.999999999999986"/>
    <n v="47.75"/>
    <n v="78.75"/>
    <n v="91.5"/>
    <n v="92"/>
    <x v="3"/>
    <x v="4"/>
  </r>
  <r>
    <x v="2"/>
    <n v="35.299999999999997"/>
    <n v="70.7"/>
    <n v="35.299999999999997"/>
    <n v="9.42"/>
    <n v="6.8"/>
    <n v="0.91"/>
    <n v="27.7"/>
    <n v="40.200000000000003"/>
    <n v="4.66"/>
    <n v="58.833333333333329"/>
    <n v="70.7"/>
    <n v="44.125"/>
    <n v="23.55"/>
    <n v="17"/>
    <n v="45.5"/>
    <n v="71"/>
    <x v="3"/>
    <x v="3"/>
  </r>
  <r>
    <x v="3"/>
    <n v="34.4"/>
    <n v="79.8"/>
    <n v="25.4"/>
    <n v="16.989999999999998"/>
    <n v="53.8"/>
    <n v="0.64"/>
    <n v="35.700000000000003"/>
    <n v="63.6"/>
    <n v="2.81"/>
    <n v="57.333333333333343"/>
    <n v="79.8"/>
    <n v="31.75"/>
    <n v="42.475000000000001"/>
    <n v="134.5"/>
    <n v="32"/>
    <n v="134"/>
    <x v="1"/>
    <x v="2"/>
  </r>
  <r>
    <x v="4"/>
    <n v="54.6"/>
    <n v="82.5"/>
    <n v="56.9"/>
    <n v="5.8"/>
    <n v="94"/>
    <n v="0.48"/>
    <n v="38.799999999999997"/>
    <n v="58"/>
    <n v="3.36"/>
    <n v="91"/>
    <n v="82.5"/>
    <n v="71.125"/>
    <n v="14.5"/>
    <n v="235"/>
    <n v="24"/>
    <n v="235"/>
    <x v="0"/>
    <x v="2"/>
  </r>
  <r>
    <x v="0"/>
    <n v="97.7"/>
    <n v="94.5"/>
    <n v="71.599999999999994"/>
    <n v="0.5"/>
    <n v="25.3"/>
    <n v="0.74"/>
    <n v="19.2"/>
    <n v="56.1"/>
    <n v="2.96"/>
    <n v="162.83333333333329"/>
    <n v="94.5"/>
    <n v="89.5"/>
    <n v="1.25"/>
    <n v="63.25"/>
    <n v="37"/>
    <n v="163"/>
    <x v="1"/>
    <x v="0"/>
  </r>
  <r>
    <x v="1"/>
    <n v="101.3"/>
    <n v="168.1"/>
    <n v="39.6"/>
    <n v="12.31"/>
    <n v="53.9"/>
    <n v="2.2000000000000002"/>
    <n v="33.4"/>
    <n v="60.5"/>
    <n v="1.42"/>
    <n v="168.83333333333329"/>
    <n v="168.1"/>
    <n v="49.5"/>
    <n v="30.774999999999999"/>
    <n v="134.75"/>
    <n v="110"/>
    <n v="169"/>
    <x v="1"/>
    <x v="0"/>
  </r>
  <r>
    <x v="2"/>
    <n v="38.4"/>
    <n v="82.7"/>
    <n v="36.799999999999997"/>
    <n v="8.8699999999999992"/>
    <n v="55"/>
    <n v="1.1100000000000001"/>
    <n v="28.1"/>
    <n v="62.6"/>
    <n v="1.88"/>
    <n v="64"/>
    <n v="82.7"/>
    <n v="46"/>
    <n v="22.175000000000001"/>
    <n v="137.5"/>
    <n v="55.500000000000007"/>
    <n v="138"/>
    <x v="1"/>
    <x v="2"/>
  </r>
  <r>
    <x v="3"/>
    <n v="32.200000000000003"/>
    <n v="14.7"/>
    <n v="31.1"/>
    <n v="10.37"/>
    <n v="22.4"/>
    <n v="1.06"/>
    <n v="31.3"/>
    <n v="69.400000000000006"/>
    <n v="1.2"/>
    <n v="53.666666666666671"/>
    <n v="14.7"/>
    <n v="38.875"/>
    <n v="25.925000000000001"/>
    <n v="55.999999999999993"/>
    <n v="53.000000000000007"/>
    <n v="56"/>
    <x v="3"/>
    <x v="2"/>
  </r>
  <r>
    <x v="4"/>
    <n v="98.9"/>
    <n v="206.4"/>
    <n v="24.6"/>
    <n v="4.2699999999999996"/>
    <n v="76.8"/>
    <n v="1.22"/>
    <n v="12.5"/>
    <n v="34.799999999999997"/>
    <n v="2.7"/>
    <n v="164.83333333333329"/>
    <n v="206.4"/>
    <n v="30.75"/>
    <n v="10.675000000000001"/>
    <n v="192"/>
    <n v="61"/>
    <n v="206"/>
    <x v="0"/>
    <x v="3"/>
  </r>
  <r>
    <x v="0"/>
    <n v="28.9"/>
    <n v="109.5"/>
    <n v="52.5"/>
    <n v="17.61"/>
    <n v="37.6"/>
    <n v="2.12"/>
    <n v="38"/>
    <n v="85.8"/>
    <n v="2.84"/>
    <n v="48.166666666666657"/>
    <n v="109.5"/>
    <n v="65.625"/>
    <n v="44.024999999999999"/>
    <n v="94"/>
    <n v="106"/>
    <n v="110"/>
    <x v="1"/>
    <x v="3"/>
  </r>
  <r>
    <x v="1"/>
    <n v="2"/>
    <n v="184.6"/>
    <n v="82.5"/>
    <n v="9.49"/>
    <n v="104.5"/>
    <n v="2.14"/>
    <n v="32"/>
    <n v="79.599999999999994"/>
    <n v="2.9"/>
    <n v="3.333333333333333"/>
    <n v="184.6"/>
    <n v="103.125"/>
    <n v="23.725000000000001"/>
    <n v="261.25"/>
    <n v="107"/>
    <n v="261"/>
    <x v="0"/>
    <x v="2"/>
  </r>
  <r>
    <x v="2"/>
    <n v="2"/>
    <n v="85.5"/>
    <n v="65.5"/>
    <n v="3.76"/>
    <n v="32.700000000000003"/>
    <n v="0.54"/>
    <n v="40.5"/>
    <n v="90.3"/>
    <n v="1.44"/>
    <n v="3.333333333333333"/>
    <n v="85.5"/>
    <n v="81.875"/>
    <n v="9.3999999999999986"/>
    <n v="81.75"/>
    <n v="27"/>
    <n v="86"/>
    <x v="3"/>
    <x v="3"/>
  </r>
  <r>
    <x v="3"/>
    <n v="64.400000000000006"/>
    <n v="79.2"/>
    <n v="57.3"/>
    <n v="10.55"/>
    <n v="60.3"/>
    <n v="1.4"/>
    <n v="48.5"/>
    <n v="41.5"/>
    <n v="0.45"/>
    <n v="107.3333333333333"/>
    <n v="79.2"/>
    <n v="71.625"/>
    <n v="26.375"/>
    <n v="150.75"/>
    <n v="69.999999999999986"/>
    <n v="151"/>
    <x v="1"/>
    <x v="2"/>
  </r>
  <r>
    <x v="4"/>
    <n v="53"/>
    <n v="28.5"/>
    <n v="16.7"/>
    <n v="3.29"/>
    <n v="18.600000000000001"/>
    <n v="0.69"/>
    <n v="31.6"/>
    <n v="50.9"/>
    <n v="2.78"/>
    <n v="88.333333333333329"/>
    <n v="28.5"/>
    <n v="20.875"/>
    <n v="8.2249999999999996"/>
    <n v="46.500000000000007"/>
    <n v="34.499999999999993"/>
    <n v="88"/>
    <x v="3"/>
    <x v="0"/>
  </r>
  <r>
    <x v="0"/>
    <n v="99.9"/>
    <n v="85.1"/>
    <n v="45.7"/>
    <n v="11.3"/>
    <n v="1"/>
    <n v="0.05"/>
    <n v="30.4"/>
    <n v="68.900000000000006"/>
    <n v="4.9800000000000004"/>
    <n v="166.5"/>
    <n v="85.1"/>
    <n v="57.125"/>
    <n v="28.25"/>
    <n v="2.5"/>
    <n v="2.5"/>
    <n v="166"/>
    <x v="1"/>
    <x v="0"/>
  </r>
  <r>
    <x v="1"/>
    <n v="80.900000000000006"/>
    <n v="211.5"/>
    <n v="51.4"/>
    <n v="11.86"/>
    <n v="102.1"/>
    <n v="0.05"/>
    <n v="30.9"/>
    <n v="98.4"/>
    <n v="2.84"/>
    <n v="134.83333333333329"/>
    <n v="211.5"/>
    <n v="64.25"/>
    <n v="29.65"/>
    <n v="255.25"/>
    <n v="2.5"/>
    <n v="255"/>
    <x v="0"/>
    <x v="2"/>
  </r>
  <r>
    <x v="2"/>
    <n v="104"/>
    <n v="78.099999999999994"/>
    <n v="42.1"/>
    <n v="7.76"/>
    <n v="1"/>
    <n v="0.47"/>
    <n v="20.3"/>
    <n v="74.8"/>
    <n v="3.55"/>
    <n v="173.33333333333329"/>
    <n v="78.099999999999994"/>
    <n v="52.625000000000007"/>
    <n v="19.399999999999999"/>
    <n v="2.5"/>
    <n v="23.5"/>
    <n v="173"/>
    <x v="1"/>
    <x v="0"/>
  </r>
  <r>
    <x v="3"/>
    <n v="69.7"/>
    <n v="169.4"/>
    <n v="41.7"/>
    <n v="14.01"/>
    <n v="40.200000000000003"/>
    <n v="1.23"/>
    <n v="26.1"/>
    <n v="72.3"/>
    <n v="1.99"/>
    <n v="116.1666666666667"/>
    <n v="169.4"/>
    <n v="52.125000000000007"/>
    <n v="35.024999999999999"/>
    <n v="100.5"/>
    <n v="61.5"/>
    <n v="169"/>
    <x v="1"/>
    <x v="3"/>
  </r>
  <r>
    <x v="4"/>
    <n v="98.2"/>
    <n v="57.3"/>
    <n v="25.3"/>
    <n v="12.58"/>
    <n v="41.6"/>
    <n v="1.02"/>
    <n v="34.200000000000003"/>
    <n v="49.1"/>
    <n v="2.76"/>
    <n v="163.66666666666671"/>
    <n v="57.3"/>
    <n v="31.625"/>
    <n v="31.45"/>
    <n v="104"/>
    <n v="51.000000000000007"/>
    <n v="164"/>
    <x v="1"/>
    <x v="0"/>
  </r>
  <r>
    <x v="0"/>
    <n v="117.3"/>
    <n v="244.2"/>
    <n v="87.9"/>
    <n v="7.58"/>
    <n v="81.400000000000006"/>
    <n v="0.73"/>
    <n v="21.7"/>
    <n v="17.7"/>
    <n v="4.51"/>
    <n v="195.5"/>
    <n v="244.2"/>
    <n v="109.875"/>
    <n v="18.95"/>
    <n v="203.5"/>
    <n v="36.5"/>
    <n v="244"/>
    <x v="0"/>
    <x v="3"/>
  </r>
  <r>
    <x v="1"/>
    <n v="42.6"/>
    <n v="140.5"/>
    <n v="33.5"/>
    <n v="14.34"/>
    <n v="38.299999999999997"/>
    <n v="0.52"/>
    <n v="31.1"/>
    <n v="34.200000000000003"/>
    <n v="1.5"/>
    <n v="71.000000000000014"/>
    <n v="140.5"/>
    <n v="41.875"/>
    <n v="35.85"/>
    <n v="95.749999999999986"/>
    <n v="26"/>
    <n v="140"/>
    <x v="1"/>
    <x v="3"/>
  </r>
  <r>
    <x v="2"/>
    <n v="2"/>
    <n v="32.799999999999997"/>
    <n v="46.1"/>
    <n v="0.5"/>
    <n v="2.8"/>
    <n v="1.1399999999999999"/>
    <n v="24.2"/>
    <n v="95.9"/>
    <n v="4.7"/>
    <n v="3.333333333333333"/>
    <n v="32.799999999999997"/>
    <n v="57.625"/>
    <n v="1.25"/>
    <n v="6.9999999999999991"/>
    <n v="56.999999999999993"/>
    <n v="58"/>
    <x v="3"/>
    <x v="1"/>
  </r>
  <r>
    <x v="3"/>
    <n v="34"/>
    <n v="153.4"/>
    <n v="60"/>
    <n v="5.01"/>
    <n v="2.6"/>
    <n v="1.19"/>
    <n v="26.8"/>
    <n v="52.2"/>
    <n v="3.03"/>
    <n v="56.666666666666657"/>
    <n v="153.4"/>
    <n v="75"/>
    <n v="12.525"/>
    <n v="6.5000000000000009"/>
    <n v="59.5"/>
    <n v="153"/>
    <x v="1"/>
    <x v="3"/>
  </r>
  <r>
    <x v="4"/>
    <n v="41.2"/>
    <n v="56"/>
    <n v="51.9"/>
    <n v="10.92"/>
    <n v="11.6"/>
    <n v="1.93"/>
    <n v="15.6"/>
    <n v="49.6"/>
    <n v="2.69"/>
    <n v="68.666666666666671"/>
    <n v="56"/>
    <n v="64.875"/>
    <n v="27.3"/>
    <n v="29"/>
    <n v="96.5"/>
    <n v="96"/>
    <x v="3"/>
    <x v="4"/>
  </r>
  <r>
    <x v="0"/>
    <n v="37.6"/>
    <n v="79.2"/>
    <n v="75.8"/>
    <n v="3.45"/>
    <n v="116.2"/>
    <n v="1.35"/>
    <n v="25.6"/>
    <n v="68.599999999999994"/>
    <n v="5.54"/>
    <n v="62.666666666666657"/>
    <n v="79.2"/>
    <n v="94.75"/>
    <n v="8.625"/>
    <n v="290.5"/>
    <n v="67.5"/>
    <n v="290"/>
    <x v="0"/>
    <x v="2"/>
  </r>
  <r>
    <x v="1"/>
    <n v="30.2"/>
    <n v="52.8"/>
    <n v="29.9"/>
    <n v="8.16"/>
    <n v="1"/>
    <n v="1.21"/>
    <n v="36.9"/>
    <n v="62.7"/>
    <n v="2.15"/>
    <n v="50.333333333333343"/>
    <n v="52.8"/>
    <n v="37.375"/>
    <n v="20.399999999999999"/>
    <n v="2.5"/>
    <n v="60.5"/>
    <n v="60"/>
    <x v="3"/>
    <x v="4"/>
  </r>
  <r>
    <x v="2"/>
    <n v="31.5"/>
    <n v="132.19999999999999"/>
    <n v="21.6"/>
    <n v="13.1"/>
    <n v="83.9"/>
    <n v="1.03"/>
    <n v="24.9"/>
    <n v="78.599999999999994"/>
    <n v="3.81"/>
    <n v="52.5"/>
    <n v="132.19999999999999"/>
    <n v="27"/>
    <n v="32.75"/>
    <n v="209.75"/>
    <n v="51.500000000000007"/>
    <n v="210"/>
    <x v="0"/>
    <x v="2"/>
  </r>
  <r>
    <x v="3"/>
    <n v="28.7"/>
    <n v="70.7"/>
    <n v="14.8"/>
    <n v="8.0399999999999991"/>
    <n v="56.7"/>
    <n v="0.31"/>
    <n v="21.8"/>
    <n v="35.700000000000003"/>
    <n v="1.42"/>
    <n v="47.833333333333329"/>
    <n v="70.7"/>
    <n v="18.5"/>
    <n v="20.100000000000001"/>
    <n v="141.75"/>
    <n v="15.5"/>
    <n v="142"/>
    <x v="1"/>
    <x v="2"/>
  </r>
  <r>
    <x v="4"/>
    <n v="67.3"/>
    <n v="66.900000000000006"/>
    <n v="34.299999999999997"/>
    <n v="0.5"/>
    <n v="49.1"/>
    <n v="1.03"/>
    <n v="19.899999999999999"/>
    <n v="56.6"/>
    <n v="3.22"/>
    <n v="112.1666666666667"/>
    <n v="66.900000000000006"/>
    <n v="42.875"/>
    <n v="1.25"/>
    <n v="122.75"/>
    <n v="51.500000000000007"/>
    <n v="123"/>
    <x v="1"/>
    <x v="2"/>
  </r>
  <r>
    <x v="0"/>
    <n v="32.700000000000003"/>
    <n v="28.9"/>
    <n v="74.599999999999994"/>
    <n v="4.45"/>
    <n v="43.2"/>
    <n v="1.66"/>
    <n v="49.7"/>
    <n v="37.6"/>
    <n v="3.04"/>
    <n v="54.500000000000007"/>
    <n v="28.9"/>
    <n v="93.25"/>
    <n v="11.125"/>
    <n v="108"/>
    <n v="82.999999999999986"/>
    <n v="108"/>
    <x v="1"/>
    <x v="2"/>
  </r>
  <r>
    <x v="1"/>
    <n v="38.799999999999997"/>
    <n v="87.7"/>
    <n v="30.6"/>
    <n v="2.37"/>
    <n v="48.7"/>
    <n v="0.32"/>
    <n v="31.6"/>
    <n v="61"/>
    <n v="3.01"/>
    <n v="64.666666666666657"/>
    <n v="87.7"/>
    <n v="38.25"/>
    <n v="5.9250000000000007"/>
    <n v="121.75"/>
    <n v="16"/>
    <n v="122"/>
    <x v="1"/>
    <x v="2"/>
  </r>
  <r>
    <x v="2"/>
    <n v="35"/>
    <n v="74.5"/>
    <n v="38.6"/>
    <n v="1.66"/>
    <n v="29.5"/>
    <n v="0.52"/>
    <n v="18.8"/>
    <n v="22"/>
    <n v="4.1100000000000003"/>
    <n v="58.333333333333343"/>
    <n v="74.5"/>
    <n v="48.25"/>
    <n v="4.1500000000000004"/>
    <n v="73.75"/>
    <n v="26"/>
    <n v="74"/>
    <x v="3"/>
    <x v="3"/>
  </r>
  <r>
    <x v="3"/>
    <n v="31.5"/>
    <n v="151.80000000000001"/>
    <n v="53.1"/>
    <n v="1.26"/>
    <n v="12.8"/>
    <n v="2.19"/>
    <n v="37.299999999999997"/>
    <n v="59.4"/>
    <n v="2.81"/>
    <n v="52.5"/>
    <n v="151.80000000000001"/>
    <n v="66.375"/>
    <n v="3.15"/>
    <n v="32"/>
    <n v="109.5"/>
    <n v="152"/>
    <x v="1"/>
    <x v="3"/>
  </r>
  <r>
    <x v="4"/>
    <n v="36.1"/>
    <n v="128.4"/>
    <n v="27"/>
    <n v="0.5"/>
    <n v="7.7"/>
    <n v="1.07"/>
    <n v="17.100000000000001"/>
    <n v="58.8"/>
    <n v="1.71"/>
    <n v="60.166666666666657"/>
    <n v="128.4"/>
    <n v="33.75"/>
    <n v="1.25"/>
    <n v="19.25"/>
    <n v="53.500000000000007"/>
    <n v="128"/>
    <x v="1"/>
    <x v="3"/>
  </r>
  <r>
    <x v="0"/>
    <n v="33.6"/>
    <n v="157.5"/>
    <n v="46"/>
    <n v="7.32"/>
    <n v="71.3"/>
    <n v="1.37"/>
    <n v="35.1"/>
    <n v="51.7"/>
    <n v="1.98"/>
    <n v="56"/>
    <n v="157.5"/>
    <n v="57.5"/>
    <n v="18.3"/>
    <n v="178.25"/>
    <n v="68.5"/>
    <n v="178"/>
    <x v="1"/>
    <x v="2"/>
  </r>
  <r>
    <x v="1"/>
    <n v="21"/>
    <n v="94.3"/>
    <n v="64.3"/>
    <n v="14.5"/>
    <n v="80"/>
    <n v="0.12"/>
    <n v="32.6"/>
    <n v="26.9"/>
    <n v="3.58"/>
    <n v="35"/>
    <n v="94.3"/>
    <n v="80.375"/>
    <n v="36.25"/>
    <n v="200"/>
    <n v="6"/>
    <n v="200"/>
    <x v="1"/>
    <x v="2"/>
  </r>
  <r>
    <x v="2"/>
    <n v="37.200000000000003"/>
    <n v="123.2"/>
    <n v="13.9"/>
    <n v="10.53"/>
    <n v="3.2"/>
    <n v="0.61"/>
    <n v="18"/>
    <n v="28.4"/>
    <n v="2.61"/>
    <n v="62.000000000000007"/>
    <n v="123.2"/>
    <n v="17.375"/>
    <n v="26.324999999999999"/>
    <n v="8"/>
    <n v="30.5"/>
    <n v="123"/>
    <x v="1"/>
    <x v="3"/>
  </r>
  <r>
    <x v="3"/>
    <n v="91.3"/>
    <n v="224"/>
    <n v="37.6"/>
    <n v="10.87"/>
    <n v="45.8"/>
    <n v="1.2"/>
    <n v="22.6"/>
    <n v="63.5"/>
    <n v="3.14"/>
    <n v="152.16666666666671"/>
    <n v="224"/>
    <n v="47"/>
    <n v="27.175000000000001"/>
    <n v="114.5"/>
    <n v="60"/>
    <n v="224"/>
    <x v="0"/>
    <x v="3"/>
  </r>
  <r>
    <x v="4"/>
    <n v="37.5"/>
    <n v="101.5"/>
    <n v="38.6"/>
    <n v="10.68"/>
    <n v="14.7"/>
    <n v="1.03"/>
    <n v="38.4"/>
    <n v="81"/>
    <n v="4.62"/>
    <n v="62.5"/>
    <n v="101.5"/>
    <n v="48.25"/>
    <n v="26.7"/>
    <n v="36.75"/>
    <n v="51.500000000000007"/>
    <n v="102"/>
    <x v="1"/>
    <x v="3"/>
  </r>
  <r>
    <x v="0"/>
    <n v="55.9"/>
    <n v="128.1"/>
    <n v="59.8"/>
    <n v="14.54"/>
    <n v="1"/>
    <n v="0.38"/>
    <n v="34.200000000000003"/>
    <n v="55"/>
    <n v="1.69"/>
    <n v="93.166666666666657"/>
    <n v="128.1"/>
    <n v="74.75"/>
    <n v="36.35"/>
    <n v="2.5"/>
    <n v="19"/>
    <n v="128"/>
    <x v="1"/>
    <x v="3"/>
  </r>
  <r>
    <x v="1"/>
    <n v="22.4"/>
    <n v="86.7"/>
    <n v="17"/>
    <n v="18.46"/>
    <n v="49.3"/>
    <n v="1.17"/>
    <n v="29.1"/>
    <n v="77.3"/>
    <n v="3.64"/>
    <n v="37.333333333333329"/>
    <n v="86.7"/>
    <n v="21.25"/>
    <n v="46.150000000000013"/>
    <n v="123.25"/>
    <n v="58.5"/>
    <n v="123"/>
    <x v="1"/>
    <x v="2"/>
  </r>
  <r>
    <x v="2"/>
    <n v="70.099999999999994"/>
    <n v="62.4"/>
    <n v="29.7"/>
    <n v="9"/>
    <n v="25.5"/>
    <n v="0.91"/>
    <n v="27.8"/>
    <n v="74.099999999999994"/>
    <n v="0.37"/>
    <n v="116.8333333333333"/>
    <n v="62.4"/>
    <n v="37.125"/>
    <n v="22.5"/>
    <n v="63.75"/>
    <n v="45.5"/>
    <n v="117"/>
    <x v="1"/>
    <x v="0"/>
  </r>
  <r>
    <x v="3"/>
    <n v="65.2"/>
    <n v="84.8"/>
    <n v="47.3"/>
    <n v="9.51"/>
    <n v="80.2"/>
    <n v="1.61"/>
    <n v="34.4"/>
    <n v="86"/>
    <n v="2.85"/>
    <n v="108.6666666666667"/>
    <n v="84.8"/>
    <n v="59.125"/>
    <n v="23.774999999999999"/>
    <n v="200.5"/>
    <n v="80.5"/>
    <n v="200"/>
    <x v="1"/>
    <x v="2"/>
  </r>
  <r>
    <x v="4"/>
    <n v="53.6"/>
    <n v="151.69999999999999"/>
    <n v="52.5"/>
    <n v="5.68"/>
    <n v="55.1"/>
    <n v="1.04"/>
    <n v="19"/>
    <n v="83.2"/>
    <n v="3.07"/>
    <n v="89.333333333333329"/>
    <n v="151.69999999999999"/>
    <n v="65.625"/>
    <n v="14.2"/>
    <n v="137.75"/>
    <n v="52.000000000000007"/>
    <n v="152"/>
    <x v="1"/>
    <x v="3"/>
  </r>
  <r>
    <x v="0"/>
    <n v="111.7"/>
    <n v="20.7"/>
    <n v="31.2"/>
    <n v="7.51"/>
    <n v="78.7"/>
    <n v="1.32"/>
    <n v="27.2"/>
    <n v="39.700000000000003"/>
    <n v="1.1100000000000001"/>
    <n v="186.16666666666671"/>
    <n v="20.7"/>
    <n v="39"/>
    <n v="18.774999999999999"/>
    <n v="196.75"/>
    <n v="66"/>
    <n v="197"/>
    <x v="1"/>
    <x v="2"/>
  </r>
  <r>
    <x v="1"/>
    <n v="69.7"/>
    <n v="38.200000000000003"/>
    <n v="34.4"/>
    <n v="10.5"/>
    <n v="19.3"/>
    <n v="2.16"/>
    <n v="33.6"/>
    <n v="31.7"/>
    <n v="1.38"/>
    <n v="116.1666666666667"/>
    <n v="38.200000000000003"/>
    <n v="43"/>
    <n v="26.25"/>
    <n v="48.25"/>
    <n v="108"/>
    <n v="116"/>
    <x v="1"/>
    <x v="0"/>
  </r>
  <r>
    <x v="2"/>
    <n v="2"/>
    <n v="55.5"/>
    <n v="45.8"/>
    <n v="4.51"/>
    <n v="48.9"/>
    <n v="0.22"/>
    <n v="30.6"/>
    <n v="50"/>
    <n v="2.5099999999999998"/>
    <n v="3.333333333333333"/>
    <n v="55.5"/>
    <n v="57.249999999999993"/>
    <n v="11.275"/>
    <n v="122.25"/>
    <n v="11"/>
    <n v="122"/>
    <x v="1"/>
    <x v="2"/>
  </r>
  <r>
    <x v="3"/>
    <n v="45.8"/>
    <n v="35"/>
    <n v="17.600000000000001"/>
    <n v="10.27"/>
    <n v="50"/>
    <n v="1.46"/>
    <n v="27.3"/>
    <n v="62.6"/>
    <n v="0.43"/>
    <n v="76.333333333333329"/>
    <n v="35"/>
    <n v="22"/>
    <n v="25.675000000000001"/>
    <n v="125"/>
    <n v="73"/>
    <n v="125"/>
    <x v="1"/>
    <x v="2"/>
  </r>
  <r>
    <x v="4"/>
    <n v="45.7"/>
    <n v="104.2"/>
    <n v="74"/>
    <n v="10.06"/>
    <n v="86.2"/>
    <n v="1.37"/>
    <n v="20"/>
    <n v="62.1"/>
    <n v="3.28"/>
    <n v="76.166666666666671"/>
    <n v="104.2"/>
    <n v="92.5"/>
    <n v="25.15"/>
    <n v="215.5"/>
    <n v="68.5"/>
    <n v="216"/>
    <x v="0"/>
    <x v="2"/>
  </r>
  <r>
    <x v="0"/>
    <n v="29.3"/>
    <n v="89.2"/>
    <n v="37.6"/>
    <n v="14.75"/>
    <n v="1"/>
    <n v="1.77"/>
    <n v="18.399999999999999"/>
    <n v="35.299999999999997"/>
    <n v="3.92"/>
    <n v="48.833333333333343"/>
    <n v="89.2"/>
    <n v="47"/>
    <n v="36.875"/>
    <n v="2.5"/>
    <n v="88.5"/>
    <n v="89"/>
    <x v="3"/>
    <x v="3"/>
  </r>
  <r>
    <x v="1"/>
    <n v="82"/>
    <n v="195.3"/>
    <n v="61"/>
    <n v="18.3"/>
    <n v="67.5"/>
    <n v="1.1100000000000001"/>
    <n v="27.4"/>
    <n v="82.4"/>
    <n v="1.56"/>
    <n v="136.66666666666671"/>
    <n v="195.3"/>
    <n v="76.25"/>
    <n v="45.75"/>
    <n v="168.75"/>
    <n v="55.500000000000007"/>
    <n v="195"/>
    <x v="1"/>
    <x v="3"/>
  </r>
  <r>
    <x v="2"/>
    <n v="30.7"/>
    <n v="77.099999999999994"/>
    <n v="2.2000000000000002"/>
    <n v="6.6"/>
    <n v="1"/>
    <n v="0.94"/>
    <n v="31.1"/>
    <n v="51.4"/>
    <n v="4.51"/>
    <n v="51.166666666666657"/>
    <n v="77.099999999999994"/>
    <n v="2.75"/>
    <n v="16.5"/>
    <n v="2.5"/>
    <n v="47"/>
    <n v="77"/>
    <x v="3"/>
    <x v="3"/>
  </r>
  <r>
    <x v="3"/>
    <n v="12.9"/>
    <n v="153.19999999999999"/>
    <n v="46.8"/>
    <n v="0.5"/>
    <n v="107.8"/>
    <n v="0.93"/>
    <n v="18.899999999999999"/>
    <n v="34.700000000000003"/>
    <n v="2.2400000000000002"/>
    <n v="21.5"/>
    <n v="153.19999999999999"/>
    <n v="58.5"/>
    <n v="1.25"/>
    <n v="269.5"/>
    <n v="46.5"/>
    <n v="270"/>
    <x v="0"/>
    <x v="2"/>
  </r>
  <r>
    <x v="4"/>
    <n v="49.4"/>
    <n v="111"/>
    <n v="34.4"/>
    <n v="9.83"/>
    <n v="33.299999999999997"/>
    <n v="0.05"/>
    <n v="24"/>
    <n v="17.399999999999999"/>
    <n v="3.42"/>
    <n v="82.333333333333329"/>
    <n v="111"/>
    <n v="43"/>
    <n v="24.574999999999999"/>
    <n v="83.249999999999986"/>
    <n v="2.5"/>
    <n v="111"/>
    <x v="1"/>
    <x v="3"/>
  </r>
  <r>
    <x v="0"/>
    <n v="28.2"/>
    <n v="119.4"/>
    <n v="65.599999999999994"/>
    <n v="3"/>
    <n v="76.5"/>
    <n v="0.86"/>
    <n v="37.299999999999997"/>
    <n v="53.4"/>
    <n v="1.49"/>
    <n v="47"/>
    <n v="119.4"/>
    <n v="81.999999999999986"/>
    <n v="7.5"/>
    <n v="191.25"/>
    <n v="43"/>
    <n v="191"/>
    <x v="1"/>
    <x v="2"/>
  </r>
  <r>
    <x v="1"/>
    <n v="80.599999999999994"/>
    <n v="93.9"/>
    <n v="28.2"/>
    <n v="5.61"/>
    <n v="48.6"/>
    <n v="2.0099999999999998"/>
    <n v="11.5"/>
    <n v="60.4"/>
    <n v="3.25"/>
    <n v="134.33333333333329"/>
    <n v="93.9"/>
    <n v="35.25"/>
    <n v="14.025"/>
    <n v="121.5"/>
    <n v="100.5"/>
    <n v="134"/>
    <x v="1"/>
    <x v="0"/>
  </r>
  <r>
    <x v="2"/>
    <n v="50"/>
    <n v="150.9"/>
    <n v="33.1"/>
    <n v="5.38"/>
    <n v="52.1"/>
    <n v="0.96"/>
    <n v="22.3"/>
    <n v="69.3"/>
    <n v="1.72"/>
    <n v="83.333333333333329"/>
    <n v="150.9"/>
    <n v="41.375"/>
    <n v="13.45"/>
    <n v="130.25"/>
    <n v="48"/>
    <n v="151"/>
    <x v="1"/>
    <x v="3"/>
  </r>
  <r>
    <x v="3"/>
    <n v="33.299999999999997"/>
    <n v="70.7"/>
    <n v="57.6"/>
    <n v="0.5"/>
    <n v="49.9"/>
    <n v="0.98"/>
    <n v="13.2"/>
    <n v="65.599999999999994"/>
    <n v="3.07"/>
    <n v="55.499999999999993"/>
    <n v="70.7"/>
    <n v="72.000000000000014"/>
    <n v="1.25"/>
    <n v="124.75"/>
    <n v="49"/>
    <n v="125"/>
    <x v="1"/>
    <x v="2"/>
  </r>
  <r>
    <x v="4"/>
    <n v="68.400000000000006"/>
    <n v="5"/>
    <n v="63.6"/>
    <n v="3.79"/>
    <n v="62.9"/>
    <n v="1.45"/>
    <n v="18.899999999999999"/>
    <n v="71.900000000000006"/>
    <n v="2.54"/>
    <n v="114"/>
    <n v="5"/>
    <n v="79.5"/>
    <n v="9.4750000000000014"/>
    <n v="157.25"/>
    <n v="72.5"/>
    <n v="157"/>
    <x v="1"/>
    <x v="2"/>
  </r>
  <r>
    <x v="0"/>
    <n v="2"/>
    <n v="174.9"/>
    <n v="27.1"/>
    <n v="3.43"/>
    <n v="34.4"/>
    <n v="1.25"/>
    <n v="24.6"/>
    <n v="69.900000000000006"/>
    <n v="0.89"/>
    <n v="3.333333333333333"/>
    <n v="174.9"/>
    <n v="33.875"/>
    <n v="8.5750000000000011"/>
    <n v="86"/>
    <n v="62.5"/>
    <n v="175"/>
    <x v="1"/>
    <x v="3"/>
  </r>
  <r>
    <x v="1"/>
    <n v="37.700000000000003"/>
    <n v="113"/>
    <n v="83"/>
    <n v="7.43"/>
    <n v="83.9"/>
    <n v="1.22"/>
    <n v="21.6"/>
    <n v="55.6"/>
    <n v="2.2999999999999998"/>
    <n v="62.833333333333343"/>
    <n v="113"/>
    <n v="103.75"/>
    <n v="18.574999999999999"/>
    <n v="209.75"/>
    <n v="61"/>
    <n v="210"/>
    <x v="0"/>
    <x v="2"/>
  </r>
  <r>
    <x v="2"/>
    <n v="59.4"/>
    <n v="153.9"/>
    <n v="39.700000000000003"/>
    <n v="10.59"/>
    <n v="15.1"/>
    <n v="0.72"/>
    <n v="19.899999999999999"/>
    <n v="65.7"/>
    <n v="2.0699999999999998"/>
    <n v="98.999999999999986"/>
    <n v="153.9"/>
    <n v="49.625"/>
    <n v="26.475000000000001"/>
    <n v="37.75"/>
    <n v="36"/>
    <n v="154"/>
    <x v="1"/>
    <x v="3"/>
  </r>
  <r>
    <x v="3"/>
    <n v="65.5"/>
    <n v="51.3"/>
    <n v="36.700000000000003"/>
    <n v="9.15"/>
    <n v="1"/>
    <n v="1.98"/>
    <n v="23"/>
    <n v="23.5"/>
    <n v="2.69"/>
    <n v="109.1666666666667"/>
    <n v="51.3"/>
    <n v="45.875000000000007"/>
    <n v="22.875"/>
    <n v="2.5"/>
    <n v="99"/>
    <n v="109"/>
    <x v="1"/>
    <x v="0"/>
  </r>
  <r>
    <x v="4"/>
    <n v="53.7"/>
    <n v="101.3"/>
    <n v="57"/>
    <n v="10.33"/>
    <n v="52.2"/>
    <n v="1.29"/>
    <n v="24.3"/>
    <n v="92"/>
    <n v="1.22"/>
    <n v="89.500000000000014"/>
    <n v="101.3"/>
    <n v="71.25"/>
    <n v="25.824999999999999"/>
    <n v="130.5"/>
    <n v="64.5"/>
    <n v="130"/>
    <x v="1"/>
    <x v="2"/>
  </r>
  <r>
    <x v="0"/>
    <n v="59.1"/>
    <n v="114"/>
    <n v="56.4"/>
    <n v="3.48"/>
    <n v="1"/>
    <n v="1.19"/>
    <n v="27"/>
    <n v="86.8"/>
    <n v="0.98"/>
    <n v="98.5"/>
    <n v="114"/>
    <n v="70.5"/>
    <n v="8.6999999999999993"/>
    <n v="2.5"/>
    <n v="59.5"/>
    <n v="114"/>
    <x v="1"/>
    <x v="3"/>
  </r>
  <r>
    <x v="1"/>
    <n v="94.6"/>
    <n v="262"/>
    <n v="37.4"/>
    <n v="1.55"/>
    <n v="37.299999999999997"/>
    <n v="1.21"/>
    <n v="28.9"/>
    <n v="49.4"/>
    <n v="4.37"/>
    <n v="157.66666666666671"/>
    <n v="262"/>
    <n v="46.75"/>
    <n v="3.875"/>
    <n v="93.25"/>
    <n v="60.5"/>
    <n v="262"/>
    <x v="0"/>
    <x v="3"/>
  </r>
  <r>
    <x v="2"/>
    <n v="20.2"/>
    <n v="11.9"/>
    <n v="51"/>
    <n v="0.5"/>
    <n v="33.200000000000003"/>
    <n v="2.33"/>
    <n v="24.9"/>
    <n v="39.799999999999997"/>
    <n v="2.4300000000000002"/>
    <n v="33.666666666666657"/>
    <n v="11.9"/>
    <n v="63.75"/>
    <n v="1.25"/>
    <n v="83"/>
    <n v="116.5"/>
    <n v="116"/>
    <x v="1"/>
    <x v="4"/>
  </r>
  <r>
    <x v="3"/>
    <n v="46.8"/>
    <n v="103.7"/>
    <n v="46.6"/>
    <n v="2.2400000000000002"/>
    <n v="82.2"/>
    <n v="1.08"/>
    <n v="30.1"/>
    <n v="48.7"/>
    <n v="4.04"/>
    <n v="78"/>
    <n v="103.7"/>
    <n v="58.25"/>
    <n v="5.6000000000000014"/>
    <n v="205.5"/>
    <n v="54.000000000000007"/>
    <n v="206"/>
    <x v="0"/>
    <x v="2"/>
  </r>
  <r>
    <x v="4"/>
    <n v="46"/>
    <n v="120.3"/>
    <n v="23.2"/>
    <n v="2.65"/>
    <n v="62.9"/>
    <n v="0.82"/>
    <n v="19"/>
    <n v="48.4"/>
    <n v="3.84"/>
    <n v="76.666666666666657"/>
    <n v="120.3"/>
    <n v="29"/>
    <n v="6.625"/>
    <n v="157.25"/>
    <n v="40.999999999999993"/>
    <n v="157"/>
    <x v="1"/>
    <x v="2"/>
  </r>
  <r>
    <x v="0"/>
    <n v="37.799999999999997"/>
    <n v="103.9"/>
    <n v="41.7"/>
    <n v="0.5"/>
    <n v="3.7"/>
    <n v="1.29"/>
    <n v="19.8"/>
    <n v="79"/>
    <n v="3.66"/>
    <n v="63"/>
    <n v="103.9"/>
    <n v="52.125000000000007"/>
    <n v="1.25"/>
    <n v="9.2500000000000018"/>
    <n v="64.5"/>
    <n v="104"/>
    <x v="1"/>
    <x v="3"/>
  </r>
  <r>
    <x v="1"/>
    <n v="81.599999999999994"/>
    <n v="229.2"/>
    <n v="43.3"/>
    <n v="11.24"/>
    <n v="31.7"/>
    <n v="2.67"/>
    <n v="38.9"/>
    <n v="60.2"/>
    <n v="2.96"/>
    <n v="136"/>
    <n v="229.2"/>
    <n v="54.125"/>
    <n v="28.1"/>
    <n v="79.25"/>
    <n v="133.5"/>
    <n v="229"/>
    <x v="0"/>
    <x v="3"/>
  </r>
  <r>
    <x v="2"/>
    <n v="76.599999999999994"/>
    <n v="84.5"/>
    <n v="24.2"/>
    <n v="9.4"/>
    <n v="39.9"/>
    <n v="1"/>
    <n v="19.2"/>
    <n v="29.1"/>
    <n v="2.78"/>
    <n v="127.6666666666667"/>
    <n v="84.5"/>
    <n v="30.25"/>
    <n v="23.5"/>
    <n v="99.749999999999986"/>
    <n v="50"/>
    <n v="128"/>
    <x v="1"/>
    <x v="0"/>
  </r>
  <r>
    <x v="3"/>
    <n v="69.7"/>
    <n v="85.2"/>
    <n v="59"/>
    <n v="3.58"/>
    <n v="13.6"/>
    <n v="0.93"/>
    <n v="24.4"/>
    <n v="73.900000000000006"/>
    <n v="1.57"/>
    <n v="116.1666666666667"/>
    <n v="85.2"/>
    <n v="73.75"/>
    <n v="8.9499999999999993"/>
    <n v="34"/>
    <n v="46.5"/>
    <n v="116"/>
    <x v="1"/>
    <x v="0"/>
  </r>
  <r>
    <x v="4"/>
    <n v="88.9"/>
    <n v="209.5"/>
    <n v="38.9"/>
    <n v="12.54"/>
    <n v="14.9"/>
    <n v="1.62"/>
    <n v="32.299999999999997"/>
    <n v="75.5"/>
    <n v="2.98"/>
    <n v="148.16666666666671"/>
    <n v="209.5"/>
    <n v="48.625"/>
    <n v="31.349999999999991"/>
    <n v="37.25"/>
    <n v="81"/>
    <n v="210"/>
    <x v="0"/>
    <x v="3"/>
  </r>
  <r>
    <x v="0"/>
    <n v="2"/>
    <n v="75"/>
    <n v="29.9"/>
    <n v="2.86"/>
    <n v="49.5"/>
    <n v="0.87"/>
    <n v="19.2"/>
    <n v="40.9"/>
    <n v="1.64"/>
    <n v="3.333333333333333"/>
    <n v="75"/>
    <n v="37.375"/>
    <n v="7.15"/>
    <n v="123.75"/>
    <n v="43.5"/>
    <n v="124"/>
    <x v="1"/>
    <x v="2"/>
  </r>
  <r>
    <x v="1"/>
    <n v="93.6"/>
    <n v="80.3"/>
    <n v="34.700000000000003"/>
    <n v="5.72"/>
    <n v="60.6"/>
    <n v="1.47"/>
    <n v="3.7"/>
    <n v="78.400000000000006"/>
    <n v="4.22"/>
    <n v="156"/>
    <n v="80.3"/>
    <n v="43.375000000000007"/>
    <n v="14.3"/>
    <n v="151.5"/>
    <n v="73.5"/>
    <n v="156"/>
    <x v="1"/>
    <x v="0"/>
  </r>
  <r>
    <x v="2"/>
    <n v="21.7"/>
    <n v="46.9"/>
    <n v="27.4"/>
    <n v="3.21"/>
    <n v="43.3"/>
    <n v="0.05"/>
    <n v="17.2"/>
    <n v="87.7"/>
    <n v="1.39"/>
    <n v="36.166666666666657"/>
    <n v="46.9"/>
    <n v="34.249999999999993"/>
    <n v="8.0249999999999986"/>
    <n v="108.25"/>
    <n v="2.5"/>
    <n v="108"/>
    <x v="1"/>
    <x v="2"/>
  </r>
  <r>
    <x v="3"/>
    <n v="77.8"/>
    <n v="113.1"/>
    <n v="7.1"/>
    <n v="8.94"/>
    <n v="37.1"/>
    <n v="0.74"/>
    <n v="26.7"/>
    <n v="68.5"/>
    <n v="3.35"/>
    <n v="129.66666666666671"/>
    <n v="113.1"/>
    <n v="8.875"/>
    <n v="22.35"/>
    <n v="92.75"/>
    <n v="37"/>
    <n v="130"/>
    <x v="1"/>
    <x v="0"/>
  </r>
  <r>
    <x v="4"/>
    <n v="83.9"/>
    <n v="127.1"/>
    <n v="15.4"/>
    <n v="4.96"/>
    <n v="124.9"/>
    <n v="1.44"/>
    <n v="41.6"/>
    <n v="85.1"/>
    <n v="3.29"/>
    <n v="139.83333333333329"/>
    <n v="127.1"/>
    <n v="19.25"/>
    <n v="12.4"/>
    <n v="312.25"/>
    <n v="72"/>
    <n v="312"/>
    <x v="2"/>
    <x v="2"/>
  </r>
  <r>
    <x v="0"/>
    <n v="63.5"/>
    <n v="108.4"/>
    <n v="9.4"/>
    <n v="7.44"/>
    <n v="80.8"/>
    <n v="0.77"/>
    <n v="27.9"/>
    <n v="75.3"/>
    <n v="1.41"/>
    <n v="105.8333333333333"/>
    <n v="108.4"/>
    <n v="11.75"/>
    <n v="18.600000000000001"/>
    <n v="202"/>
    <n v="38.5"/>
    <n v="202"/>
    <x v="0"/>
    <x v="2"/>
  </r>
  <r>
    <x v="1"/>
    <n v="46.5"/>
    <n v="58.9"/>
    <n v="28.6"/>
    <n v="1.56"/>
    <n v="21.9"/>
    <n v="2.0499999999999998"/>
    <n v="18.600000000000001"/>
    <n v="62.3"/>
    <n v="1.9"/>
    <n v="77.5"/>
    <n v="58.9"/>
    <n v="35.750000000000007"/>
    <n v="3.9"/>
    <n v="54.749999999999993"/>
    <n v="102.5"/>
    <n v="102"/>
    <x v="1"/>
    <x v="4"/>
  </r>
  <r>
    <x v="2"/>
    <n v="72.5"/>
    <n v="151"/>
    <n v="47.3"/>
    <n v="7.24"/>
    <n v="32.5"/>
    <n v="0.37"/>
    <n v="38.6"/>
    <n v="46.3"/>
    <n v="3.3"/>
    <n v="120.8333333333333"/>
    <n v="151"/>
    <n v="59.125"/>
    <n v="18.100000000000001"/>
    <n v="81.25"/>
    <n v="18.5"/>
    <n v="151"/>
    <x v="1"/>
    <x v="3"/>
  </r>
  <r>
    <x v="3"/>
    <n v="73.400000000000006"/>
    <n v="69.3"/>
    <n v="52.6"/>
    <n v="9.4600000000000009"/>
    <n v="83.2"/>
    <n v="0.73"/>
    <n v="16"/>
    <n v="50.9"/>
    <n v="2.75"/>
    <n v="122.3333333333333"/>
    <n v="69.3"/>
    <n v="65.75"/>
    <n v="23.65"/>
    <n v="208"/>
    <n v="36.5"/>
    <n v="208"/>
    <x v="0"/>
    <x v="2"/>
  </r>
  <r>
    <x v="4"/>
    <n v="54.3"/>
    <n v="84.8"/>
    <n v="6"/>
    <n v="9.11"/>
    <n v="98.2"/>
    <n v="1.3"/>
    <n v="29.3"/>
    <n v="70.3"/>
    <n v="3.48"/>
    <n v="90.5"/>
    <n v="84.8"/>
    <n v="7.5"/>
    <n v="22.774999999999999"/>
    <n v="245.5"/>
    <n v="65"/>
    <n v="246"/>
    <x v="0"/>
    <x v="2"/>
  </r>
  <r>
    <x v="0"/>
    <n v="80.900000000000006"/>
    <n v="132.19999999999999"/>
    <n v="35.6"/>
    <n v="3.7"/>
    <n v="38.799999999999997"/>
    <n v="1.28"/>
    <n v="22.8"/>
    <n v="65.7"/>
    <n v="3.03"/>
    <n v="134.83333333333329"/>
    <n v="132.19999999999999"/>
    <n v="44.500000000000007"/>
    <n v="9.2500000000000018"/>
    <n v="96.999999999999986"/>
    <n v="64"/>
    <n v="135"/>
    <x v="1"/>
    <x v="0"/>
  </r>
  <r>
    <x v="1"/>
    <n v="85"/>
    <n v="197"/>
    <n v="46.6"/>
    <n v="1.46"/>
    <n v="39.200000000000003"/>
    <n v="1.23"/>
    <n v="12.1"/>
    <n v="85"/>
    <n v="2.67"/>
    <n v="141.66666666666671"/>
    <n v="197"/>
    <n v="58.25"/>
    <n v="3.65"/>
    <n v="98"/>
    <n v="61.5"/>
    <n v="197"/>
    <x v="1"/>
    <x v="3"/>
  </r>
  <r>
    <x v="2"/>
    <n v="54.3"/>
    <n v="153.5"/>
    <n v="24.6"/>
    <n v="8.26"/>
    <n v="35.4"/>
    <n v="0.83"/>
    <n v="19.600000000000001"/>
    <n v="90"/>
    <n v="2.0499999999999998"/>
    <n v="90.5"/>
    <n v="153.5"/>
    <n v="30.75"/>
    <n v="20.65"/>
    <n v="88.5"/>
    <n v="41.499999999999993"/>
    <n v="154"/>
    <x v="1"/>
    <x v="3"/>
  </r>
  <r>
    <x v="3"/>
    <n v="64.8"/>
    <n v="6"/>
    <n v="54.9"/>
    <n v="10.61"/>
    <n v="42.4"/>
    <n v="0.85"/>
    <n v="27.8"/>
    <n v="100"/>
    <n v="0.38"/>
    <n v="108"/>
    <n v="6"/>
    <n v="68.624999999999986"/>
    <n v="26.524999999999999"/>
    <n v="106"/>
    <n v="42.499999999999993"/>
    <n v="108"/>
    <x v="1"/>
    <x v="0"/>
  </r>
  <r>
    <x v="4"/>
    <n v="73.400000000000006"/>
    <n v="57.5"/>
    <n v="39.200000000000003"/>
    <n v="5.95"/>
    <n v="32.200000000000003"/>
    <n v="1.05"/>
    <n v="17.100000000000001"/>
    <n v="78.5"/>
    <n v="0.85"/>
    <n v="122.3333333333333"/>
    <n v="57.5"/>
    <n v="49"/>
    <n v="14.875"/>
    <n v="80.5"/>
    <n v="52.500000000000007"/>
    <n v="122"/>
    <x v="1"/>
    <x v="0"/>
  </r>
  <r>
    <x v="0"/>
    <n v="70.099999999999994"/>
    <n v="92.4"/>
    <n v="19.899999999999999"/>
    <n v="8.2899999999999991"/>
    <n v="1.2"/>
    <n v="1.1299999999999999"/>
    <n v="15"/>
    <n v="68.3"/>
    <n v="1.39"/>
    <n v="116.8333333333333"/>
    <n v="92.4"/>
    <n v="24.875"/>
    <n v="20.725000000000001"/>
    <n v="3"/>
    <n v="56.499999999999993"/>
    <n v="117"/>
    <x v="1"/>
    <x v="0"/>
  </r>
  <r>
    <x v="1"/>
    <n v="46.5"/>
    <n v="137.6"/>
    <n v="29.5"/>
    <n v="7.71"/>
    <n v="2.7"/>
    <n v="1.58"/>
    <n v="37.4"/>
    <n v="100"/>
    <n v="2.61"/>
    <n v="77.5"/>
    <n v="137.6"/>
    <n v="36.875"/>
    <n v="19.274999999999999"/>
    <n v="6.7500000000000009"/>
    <n v="79"/>
    <n v="138"/>
    <x v="1"/>
    <x v="3"/>
  </r>
  <r>
    <x v="2"/>
    <n v="63.6"/>
    <n v="10"/>
    <n v="57"/>
    <n v="9.0299999999999994"/>
    <n v="26.5"/>
    <n v="1.48"/>
    <n v="23.2"/>
    <n v="51.8"/>
    <n v="3.07"/>
    <n v="106"/>
    <n v="10"/>
    <n v="71.25"/>
    <n v="22.574999999999999"/>
    <n v="66.25"/>
    <n v="74"/>
    <n v="106"/>
    <x v="1"/>
    <x v="0"/>
  </r>
  <r>
    <x v="3"/>
    <n v="22.5"/>
    <n v="145"/>
    <n v="19.100000000000001"/>
    <n v="2.2000000000000002"/>
    <n v="17.3"/>
    <n v="1.32"/>
    <n v="20.7"/>
    <n v="35.700000000000003"/>
    <n v="1.77"/>
    <n v="37.5"/>
    <n v="145"/>
    <n v="23.875"/>
    <n v="5.5000000000000009"/>
    <n v="43.250000000000007"/>
    <n v="66"/>
    <n v="145"/>
    <x v="1"/>
    <x v="3"/>
  </r>
  <r>
    <x v="4"/>
    <n v="52"/>
    <n v="43.2"/>
    <n v="19.3"/>
    <n v="16.329999999999998"/>
    <n v="20.3"/>
    <n v="0.89"/>
    <n v="22.4"/>
    <n v="52.4"/>
    <n v="3.75"/>
    <n v="86.666666666666671"/>
    <n v="43.2"/>
    <n v="24.125"/>
    <n v="40.825000000000003"/>
    <n v="50.75"/>
    <n v="44.5"/>
    <n v="87"/>
    <x v="3"/>
    <x v="0"/>
  </r>
  <r>
    <x v="0"/>
    <n v="81.400000000000006"/>
    <n v="93.5"/>
    <n v="18.600000000000001"/>
    <n v="13.22"/>
    <n v="43.3"/>
    <n v="2.06"/>
    <n v="9.3000000000000007"/>
    <n v="63.5"/>
    <n v="4.8"/>
    <n v="135.66666666666671"/>
    <n v="93.5"/>
    <n v="23.25"/>
    <n v="33.049999999999997"/>
    <n v="108.25"/>
    <n v="103"/>
    <n v="136"/>
    <x v="1"/>
    <x v="0"/>
  </r>
  <r>
    <x v="1"/>
    <n v="49.4"/>
    <n v="106.5"/>
    <n v="50.9"/>
    <n v="5.21"/>
    <n v="40.200000000000003"/>
    <n v="1"/>
    <n v="20.6"/>
    <n v="82.1"/>
    <n v="3.05"/>
    <n v="82.333333333333329"/>
    <n v="106.5"/>
    <n v="63.625"/>
    <n v="13.025"/>
    <n v="100.5"/>
    <n v="50"/>
    <n v="106"/>
    <x v="1"/>
    <x v="3"/>
  </r>
  <r>
    <x v="2"/>
    <n v="51.3"/>
    <n v="128.1"/>
    <n v="30.2"/>
    <n v="3.14"/>
    <n v="23.7"/>
    <n v="0.91"/>
    <n v="17.600000000000001"/>
    <n v="51"/>
    <n v="1.88"/>
    <n v="85.499999999999986"/>
    <n v="128.1"/>
    <n v="37.75"/>
    <n v="7.8500000000000014"/>
    <n v="59.25"/>
    <n v="45.5"/>
    <n v="128"/>
    <x v="1"/>
    <x v="3"/>
  </r>
  <r>
    <x v="3"/>
    <n v="99"/>
    <n v="5"/>
    <n v="33.1"/>
    <n v="13.3"/>
    <n v="43"/>
    <n v="1.32"/>
    <n v="25.7"/>
    <n v="48"/>
    <n v="0.2"/>
    <n v="165"/>
    <n v="5"/>
    <n v="41.375"/>
    <n v="33.25"/>
    <n v="107.5"/>
    <n v="66"/>
    <n v="165"/>
    <x v="1"/>
    <x v="0"/>
  </r>
  <r>
    <x v="4"/>
    <n v="58.2"/>
    <n v="64.599999999999994"/>
    <n v="25.5"/>
    <n v="4.84"/>
    <n v="92"/>
    <n v="2.33"/>
    <n v="26.5"/>
    <n v="51.6"/>
    <n v="1.59"/>
    <n v="97"/>
    <n v="64.599999999999994"/>
    <n v="31.875"/>
    <n v="12.1"/>
    <n v="230"/>
    <n v="116.5"/>
    <n v="230"/>
    <x v="0"/>
    <x v="2"/>
  </r>
  <r>
    <x v="0"/>
    <n v="68.099999999999994"/>
    <n v="208.8"/>
    <n v="36.799999999999997"/>
    <n v="0.5"/>
    <n v="65.3"/>
    <n v="1.65"/>
    <n v="13.9"/>
    <n v="63.2"/>
    <n v="3.04"/>
    <n v="113.5"/>
    <n v="208.8"/>
    <n v="46"/>
    <n v="1.25"/>
    <n v="163.25"/>
    <n v="82.499999999999986"/>
    <n v="209"/>
    <x v="0"/>
    <x v="3"/>
  </r>
  <r>
    <x v="1"/>
    <n v="57.8"/>
    <n v="72.599999999999994"/>
    <n v="65.3"/>
    <n v="5.98"/>
    <n v="3.6"/>
    <n v="0.05"/>
    <n v="33.799999999999997"/>
    <n v="71.099999999999994"/>
    <n v="2.61"/>
    <n v="96.333333333333329"/>
    <n v="72.599999999999994"/>
    <n v="81.625"/>
    <n v="14.95"/>
    <n v="9.0000000000000018"/>
    <n v="2.5"/>
    <n v="96"/>
    <x v="3"/>
    <x v="0"/>
  </r>
  <r>
    <x v="2"/>
    <n v="35.6"/>
    <n v="67.099999999999994"/>
    <n v="17.8"/>
    <n v="4.4400000000000004"/>
    <n v="1"/>
    <n v="0.57999999999999996"/>
    <n v="22.8"/>
    <n v="71"/>
    <n v="2.4500000000000002"/>
    <n v="59.333333333333343"/>
    <n v="67.099999999999994"/>
    <n v="22.25"/>
    <n v="11.1"/>
    <n v="2.5"/>
    <n v="29"/>
    <n v="67"/>
    <x v="3"/>
    <x v="3"/>
  </r>
  <r>
    <x v="3"/>
    <n v="67.099999999999994"/>
    <n v="160.80000000000001"/>
    <n v="52.9"/>
    <n v="8.2799999999999994"/>
    <n v="40.299999999999997"/>
    <n v="0.49"/>
    <n v="30.2"/>
    <n v="90.2"/>
    <n v="2.91"/>
    <n v="111.8333333333333"/>
    <n v="160.80000000000001"/>
    <n v="66.125"/>
    <n v="20.7"/>
    <n v="100.75"/>
    <n v="24.5"/>
    <n v="161"/>
    <x v="1"/>
    <x v="3"/>
  </r>
  <r>
    <x v="4"/>
    <n v="103.4"/>
    <n v="25"/>
    <n v="19.3"/>
    <n v="10.8"/>
    <n v="51.3"/>
    <n v="1.75"/>
    <n v="24.9"/>
    <n v="44.4"/>
    <n v="2.74"/>
    <n v="172.33333333333329"/>
    <n v="25"/>
    <n v="24.125"/>
    <n v="27"/>
    <n v="128.25"/>
    <n v="87.5"/>
    <n v="172"/>
    <x v="1"/>
    <x v="0"/>
  </r>
  <r>
    <x v="0"/>
    <n v="12.9"/>
    <n v="48.1"/>
    <n v="59.3"/>
    <n v="11.37"/>
    <n v="56.4"/>
    <n v="0.15"/>
    <n v="22.5"/>
    <n v="38"/>
    <n v="3.91"/>
    <n v="21.5"/>
    <n v="48.1"/>
    <n v="74.125"/>
    <n v="28.425000000000001"/>
    <n v="141"/>
    <n v="7.5"/>
    <n v="141"/>
    <x v="1"/>
    <x v="2"/>
  </r>
  <r>
    <x v="1"/>
    <n v="42.5"/>
    <n v="54.9"/>
    <n v="45.6"/>
    <n v="4.8"/>
    <n v="96.4"/>
    <n v="0.76"/>
    <n v="15.2"/>
    <n v="21.2"/>
    <n v="2.46"/>
    <n v="70.833333333333329"/>
    <n v="54.9"/>
    <n v="57"/>
    <n v="12"/>
    <n v="241"/>
    <n v="38"/>
    <n v="241"/>
    <x v="0"/>
    <x v="2"/>
  </r>
  <r>
    <x v="2"/>
    <n v="32.799999999999997"/>
    <n v="26"/>
    <n v="52.3"/>
    <n v="8.6199999999999992"/>
    <n v="37.299999999999997"/>
    <n v="1.53"/>
    <n v="29.6"/>
    <n v="45.2"/>
    <n v="1.25"/>
    <n v="54.666666666666657"/>
    <n v="26"/>
    <n v="65.375"/>
    <n v="21.55"/>
    <n v="93.25"/>
    <n v="76.5"/>
    <n v="93"/>
    <x v="3"/>
    <x v="2"/>
  </r>
  <r>
    <x v="3"/>
    <n v="67.599999999999994"/>
    <n v="115"/>
    <n v="38.700000000000003"/>
    <n v="3.01"/>
    <n v="55.2"/>
    <n v="0.6"/>
    <n v="24.3"/>
    <n v="86"/>
    <n v="1.71"/>
    <n v="112.6666666666667"/>
    <n v="115"/>
    <n v="48.375"/>
    <n v="7.5249999999999986"/>
    <n v="138"/>
    <n v="30"/>
    <n v="138"/>
    <x v="1"/>
    <x v="2"/>
  </r>
  <r>
    <x v="4"/>
    <n v="11.3"/>
    <n v="50"/>
    <n v="57.1"/>
    <n v="8.16"/>
    <n v="40.5"/>
    <n v="0.79"/>
    <n v="28.4"/>
    <n v="44.7"/>
    <n v="3.37"/>
    <n v="18.833333333333329"/>
    <n v="50"/>
    <n v="71.375000000000014"/>
    <n v="20.399999999999999"/>
    <n v="101.25"/>
    <n v="39.5"/>
    <n v="101"/>
    <x v="1"/>
    <x v="2"/>
  </r>
  <r>
    <x v="0"/>
    <n v="35"/>
    <n v="60.8"/>
    <n v="29.7"/>
    <n v="5.63"/>
    <n v="44.6"/>
    <n v="1.23"/>
    <n v="-0.8"/>
    <n v="45.5"/>
    <n v="2.0299999999999998"/>
    <n v="58.333333333333343"/>
    <n v="60.8"/>
    <n v="37.125"/>
    <n v="14.074999999999999"/>
    <n v="111.5"/>
    <n v="61.5"/>
    <n v="112"/>
    <x v="1"/>
    <x v="2"/>
  </r>
  <r>
    <x v="1"/>
    <n v="105.2"/>
    <n v="55.2"/>
    <n v="48.3"/>
    <n v="15.48"/>
    <n v="9"/>
    <n v="1.44"/>
    <n v="19.399999999999999"/>
    <n v="50.9"/>
    <n v="1.54"/>
    <n v="175.33333333333329"/>
    <n v="55.2"/>
    <n v="60.375"/>
    <n v="38.700000000000003"/>
    <n v="22.5"/>
    <n v="72"/>
    <n v="175"/>
    <x v="1"/>
    <x v="0"/>
  </r>
  <r>
    <x v="2"/>
    <n v="28.9"/>
    <n v="215.3"/>
    <n v="47"/>
    <n v="10.27"/>
    <n v="49.7"/>
    <n v="0.18"/>
    <n v="27.8"/>
    <n v="79.3"/>
    <n v="1.48"/>
    <n v="48.166666666666657"/>
    <n v="215.3"/>
    <n v="58.75"/>
    <n v="25.675000000000001"/>
    <n v="124.25"/>
    <n v="9"/>
    <n v="215"/>
    <x v="0"/>
    <x v="3"/>
  </r>
  <r>
    <x v="3"/>
    <n v="71.2"/>
    <n v="129.80000000000001"/>
    <n v="65.599999999999994"/>
    <n v="4.7300000000000004"/>
    <n v="12.6"/>
    <n v="0.79"/>
    <n v="35"/>
    <n v="27.1"/>
    <n v="0.2"/>
    <n v="118.6666666666667"/>
    <n v="129.80000000000001"/>
    <n v="81.999999999999986"/>
    <n v="11.824999999999999"/>
    <n v="31.5"/>
    <n v="39.5"/>
    <n v="130"/>
    <x v="1"/>
    <x v="3"/>
  </r>
  <r>
    <x v="4"/>
    <n v="55.2"/>
    <n v="82.2"/>
    <n v="39.700000000000003"/>
    <n v="11.2"/>
    <n v="28.8"/>
    <n v="7.0000000000000007E-2"/>
    <n v="39.299999999999997"/>
    <n v="42"/>
    <n v="1.73"/>
    <n v="92"/>
    <n v="82.2"/>
    <n v="49.625"/>
    <n v="28"/>
    <n v="72.000000000000014"/>
    <n v="3.5"/>
    <n v="92"/>
    <x v="3"/>
    <x v="0"/>
  </r>
  <r>
    <x v="0"/>
    <n v="85.7"/>
    <n v="89.2"/>
    <n v="40.200000000000003"/>
    <n v="9.58"/>
    <n v="77.2"/>
    <n v="0.92"/>
    <n v="35.6"/>
    <n v="21.6"/>
    <n v="3.41"/>
    <n v="142.83333333333329"/>
    <n v="89.2"/>
    <n v="50.25"/>
    <n v="23.95"/>
    <n v="193"/>
    <n v="46"/>
    <n v="193"/>
    <x v="1"/>
    <x v="2"/>
  </r>
  <r>
    <x v="1"/>
    <n v="34.799999999999997"/>
    <n v="202.3"/>
    <n v="47.8"/>
    <n v="4.6399999999999997"/>
    <n v="70.7"/>
    <n v="1.74"/>
    <n v="29.5"/>
    <n v="41.5"/>
    <n v="1.92"/>
    <n v="57.999999999999993"/>
    <n v="202.3"/>
    <n v="59.75"/>
    <n v="11.6"/>
    <n v="176.75"/>
    <n v="87"/>
    <n v="202"/>
    <x v="0"/>
    <x v="3"/>
  </r>
  <r>
    <x v="2"/>
    <n v="45.5"/>
    <n v="89.3"/>
    <n v="45.6"/>
    <n v="0.5"/>
    <n v="45.9"/>
    <n v="0.78"/>
    <n v="19.100000000000001"/>
    <n v="46.6"/>
    <n v="2.2400000000000002"/>
    <n v="75.833333333333343"/>
    <n v="89.3"/>
    <n v="57"/>
    <n v="1.25"/>
    <n v="114.75"/>
    <n v="39"/>
    <n v="115"/>
    <x v="1"/>
    <x v="2"/>
  </r>
  <r>
    <x v="3"/>
    <n v="2"/>
    <n v="62.3"/>
    <n v="22"/>
    <n v="8.5299999999999994"/>
    <n v="19.899999999999999"/>
    <n v="0.86"/>
    <n v="35.799999999999997"/>
    <n v="77.900000000000006"/>
    <n v="3.58"/>
    <n v="3.333333333333333"/>
    <n v="62.3"/>
    <n v="27.5"/>
    <n v="21.324999999999999"/>
    <n v="49.749999999999993"/>
    <n v="43"/>
    <n v="62"/>
    <x v="3"/>
    <x v="3"/>
  </r>
  <r>
    <x v="4"/>
    <n v="39.6"/>
    <n v="134.30000000000001"/>
    <n v="35.5"/>
    <n v="6.18"/>
    <n v="55.3"/>
    <n v="0.74"/>
    <n v="35.5"/>
    <n v="57.1"/>
    <n v="3.74"/>
    <n v="66"/>
    <n v="134.30000000000001"/>
    <n v="44.375"/>
    <n v="15.45"/>
    <n v="138.25"/>
    <n v="37"/>
    <n v="138"/>
    <x v="1"/>
    <x v="2"/>
  </r>
  <r>
    <x v="0"/>
    <n v="95.4"/>
    <n v="167.3"/>
    <n v="15.5"/>
    <n v="9.41"/>
    <n v="70.5"/>
    <n v="1.6"/>
    <n v="17.2"/>
    <n v="48.2"/>
    <n v="3.69"/>
    <n v="159"/>
    <n v="167.3"/>
    <n v="19.375"/>
    <n v="23.524999999999999"/>
    <n v="176.25"/>
    <n v="80"/>
    <n v="176"/>
    <x v="1"/>
    <x v="2"/>
  </r>
  <r>
    <x v="1"/>
    <n v="37.1"/>
    <n v="102"/>
    <n v="76.5"/>
    <n v="7.76"/>
    <n v="27.3"/>
    <n v="0.67"/>
    <n v="27.3"/>
    <n v="36"/>
    <n v="2.2000000000000002"/>
    <n v="61.833333333333343"/>
    <n v="102"/>
    <n v="95.625"/>
    <n v="19.399999999999999"/>
    <n v="68.25"/>
    <n v="33.5"/>
    <n v="102"/>
    <x v="1"/>
    <x v="3"/>
  </r>
  <r>
    <x v="2"/>
    <n v="53.2"/>
    <n v="150.4"/>
    <n v="44.3"/>
    <n v="3.37"/>
    <n v="66"/>
    <n v="0.78"/>
    <n v="16.399999999999999"/>
    <n v="56.9"/>
    <n v="4.2300000000000004"/>
    <n v="88.666666666666671"/>
    <n v="150.4"/>
    <n v="55.374999999999993"/>
    <n v="8.4250000000000007"/>
    <n v="165"/>
    <n v="39"/>
    <n v="165"/>
    <x v="1"/>
    <x v="2"/>
  </r>
  <r>
    <x v="3"/>
    <n v="52"/>
    <n v="96.6"/>
    <n v="62.2"/>
    <n v="0.67"/>
    <n v="7.9"/>
    <n v="0.18"/>
    <n v="27.6"/>
    <n v="63"/>
    <n v="4.3499999999999996"/>
    <n v="86.666666666666671"/>
    <n v="96.6"/>
    <n v="77.75"/>
    <n v="1.675"/>
    <n v="19.75"/>
    <n v="9"/>
    <n v="97"/>
    <x v="3"/>
    <x v="3"/>
  </r>
  <r>
    <x v="4"/>
    <n v="59.2"/>
    <n v="84.3"/>
    <n v="39.6"/>
    <n v="7.56"/>
    <n v="1"/>
    <n v="2.4900000000000002"/>
    <n v="28.6"/>
    <n v="63.8"/>
    <n v="3.74"/>
    <n v="98.666666666666671"/>
    <n v="84.3"/>
    <n v="49.5"/>
    <n v="18.899999999999999"/>
    <n v="2.5"/>
    <n v="124.5"/>
    <n v="125"/>
    <x v="1"/>
    <x v="4"/>
  </r>
  <r>
    <x v="0"/>
    <n v="74.8"/>
    <n v="102.6"/>
    <n v="29.8"/>
    <n v="10.119999999999999"/>
    <n v="57.1"/>
    <n v="0.66"/>
    <n v="34.9"/>
    <n v="65.3"/>
    <n v="3.38"/>
    <n v="124.6666666666667"/>
    <n v="102.6"/>
    <n v="37.25"/>
    <n v="25.3"/>
    <n v="142.75"/>
    <n v="33"/>
    <n v="143"/>
    <x v="1"/>
    <x v="2"/>
  </r>
  <r>
    <x v="1"/>
    <n v="101.8"/>
    <n v="121.3"/>
    <n v="51.3"/>
    <n v="12.05"/>
    <n v="27.3"/>
    <n v="1.23"/>
    <n v="25.9"/>
    <n v="42.8"/>
    <n v="5.28"/>
    <n v="169.66666666666671"/>
    <n v="121.3"/>
    <n v="64.125"/>
    <n v="30.125"/>
    <n v="68.25"/>
    <n v="61.5"/>
    <n v="170"/>
    <x v="1"/>
    <x v="0"/>
  </r>
  <r>
    <x v="2"/>
    <n v="13.5"/>
    <n v="32"/>
    <n v="54.2"/>
    <n v="8.7899999999999991"/>
    <n v="13.6"/>
    <n v="1.19"/>
    <n v="35.299999999999997"/>
    <n v="59.5"/>
    <n v="5.62"/>
    <n v="22.5"/>
    <n v="32"/>
    <n v="67.75"/>
    <n v="21.975000000000001"/>
    <n v="34"/>
    <n v="59.5"/>
    <n v="68"/>
    <x v="3"/>
    <x v="1"/>
  </r>
  <r>
    <x v="3"/>
    <n v="6.6"/>
    <n v="129.30000000000001"/>
    <n v="54.7"/>
    <n v="9.9700000000000006"/>
    <n v="34.9"/>
    <n v="0.82"/>
    <n v="28.1"/>
    <n v="74.7"/>
    <n v="3.22"/>
    <n v="11"/>
    <n v="129.30000000000001"/>
    <n v="68.375"/>
    <n v="24.925000000000001"/>
    <n v="87.25"/>
    <n v="40.999999999999993"/>
    <n v="129"/>
    <x v="1"/>
    <x v="3"/>
  </r>
  <r>
    <x v="4"/>
    <n v="80.3"/>
    <n v="51.8"/>
    <n v="35.6"/>
    <n v="2.9"/>
    <n v="33.4"/>
    <n v="1.59"/>
    <n v="25.8"/>
    <n v="100"/>
    <n v="3.23"/>
    <n v="133.83333333333329"/>
    <n v="51.8"/>
    <n v="44.500000000000007"/>
    <n v="7.2499999999999991"/>
    <n v="83.499999999999986"/>
    <n v="79.5"/>
    <n v="134"/>
    <x v="1"/>
    <x v="0"/>
  </r>
  <r>
    <x v="0"/>
    <n v="56.8"/>
    <n v="116.3"/>
    <n v="29.7"/>
    <n v="7.09"/>
    <n v="78.400000000000006"/>
    <n v="1.17"/>
    <n v="19.399999999999999"/>
    <n v="43.3"/>
    <n v="1.96"/>
    <n v="94.666666666666657"/>
    <n v="116.3"/>
    <n v="37.125"/>
    <n v="17.725000000000001"/>
    <n v="196"/>
    <n v="58.5"/>
    <n v="196"/>
    <x v="1"/>
    <x v="2"/>
  </r>
  <r>
    <x v="1"/>
    <n v="62.2"/>
    <n v="191.6"/>
    <n v="18.2"/>
    <n v="6.4"/>
    <n v="54.5"/>
    <n v="0.1"/>
    <n v="19.2"/>
    <n v="47.8"/>
    <n v="1.54"/>
    <n v="103.6666666666667"/>
    <n v="191.6"/>
    <n v="22.75"/>
    <n v="16"/>
    <n v="136.25"/>
    <n v="5"/>
    <n v="192"/>
    <x v="1"/>
    <x v="3"/>
  </r>
  <r>
    <x v="2"/>
    <n v="50"/>
    <n v="83.9"/>
    <n v="25.8"/>
    <n v="7.71"/>
    <n v="78.900000000000006"/>
    <n v="1.66"/>
    <n v="11.5"/>
    <n v="70.400000000000006"/>
    <n v="2.29"/>
    <n v="83.333333333333329"/>
    <n v="83.9"/>
    <n v="32.25"/>
    <n v="19.274999999999999"/>
    <n v="197.25"/>
    <n v="82.999999999999986"/>
    <n v="197"/>
    <x v="1"/>
    <x v="2"/>
  </r>
  <r>
    <x v="3"/>
    <n v="51.7"/>
    <n v="76.900000000000006"/>
    <n v="37.9"/>
    <n v="7.01"/>
    <n v="25.5"/>
    <n v="0.53"/>
    <n v="21.9"/>
    <n v="64.2"/>
    <n v="3.22"/>
    <n v="86.166666666666671"/>
    <n v="76.900000000000006"/>
    <n v="47.375"/>
    <n v="17.524999999999999"/>
    <n v="63.75"/>
    <n v="26.5"/>
    <n v="86"/>
    <x v="3"/>
    <x v="0"/>
  </r>
  <r>
    <x v="4"/>
    <n v="75.3"/>
    <n v="79.5"/>
    <n v="44.6"/>
    <n v="11.28"/>
    <n v="76.099999999999994"/>
    <n v="1.02"/>
    <n v="23.5"/>
    <n v="63.4"/>
    <n v="1.62"/>
    <n v="125.5"/>
    <n v="79.5"/>
    <n v="55.75"/>
    <n v="28.2"/>
    <n v="190.25"/>
    <n v="51.000000000000007"/>
    <n v="190"/>
    <x v="1"/>
    <x v="2"/>
  </r>
  <r>
    <x v="0"/>
    <n v="49.9"/>
    <n v="151.5"/>
    <n v="53.2"/>
    <n v="6.12"/>
    <n v="52.3"/>
    <n v="0.65"/>
    <n v="29.9"/>
    <n v="58.6"/>
    <n v="2.17"/>
    <n v="83.166666666666671"/>
    <n v="151.5"/>
    <n v="66.5"/>
    <n v="15.3"/>
    <n v="130.75"/>
    <n v="32.5"/>
    <n v="152"/>
    <x v="1"/>
    <x v="3"/>
  </r>
  <r>
    <x v="1"/>
    <n v="49.1"/>
    <n v="116.2"/>
    <n v="36"/>
    <n v="11.29"/>
    <n v="37.6"/>
    <n v="2.16"/>
    <n v="35.299999999999997"/>
    <n v="44"/>
    <n v="2.58"/>
    <n v="81.833333333333343"/>
    <n v="116.2"/>
    <n v="45"/>
    <n v="28.225000000000001"/>
    <n v="94"/>
    <n v="108"/>
    <n v="116"/>
    <x v="1"/>
    <x v="3"/>
  </r>
  <r>
    <x v="2"/>
    <n v="30.8"/>
    <n v="76.3"/>
    <n v="64.599999999999994"/>
    <n v="4.91"/>
    <n v="46.6"/>
    <n v="1.1599999999999999"/>
    <n v="18"/>
    <n v="44.6"/>
    <n v="1.05"/>
    <n v="51.333333333333343"/>
    <n v="76.3"/>
    <n v="80.749999999999986"/>
    <n v="12.275"/>
    <n v="116.5"/>
    <n v="57.999999999999993"/>
    <n v="116"/>
    <x v="1"/>
    <x v="2"/>
  </r>
  <r>
    <x v="3"/>
    <n v="26.7"/>
    <n v="5"/>
    <n v="44.7"/>
    <n v="14.62"/>
    <n v="43.7"/>
    <n v="0.28000000000000003"/>
    <n v="20.5"/>
    <n v="51.7"/>
    <n v="1.28"/>
    <n v="44.5"/>
    <n v="5"/>
    <n v="55.875"/>
    <n v="36.549999999999997"/>
    <n v="109.25"/>
    <n v="14"/>
    <n v="109"/>
    <x v="1"/>
    <x v="2"/>
  </r>
  <r>
    <x v="4"/>
    <n v="75.5"/>
    <n v="148.4"/>
    <n v="19.3"/>
    <n v="10.23"/>
    <n v="86"/>
    <n v="2.06"/>
    <n v="45.1"/>
    <n v="43.8"/>
    <n v="6.39"/>
    <n v="125.8333333333333"/>
    <n v="148.4"/>
    <n v="24.125"/>
    <n v="25.574999999999999"/>
    <n v="215"/>
    <n v="103"/>
    <n v="215"/>
    <x v="0"/>
    <x v="2"/>
  </r>
  <r>
    <x v="0"/>
    <n v="45.4"/>
    <n v="77.7"/>
    <n v="47.4"/>
    <n v="4.68"/>
    <n v="57.5"/>
    <n v="0.38"/>
    <n v="23.3"/>
    <n v="83.1"/>
    <n v="2.4300000000000002"/>
    <n v="75.666666666666657"/>
    <n v="77.7"/>
    <n v="59.25"/>
    <n v="11.7"/>
    <n v="143.75"/>
    <n v="19"/>
    <n v="144"/>
    <x v="1"/>
    <x v="2"/>
  </r>
  <r>
    <x v="1"/>
    <n v="64.2"/>
    <n v="148.5"/>
    <n v="68.400000000000006"/>
    <n v="0.5"/>
    <n v="68.3"/>
    <n v="1.04"/>
    <n v="26.2"/>
    <n v="79.099999999999994"/>
    <n v="1.07"/>
    <n v="107"/>
    <n v="148.5"/>
    <n v="85.5"/>
    <n v="1.25"/>
    <n v="170.75"/>
    <n v="52.000000000000007"/>
    <n v="171"/>
    <x v="1"/>
    <x v="2"/>
  </r>
  <r>
    <x v="2"/>
    <n v="22.5"/>
    <n v="5"/>
    <n v="25.9"/>
    <n v="11.14"/>
    <n v="35.1"/>
    <n v="0.3"/>
    <n v="21.6"/>
    <n v="33.200000000000003"/>
    <n v="1.1499999999999999"/>
    <n v="37.5"/>
    <n v="5"/>
    <n v="32.375"/>
    <n v="27.85"/>
    <n v="87.750000000000014"/>
    <n v="15"/>
    <n v="88"/>
    <x v="3"/>
    <x v="2"/>
  </r>
  <r>
    <x v="3"/>
    <n v="57.3"/>
    <n v="39.700000000000003"/>
    <n v="53.8"/>
    <n v="6.12"/>
    <n v="42.1"/>
    <n v="0.83"/>
    <n v="30.4"/>
    <n v="74.099999999999994"/>
    <n v="2.9"/>
    <n v="95.5"/>
    <n v="39.700000000000003"/>
    <n v="67.249999999999986"/>
    <n v="15.3"/>
    <n v="105.25"/>
    <n v="41.499999999999993"/>
    <n v="105"/>
    <x v="1"/>
    <x v="2"/>
  </r>
  <r>
    <x v="4"/>
    <n v="67.7"/>
    <n v="94.4"/>
    <n v="49.1"/>
    <n v="5.55"/>
    <n v="44.1"/>
    <n v="0.91"/>
    <n v="21.8"/>
    <n v="47.6"/>
    <n v="3.56"/>
    <n v="112.8333333333333"/>
    <n v="94.4"/>
    <n v="61.375"/>
    <n v="13.875"/>
    <n v="110.25"/>
    <n v="45.5"/>
    <n v="113"/>
    <x v="1"/>
    <x v="0"/>
  </r>
  <r>
    <x v="0"/>
    <n v="91.4"/>
    <n v="175"/>
    <n v="18.3"/>
    <n v="13.29"/>
    <n v="36.9"/>
    <n v="1.44"/>
    <n v="18.7"/>
    <n v="62.6"/>
    <n v="2.88"/>
    <n v="152.33333333333329"/>
    <n v="175"/>
    <n v="22.875"/>
    <n v="33.224999999999987"/>
    <n v="92.25"/>
    <n v="72"/>
    <n v="175"/>
    <x v="1"/>
    <x v="3"/>
  </r>
  <r>
    <x v="1"/>
    <n v="15.5"/>
    <n v="156.5"/>
    <n v="71.900000000000006"/>
    <n v="7.13"/>
    <n v="92.5"/>
    <n v="1.0900000000000001"/>
    <n v="30.9"/>
    <n v="20.100000000000001"/>
    <n v="5.4"/>
    <n v="25.833333333333329"/>
    <n v="156.5"/>
    <n v="89.875000000000014"/>
    <n v="17.824999999999999"/>
    <n v="231.25"/>
    <n v="54.500000000000007"/>
    <n v="231"/>
    <x v="0"/>
    <x v="2"/>
  </r>
  <r>
    <x v="2"/>
    <n v="79.7"/>
    <n v="78.2"/>
    <n v="4.2"/>
    <n v="7.17"/>
    <n v="3.7"/>
    <n v="1.1100000000000001"/>
    <n v="27.9"/>
    <n v="43.1"/>
    <n v="3.85"/>
    <n v="132.83333333333329"/>
    <n v="78.2"/>
    <n v="5.25"/>
    <n v="17.925000000000001"/>
    <n v="9.2500000000000018"/>
    <n v="55.500000000000007"/>
    <n v="133"/>
    <x v="1"/>
    <x v="0"/>
  </r>
  <r>
    <x v="3"/>
    <n v="67.3"/>
    <n v="142.80000000000001"/>
    <n v="36.1"/>
    <n v="0.74"/>
    <n v="64.400000000000006"/>
    <n v="0.83"/>
    <n v="15.3"/>
    <n v="84.3"/>
    <n v="5.0199999999999996"/>
    <n v="112.1666666666667"/>
    <n v="142.80000000000001"/>
    <n v="45.125"/>
    <n v="1.85"/>
    <n v="161"/>
    <n v="41.499999999999993"/>
    <n v="161"/>
    <x v="1"/>
    <x v="2"/>
  </r>
  <r>
    <x v="4"/>
    <n v="51.7"/>
    <n v="219.6"/>
    <n v="41.2"/>
    <n v="5.37"/>
    <n v="26.7"/>
    <n v="1.92"/>
    <n v="19.5"/>
    <n v="73.2"/>
    <n v="2.33"/>
    <n v="86.166666666666671"/>
    <n v="219.6"/>
    <n v="51.500000000000007"/>
    <n v="13.425000000000001"/>
    <n v="66.75"/>
    <n v="96"/>
    <n v="220"/>
    <x v="0"/>
    <x v="3"/>
  </r>
  <r>
    <x v="0"/>
    <n v="42.5"/>
    <n v="167.3"/>
    <n v="34.4"/>
    <n v="5.5"/>
    <n v="78.599999999999994"/>
    <n v="1.99"/>
    <n v="29.5"/>
    <n v="48.2"/>
    <n v="1.89"/>
    <n v="70.833333333333329"/>
    <n v="167.3"/>
    <n v="43"/>
    <n v="13.75"/>
    <n v="196.5"/>
    <n v="99.5"/>
    <n v="196"/>
    <x v="1"/>
    <x v="2"/>
  </r>
  <r>
    <x v="1"/>
    <n v="62.4"/>
    <n v="139.30000000000001"/>
    <n v="25.2"/>
    <n v="11.62"/>
    <n v="52.7"/>
    <n v="0.17"/>
    <n v="18.5"/>
    <n v="50.9"/>
    <n v="2.41"/>
    <n v="104"/>
    <n v="139.30000000000001"/>
    <n v="31.5"/>
    <n v="29.05"/>
    <n v="131.75"/>
    <n v="8.5"/>
    <n v="139"/>
    <x v="1"/>
    <x v="3"/>
  </r>
  <r>
    <x v="2"/>
    <n v="88.7"/>
    <n v="102.1"/>
    <n v="21.4"/>
    <n v="6.92"/>
    <n v="29.6"/>
    <n v="1.06"/>
    <n v="29.1"/>
    <n v="81.8"/>
    <n v="2.4700000000000002"/>
    <n v="147.83333333333329"/>
    <n v="102.1"/>
    <n v="26.75"/>
    <n v="17.3"/>
    <n v="74.000000000000014"/>
    <n v="53.000000000000007"/>
    <n v="148"/>
    <x v="1"/>
    <x v="0"/>
  </r>
  <r>
    <x v="3"/>
    <n v="87.3"/>
    <n v="139.6"/>
    <n v="24.7"/>
    <n v="15.24"/>
    <n v="48.2"/>
    <n v="0.56000000000000005"/>
    <n v="36.6"/>
    <n v="97.4"/>
    <n v="2.46"/>
    <n v="145.5"/>
    <n v="139.6"/>
    <n v="30.875"/>
    <n v="38.1"/>
    <n v="120.5"/>
    <n v="28"/>
    <n v="146"/>
    <x v="1"/>
    <x v="0"/>
  </r>
  <r>
    <x v="4"/>
    <n v="39.5"/>
    <n v="96.5"/>
    <n v="52.2"/>
    <n v="12.66"/>
    <n v="59.7"/>
    <n v="1.1100000000000001"/>
    <n v="35.5"/>
    <n v="54.4"/>
    <n v="4.24"/>
    <n v="65.833333333333329"/>
    <n v="96.5"/>
    <n v="65.25"/>
    <n v="31.65"/>
    <n v="149.25"/>
    <n v="55.500000000000007"/>
    <n v="149"/>
    <x v="1"/>
    <x v="2"/>
  </r>
  <r>
    <x v="0"/>
    <n v="47.2"/>
    <n v="134.19999999999999"/>
    <n v="39.299999999999997"/>
    <n v="7.1"/>
    <n v="35.200000000000003"/>
    <n v="1.85"/>
    <n v="19.899999999999999"/>
    <n v="46.7"/>
    <n v="5.05"/>
    <n v="78.666666666666671"/>
    <n v="134.19999999999999"/>
    <n v="49.124999999999993"/>
    <n v="17.75"/>
    <n v="88.000000000000014"/>
    <n v="92.5"/>
    <n v="134"/>
    <x v="1"/>
    <x v="3"/>
  </r>
  <r>
    <x v="1"/>
    <n v="89.3"/>
    <n v="5"/>
    <n v="33.700000000000003"/>
    <n v="0.5"/>
    <n v="20.3"/>
    <n v="0.05"/>
    <n v="24"/>
    <n v="39.4"/>
    <n v="2.57"/>
    <n v="148.83333333333329"/>
    <n v="5"/>
    <n v="42.125"/>
    <n v="1.25"/>
    <n v="50.75"/>
    <n v="2.5"/>
    <n v="149"/>
    <x v="1"/>
    <x v="0"/>
  </r>
  <r>
    <x v="2"/>
    <n v="8.5"/>
    <n v="95"/>
    <n v="27.9"/>
    <n v="11.79"/>
    <n v="71.5"/>
    <n v="1.27"/>
    <n v="22.7"/>
    <n v="95.7"/>
    <n v="0.64"/>
    <n v="14.16666666666667"/>
    <n v="95"/>
    <n v="34.874999999999993"/>
    <n v="29.475000000000001"/>
    <n v="178.75"/>
    <n v="63.5"/>
    <n v="179"/>
    <x v="1"/>
    <x v="2"/>
  </r>
  <r>
    <x v="3"/>
    <n v="14.3"/>
    <n v="92"/>
    <n v="72.099999999999994"/>
    <n v="5.59"/>
    <n v="35.4"/>
    <n v="0.27"/>
    <n v="31.6"/>
    <n v="77.2"/>
    <n v="3.45"/>
    <n v="23.833333333333339"/>
    <n v="92"/>
    <n v="90.125"/>
    <n v="13.975"/>
    <n v="88.5"/>
    <n v="13.5"/>
    <n v="92"/>
    <x v="3"/>
    <x v="3"/>
  </r>
  <r>
    <x v="4"/>
    <n v="36.200000000000003"/>
    <n v="68.3"/>
    <n v="16.8"/>
    <n v="7.41"/>
    <n v="14.3"/>
    <n v="0.43"/>
    <n v="22"/>
    <n v="51.2"/>
    <n v="2.35"/>
    <n v="60.333333333333343"/>
    <n v="68.3"/>
    <n v="21"/>
    <n v="18.524999999999999"/>
    <n v="35.750000000000007"/>
    <n v="21.5"/>
    <n v="68"/>
    <x v="3"/>
    <x v="3"/>
  </r>
  <r>
    <x v="0"/>
    <n v="68.099999999999994"/>
    <n v="114.8"/>
    <n v="36.1"/>
    <n v="8.1999999999999993"/>
    <n v="17.5"/>
    <n v="1.1599999999999999"/>
    <n v="26.1"/>
    <n v="32.9"/>
    <n v="3.69"/>
    <n v="113.5"/>
    <n v="114.8"/>
    <n v="45.125"/>
    <n v="20.5"/>
    <n v="43.75"/>
    <n v="57.999999999999993"/>
    <n v="115"/>
    <x v="1"/>
    <x v="3"/>
  </r>
  <r>
    <x v="1"/>
    <n v="33.6"/>
    <n v="125.4"/>
    <n v="68.3"/>
    <n v="12.63"/>
    <n v="51.1"/>
    <n v="0.98"/>
    <n v="31.6"/>
    <n v="72.099999999999994"/>
    <n v="1.76"/>
    <n v="56"/>
    <n v="125.4"/>
    <n v="85.374999999999986"/>
    <n v="31.574999999999999"/>
    <n v="127.75"/>
    <n v="49"/>
    <n v="128"/>
    <x v="1"/>
    <x v="2"/>
  </r>
  <r>
    <x v="2"/>
    <n v="27.5"/>
    <n v="5"/>
    <n v="36.5"/>
    <n v="5.77"/>
    <n v="65"/>
    <n v="1.08"/>
    <n v="34.299999999999997"/>
    <n v="47.4"/>
    <n v="3.87"/>
    <n v="45.833333333333329"/>
    <n v="5"/>
    <n v="45.625"/>
    <n v="14.425000000000001"/>
    <n v="162.5"/>
    <n v="54.000000000000007"/>
    <n v="162"/>
    <x v="1"/>
    <x v="2"/>
  </r>
  <r>
    <x v="3"/>
    <n v="35.299999999999997"/>
    <n v="133.30000000000001"/>
    <n v="12.7"/>
    <n v="7.34"/>
    <n v="1"/>
    <n v="0.83"/>
    <n v="28.1"/>
    <n v="50.6"/>
    <n v="1.24"/>
    <n v="58.833333333333329"/>
    <n v="133.30000000000001"/>
    <n v="15.875"/>
    <n v="18.350000000000001"/>
    <n v="2.5"/>
    <n v="41.499999999999993"/>
    <n v="133"/>
    <x v="1"/>
    <x v="3"/>
  </r>
  <r>
    <x v="4"/>
    <n v="75.099999999999994"/>
    <n v="100.1"/>
    <n v="31"/>
    <n v="7.22"/>
    <n v="116.5"/>
    <n v="1.67"/>
    <n v="33.1"/>
    <n v="67.8"/>
    <n v="3.2"/>
    <n v="125.1666666666666"/>
    <n v="100.1"/>
    <n v="38.75"/>
    <n v="18.05"/>
    <n v="291.25"/>
    <n v="83.499999999999986"/>
    <n v="291"/>
    <x v="0"/>
    <x v="2"/>
  </r>
  <r>
    <x v="0"/>
    <n v="2"/>
    <n v="72.900000000000006"/>
    <n v="32.6"/>
    <n v="0.5"/>
    <n v="12.7"/>
    <n v="0.05"/>
    <n v="24.7"/>
    <n v="74.7"/>
    <n v="3.83"/>
    <n v="3.333333333333333"/>
    <n v="72.900000000000006"/>
    <n v="40.75"/>
    <n v="1.25"/>
    <n v="31.75"/>
    <n v="2.5"/>
    <n v="73"/>
    <x v="3"/>
    <x v="3"/>
  </r>
  <r>
    <x v="1"/>
    <n v="72.400000000000006"/>
    <n v="62.2"/>
    <n v="6.4"/>
    <n v="0.5"/>
    <n v="10.3"/>
    <n v="0.67"/>
    <n v="23.9"/>
    <n v="41.7"/>
    <n v="2.91"/>
    <n v="120.6666666666667"/>
    <n v="62.2"/>
    <n v="8"/>
    <n v="1.25"/>
    <n v="25.75"/>
    <n v="33.5"/>
    <n v="121"/>
    <x v="1"/>
    <x v="0"/>
  </r>
  <r>
    <x v="2"/>
    <n v="40.299999999999997"/>
    <n v="91.7"/>
    <n v="51.5"/>
    <n v="1.6"/>
    <n v="47.9"/>
    <n v="0.91"/>
    <n v="22.7"/>
    <n v="75.900000000000006"/>
    <n v="3.55"/>
    <n v="67.166666666666671"/>
    <n v="91.7"/>
    <n v="64.375"/>
    <n v="4"/>
    <n v="119.75"/>
    <n v="45.5"/>
    <n v="120"/>
    <x v="1"/>
    <x v="2"/>
  </r>
  <r>
    <x v="3"/>
    <n v="25.3"/>
    <n v="87.3"/>
    <n v="40.5"/>
    <n v="5.31"/>
    <n v="54.6"/>
    <n v="1.0900000000000001"/>
    <n v="37.799999999999997"/>
    <n v="32.5"/>
    <n v="2.35"/>
    <n v="42.166666666666657"/>
    <n v="87.3"/>
    <n v="50.625"/>
    <n v="13.275"/>
    <n v="136.5"/>
    <n v="54.500000000000007"/>
    <n v="136"/>
    <x v="1"/>
    <x v="2"/>
  </r>
  <r>
    <x v="4"/>
    <n v="28.8"/>
    <n v="137.5"/>
    <n v="11.1"/>
    <n v="8.56"/>
    <n v="26.7"/>
    <n v="0.67"/>
    <n v="14.9"/>
    <n v="51.6"/>
    <n v="4.3"/>
    <n v="48"/>
    <n v="137.5"/>
    <n v="13.875"/>
    <n v="21.4"/>
    <n v="66.75"/>
    <n v="33.5"/>
    <n v="138"/>
    <x v="1"/>
    <x v="3"/>
  </r>
  <r>
    <x v="0"/>
    <n v="54.5"/>
    <n v="145"/>
    <n v="72"/>
    <n v="8.57"/>
    <n v="29.9"/>
    <n v="1.36"/>
    <n v="21.2"/>
    <n v="50.9"/>
    <n v="0.68"/>
    <n v="90.833333333333329"/>
    <n v="145"/>
    <n v="90"/>
    <n v="21.425000000000001"/>
    <n v="74.75"/>
    <n v="68"/>
    <n v="145"/>
    <x v="1"/>
    <x v="3"/>
  </r>
  <r>
    <x v="1"/>
    <n v="87.8"/>
    <n v="96.8"/>
    <n v="48.6"/>
    <n v="2.82"/>
    <n v="63.6"/>
    <n v="0.74"/>
    <n v="24"/>
    <n v="75.8"/>
    <n v="3.45"/>
    <n v="146.33333333333329"/>
    <n v="96.8"/>
    <n v="60.75"/>
    <n v="7.05"/>
    <n v="159"/>
    <n v="37"/>
    <n v="159"/>
    <x v="1"/>
    <x v="2"/>
  </r>
  <r>
    <x v="2"/>
    <n v="45.1"/>
    <n v="10.6"/>
    <n v="79.7"/>
    <n v="12.71"/>
    <n v="55.2"/>
    <n v="0.56999999999999995"/>
    <n v="24.2"/>
    <n v="50.2"/>
    <n v="4.0199999999999996"/>
    <n v="75.166666666666671"/>
    <n v="10.6"/>
    <n v="99.625"/>
    <n v="31.775000000000009"/>
    <n v="138"/>
    <n v="28.5"/>
    <n v="138"/>
    <x v="1"/>
    <x v="2"/>
  </r>
  <r>
    <x v="3"/>
    <n v="54.3"/>
    <n v="58.4"/>
    <n v="28.5"/>
    <n v="10.88"/>
    <n v="80"/>
    <n v="1.69"/>
    <n v="30.3"/>
    <n v="55.5"/>
    <n v="0.2"/>
    <n v="90.5"/>
    <n v="58.4"/>
    <n v="35.625"/>
    <n v="27.2"/>
    <n v="200"/>
    <n v="84.499999999999986"/>
    <n v="200"/>
    <x v="1"/>
    <x v="2"/>
  </r>
  <r>
    <x v="4"/>
    <n v="60.6"/>
    <n v="105.5"/>
    <n v="42.1"/>
    <n v="7.28"/>
    <n v="7.5"/>
    <n v="1.35"/>
    <n v="29.4"/>
    <n v="72.3"/>
    <n v="4.1399999999999997"/>
    <n v="101"/>
    <n v="105.5"/>
    <n v="52.625000000000007"/>
    <n v="18.2"/>
    <n v="18.75"/>
    <n v="67.5"/>
    <n v="106"/>
    <x v="1"/>
    <x v="3"/>
  </r>
  <r>
    <x v="0"/>
    <n v="71.900000000000006"/>
    <n v="87.8"/>
    <n v="40.1"/>
    <n v="7.78"/>
    <n v="49.1"/>
    <n v="1.66"/>
    <n v="29.5"/>
    <n v="97.4"/>
    <n v="5.15"/>
    <n v="119.8333333333333"/>
    <n v="87.8"/>
    <n v="50.125"/>
    <n v="19.45"/>
    <n v="122.75"/>
    <n v="82.999999999999986"/>
    <n v="123"/>
    <x v="1"/>
    <x v="2"/>
  </r>
  <r>
    <x v="1"/>
    <n v="62.4"/>
    <n v="5"/>
    <n v="69.7"/>
    <n v="5.3"/>
    <n v="25"/>
    <n v="0.96"/>
    <n v="21.9"/>
    <n v="71"/>
    <n v="0.63"/>
    <n v="104"/>
    <n v="5"/>
    <n v="87.125000000000014"/>
    <n v="13.25"/>
    <n v="62.5"/>
    <n v="48"/>
    <n v="104"/>
    <x v="1"/>
    <x v="0"/>
  </r>
  <r>
    <x v="2"/>
    <n v="21"/>
    <n v="106.8"/>
    <n v="43.7"/>
    <n v="8.52"/>
    <n v="19.3"/>
    <n v="0.47"/>
    <n v="21.5"/>
    <n v="64.3"/>
    <n v="4.28"/>
    <n v="35"/>
    <n v="106.8"/>
    <n v="54.625000000000007"/>
    <n v="21.3"/>
    <n v="48.25"/>
    <n v="23.5"/>
    <n v="107"/>
    <x v="1"/>
    <x v="3"/>
  </r>
  <r>
    <x v="3"/>
    <n v="2"/>
    <n v="85.4"/>
    <n v="14.7"/>
    <n v="0.5"/>
    <n v="64.2"/>
    <n v="1.22"/>
    <n v="28.1"/>
    <n v="76.599999999999994"/>
    <n v="1.92"/>
    <n v="3.333333333333333"/>
    <n v="85.4"/>
    <n v="18.375"/>
    <n v="1.25"/>
    <n v="160.5"/>
    <n v="61"/>
    <n v="160"/>
    <x v="1"/>
    <x v="2"/>
  </r>
  <r>
    <x v="4"/>
    <n v="41.4"/>
    <n v="221"/>
    <n v="35.299999999999997"/>
    <n v="10.27"/>
    <n v="44.2"/>
    <n v="0.08"/>
    <n v="10.7"/>
    <n v="49.6"/>
    <n v="4.2699999999999996"/>
    <n v="68.999999999999986"/>
    <n v="221"/>
    <n v="44.125"/>
    <n v="25.675000000000001"/>
    <n v="110.5"/>
    <n v="4"/>
    <n v="221"/>
    <x v="0"/>
    <x v="3"/>
  </r>
  <r>
    <x v="0"/>
    <n v="77"/>
    <n v="160.9"/>
    <n v="23.2"/>
    <n v="14.79"/>
    <n v="18.3"/>
    <n v="1.22"/>
    <n v="24.9"/>
    <n v="56.9"/>
    <n v="4.1100000000000003"/>
    <n v="128.33333333333329"/>
    <n v="160.9"/>
    <n v="29"/>
    <n v="36.975000000000001"/>
    <n v="45.75"/>
    <n v="61"/>
    <n v="161"/>
    <x v="1"/>
    <x v="3"/>
  </r>
  <r>
    <x v="1"/>
    <n v="38.799999999999997"/>
    <n v="39"/>
    <n v="45.4"/>
    <n v="6"/>
    <n v="155.5"/>
    <n v="1.61"/>
    <n v="22.1"/>
    <n v="41"/>
    <n v="0.24"/>
    <n v="64.666666666666657"/>
    <n v="39"/>
    <n v="56.749999999999993"/>
    <n v="15"/>
    <n v="388.75"/>
    <n v="80.5"/>
    <n v="389"/>
    <x v="2"/>
    <x v="2"/>
  </r>
  <r>
    <x v="2"/>
    <n v="22.2"/>
    <n v="96.4"/>
    <n v="55.9"/>
    <n v="10.34"/>
    <n v="43.4"/>
    <n v="0.76"/>
    <n v="26.9"/>
    <n v="50.7"/>
    <n v="4.5599999999999996"/>
    <n v="37"/>
    <n v="96.4"/>
    <n v="69.874999999999986"/>
    <n v="25.85"/>
    <n v="108.5"/>
    <n v="38"/>
    <n v="108"/>
    <x v="1"/>
    <x v="2"/>
  </r>
  <r>
    <x v="3"/>
    <n v="43.5"/>
    <n v="91.9"/>
    <n v="2"/>
    <n v="5.62"/>
    <n v="60.9"/>
    <n v="0.45"/>
    <n v="19.7"/>
    <n v="74.3"/>
    <n v="0.73"/>
    <n v="72.5"/>
    <n v="91.9"/>
    <n v="2.5"/>
    <n v="14.05"/>
    <n v="152.25"/>
    <n v="22.5"/>
    <n v="152"/>
    <x v="1"/>
    <x v="2"/>
  </r>
  <r>
    <x v="4"/>
    <n v="80.7"/>
    <n v="77.5"/>
    <n v="32.799999999999997"/>
    <n v="2.09"/>
    <n v="54.4"/>
    <n v="2.35"/>
    <n v="30.5"/>
    <n v="44.4"/>
    <n v="4.3600000000000003"/>
    <n v="134.5"/>
    <n v="77.5"/>
    <n v="40.999999999999993"/>
    <n v="5.2249999999999996"/>
    <n v="136"/>
    <n v="117.5"/>
    <n v="136"/>
    <x v="1"/>
    <x v="2"/>
  </r>
  <r>
    <x v="0"/>
    <n v="46.5"/>
    <n v="186.3"/>
    <n v="56.2"/>
    <n v="0.5"/>
    <n v="17.100000000000001"/>
    <n v="1.63"/>
    <n v="26.1"/>
    <n v="41.6"/>
    <n v="1.74"/>
    <n v="77.5"/>
    <n v="186.3"/>
    <n v="70.25"/>
    <n v="1.25"/>
    <n v="42.75"/>
    <n v="81.499999999999986"/>
    <n v="186"/>
    <x v="1"/>
    <x v="3"/>
  </r>
  <r>
    <x v="1"/>
    <n v="2.8"/>
    <n v="114.7"/>
    <n v="89.2"/>
    <n v="12.02"/>
    <n v="118.5"/>
    <n v="1.73"/>
    <n v="32.200000000000003"/>
    <n v="95.5"/>
    <n v="2.95"/>
    <n v="4.6666666666666661"/>
    <n v="114.7"/>
    <n v="111.5"/>
    <n v="30.05"/>
    <n v="296.25"/>
    <n v="86.5"/>
    <n v="296"/>
    <x v="0"/>
    <x v="2"/>
  </r>
  <r>
    <x v="2"/>
    <n v="41.3"/>
    <n v="138.30000000000001"/>
    <n v="56.3"/>
    <n v="4.26"/>
    <n v="20.9"/>
    <n v="0.98"/>
    <n v="30.8"/>
    <n v="74.400000000000006"/>
    <n v="0.79"/>
    <n v="68.833333333333329"/>
    <n v="138.30000000000001"/>
    <n v="70.375"/>
    <n v="10.65"/>
    <n v="52.25"/>
    <n v="49"/>
    <n v="138"/>
    <x v="1"/>
    <x v="3"/>
  </r>
  <r>
    <x v="3"/>
    <n v="93.9"/>
    <n v="65.2"/>
    <n v="31.8"/>
    <n v="2.79"/>
    <n v="107.5"/>
    <n v="1.08"/>
    <n v="19"/>
    <n v="75.599999999999994"/>
    <n v="3.42"/>
    <n v="156.5"/>
    <n v="65.2"/>
    <n v="39.75"/>
    <n v="6.9750000000000014"/>
    <n v="268.75"/>
    <n v="54.000000000000007"/>
    <n v="269"/>
    <x v="0"/>
    <x v="2"/>
  </r>
  <r>
    <x v="4"/>
    <n v="47.8"/>
    <n v="150"/>
    <n v="25.1"/>
    <n v="4.87"/>
    <n v="1"/>
    <n v="0.36"/>
    <n v="37.700000000000003"/>
    <n v="89.5"/>
    <n v="3.08"/>
    <n v="79.666666666666657"/>
    <n v="150"/>
    <n v="31.375"/>
    <n v="12.175000000000001"/>
    <n v="2.5"/>
    <n v="18"/>
    <n v="150"/>
    <x v="1"/>
    <x v="3"/>
  </r>
  <r>
    <x v="0"/>
    <n v="101.1"/>
    <n v="101.6"/>
    <n v="36.9"/>
    <n v="7.62"/>
    <n v="42.4"/>
    <n v="0.99"/>
    <n v="33"/>
    <n v="62.7"/>
    <n v="3.35"/>
    <n v="168.5"/>
    <n v="101.6"/>
    <n v="46.125"/>
    <n v="19.05"/>
    <n v="106"/>
    <n v="49.5"/>
    <n v="168"/>
    <x v="1"/>
    <x v="0"/>
  </r>
  <r>
    <x v="1"/>
    <n v="90.9"/>
    <n v="143.30000000000001"/>
    <n v="25.6"/>
    <n v="1.24"/>
    <n v="54.6"/>
    <n v="1.1000000000000001"/>
    <n v="25.6"/>
    <n v="59.7"/>
    <n v="5.6"/>
    <n v="151.5"/>
    <n v="143.30000000000001"/>
    <n v="32"/>
    <n v="3.1"/>
    <n v="136.5"/>
    <n v="55.000000000000007"/>
    <n v="152"/>
    <x v="1"/>
    <x v="0"/>
  </r>
  <r>
    <x v="2"/>
    <n v="15.3"/>
    <n v="5"/>
    <n v="39.299999999999997"/>
    <n v="4.6500000000000004"/>
    <n v="45.5"/>
    <n v="1.18"/>
    <n v="34"/>
    <n v="32.9"/>
    <n v="1.83"/>
    <n v="25.5"/>
    <n v="5"/>
    <n v="49.124999999999993"/>
    <n v="11.625"/>
    <n v="113.75"/>
    <n v="59"/>
    <n v="114"/>
    <x v="1"/>
    <x v="2"/>
  </r>
  <r>
    <x v="3"/>
    <n v="58.3"/>
    <n v="133"/>
    <n v="71.099999999999994"/>
    <n v="10.220000000000001"/>
    <n v="38.6"/>
    <n v="0.53"/>
    <n v="21"/>
    <n v="49.3"/>
    <n v="3.29"/>
    <n v="97.166666666666671"/>
    <n v="133"/>
    <n v="88.875"/>
    <n v="25.55"/>
    <n v="96.5"/>
    <n v="26.5"/>
    <n v="133"/>
    <x v="1"/>
    <x v="3"/>
  </r>
  <r>
    <x v="4"/>
    <n v="59.6"/>
    <n v="35.700000000000003"/>
    <n v="31.9"/>
    <n v="10.9"/>
    <n v="53.7"/>
    <n v="1.36"/>
    <n v="27.7"/>
    <n v="89.3"/>
    <n v="3.28"/>
    <n v="99.333333333333329"/>
    <n v="35.700000000000003"/>
    <n v="39.875"/>
    <n v="27.25"/>
    <n v="134.25"/>
    <n v="68"/>
    <n v="134"/>
    <x v="1"/>
    <x v="2"/>
  </r>
  <r>
    <x v="0"/>
    <n v="44.5"/>
    <n v="59.9"/>
    <n v="46"/>
    <n v="0.5"/>
    <n v="40.700000000000003"/>
    <n v="0.99"/>
    <n v="15.4"/>
    <n v="43.3"/>
    <n v="3.47"/>
    <n v="74.166666666666671"/>
    <n v="59.9"/>
    <n v="57.5"/>
    <n v="1.25"/>
    <n v="101.75"/>
    <n v="49.5"/>
    <n v="102"/>
    <x v="1"/>
    <x v="2"/>
  </r>
  <r>
    <x v="1"/>
    <n v="66.900000000000006"/>
    <n v="126.1"/>
    <n v="51.1"/>
    <n v="8.4600000000000009"/>
    <n v="88.8"/>
    <n v="1.27"/>
    <n v="14.8"/>
    <n v="89.3"/>
    <n v="2.94"/>
    <n v="111.5"/>
    <n v="126.1"/>
    <n v="63.875"/>
    <n v="21.15"/>
    <n v="222"/>
    <n v="63.5"/>
    <n v="222"/>
    <x v="0"/>
    <x v="2"/>
  </r>
  <r>
    <x v="2"/>
    <n v="32.200000000000003"/>
    <n v="34"/>
    <n v="40.200000000000003"/>
    <n v="5.63"/>
    <n v="75.400000000000006"/>
    <n v="0.75"/>
    <n v="19.100000000000001"/>
    <n v="76.099999999999994"/>
    <n v="3.61"/>
    <n v="53.666666666666671"/>
    <n v="34"/>
    <n v="50.25"/>
    <n v="14.074999999999999"/>
    <n v="188.5"/>
    <n v="37.5"/>
    <n v="188"/>
    <x v="1"/>
    <x v="2"/>
  </r>
  <r>
    <x v="3"/>
    <n v="52"/>
    <n v="128.5"/>
    <n v="35.4"/>
    <n v="7.34"/>
    <n v="69.099999999999994"/>
    <n v="1.26"/>
    <n v="23.8"/>
    <n v="84.3"/>
    <n v="0.2"/>
    <n v="86.666666666666671"/>
    <n v="128.5"/>
    <n v="44.25"/>
    <n v="18.350000000000001"/>
    <n v="172.75"/>
    <n v="63"/>
    <n v="173"/>
    <x v="1"/>
    <x v="2"/>
  </r>
  <r>
    <x v="4"/>
    <n v="107"/>
    <n v="15.5"/>
    <n v="28.6"/>
    <n v="6.86"/>
    <n v="40"/>
    <n v="1.59"/>
    <n v="17.600000000000001"/>
    <n v="64.7"/>
    <n v="2.31"/>
    <n v="178.33333333333329"/>
    <n v="15.5"/>
    <n v="35.750000000000007"/>
    <n v="17.149999999999999"/>
    <n v="100"/>
    <n v="79.5"/>
    <n v="178"/>
    <x v="1"/>
    <x v="0"/>
  </r>
  <r>
    <x v="0"/>
    <n v="63.3"/>
    <n v="106.8"/>
    <n v="43.1"/>
    <n v="4.83"/>
    <n v="31.3"/>
    <n v="1.26"/>
    <n v="31.6"/>
    <n v="49.2"/>
    <n v="1.46"/>
    <n v="105.5"/>
    <n v="106.8"/>
    <n v="53.875"/>
    <n v="12.074999999999999"/>
    <n v="78.25"/>
    <n v="63"/>
    <n v="107"/>
    <x v="1"/>
    <x v="3"/>
  </r>
  <r>
    <x v="1"/>
    <n v="78.400000000000006"/>
    <n v="118"/>
    <n v="61.6"/>
    <n v="3.47"/>
    <n v="1"/>
    <n v="0.88"/>
    <n v="19.600000000000001"/>
    <n v="58.6"/>
    <n v="1.74"/>
    <n v="130.66666666666671"/>
    <n v="118"/>
    <n v="77"/>
    <n v="8.6750000000000007"/>
    <n v="2.5"/>
    <n v="44"/>
    <n v="131"/>
    <x v="1"/>
    <x v="0"/>
  </r>
  <r>
    <x v="2"/>
    <n v="62.5"/>
    <n v="78.099999999999994"/>
    <n v="36.5"/>
    <n v="6.68"/>
    <n v="42.6"/>
    <n v="0.9"/>
    <n v="28.6"/>
    <n v="45.7"/>
    <n v="4.18"/>
    <n v="104.1666666666667"/>
    <n v="78.099999999999994"/>
    <n v="45.625"/>
    <n v="16.7"/>
    <n v="106.5"/>
    <n v="45"/>
    <n v="106"/>
    <x v="1"/>
    <x v="2"/>
  </r>
  <r>
    <x v="3"/>
    <n v="42.3"/>
    <n v="33"/>
    <n v="39"/>
    <n v="3"/>
    <n v="56.6"/>
    <n v="2.02"/>
    <n v="19.5"/>
    <n v="66"/>
    <n v="0.39"/>
    <n v="70.5"/>
    <n v="33"/>
    <n v="48.75"/>
    <n v="7.5"/>
    <n v="141.5"/>
    <n v="101"/>
    <n v="142"/>
    <x v="1"/>
    <x v="2"/>
  </r>
  <r>
    <x v="4"/>
    <n v="64.8"/>
    <n v="58.8"/>
    <n v="28.6"/>
    <n v="2.19"/>
    <n v="64.099999999999994"/>
    <n v="1.59"/>
    <n v="25.2"/>
    <n v="44.4"/>
    <n v="4.91"/>
    <n v="108"/>
    <n v="58.8"/>
    <n v="35.750000000000007"/>
    <n v="5.4749999999999996"/>
    <n v="160.25"/>
    <n v="79.5"/>
    <n v="160"/>
    <x v="1"/>
    <x v="2"/>
  </r>
  <r>
    <x v="0"/>
    <n v="34.5"/>
    <n v="5"/>
    <n v="49.8"/>
    <n v="2.2799999999999998"/>
    <n v="74.400000000000006"/>
    <n v="0.89"/>
    <n v="29.2"/>
    <n v="85.2"/>
    <n v="1.05"/>
    <n v="57.5"/>
    <n v="5"/>
    <n v="62.25"/>
    <n v="5.6999999999999993"/>
    <n v="186"/>
    <n v="44.5"/>
    <n v="186"/>
    <x v="1"/>
    <x v="2"/>
  </r>
  <r>
    <x v="1"/>
    <n v="43"/>
    <n v="115.5"/>
    <n v="75.8"/>
    <n v="4.71"/>
    <n v="31.4"/>
    <n v="1.49"/>
    <n v="21"/>
    <n v="62.7"/>
    <n v="0.64"/>
    <n v="71.666666666666671"/>
    <n v="115.5"/>
    <n v="94.75"/>
    <n v="11.775"/>
    <n v="78.5"/>
    <n v="74.5"/>
    <n v="116"/>
    <x v="1"/>
    <x v="3"/>
  </r>
  <r>
    <x v="2"/>
    <n v="96.1"/>
    <n v="29.7"/>
    <n v="29.3"/>
    <n v="5.96"/>
    <n v="83.4"/>
    <n v="0.31"/>
    <n v="38.9"/>
    <n v="73.599999999999994"/>
    <n v="3"/>
    <n v="160.16666666666671"/>
    <n v="29.7"/>
    <n v="36.625"/>
    <n v="14.9"/>
    <n v="208.5"/>
    <n v="15.5"/>
    <n v="209"/>
    <x v="0"/>
    <x v="2"/>
  </r>
  <r>
    <x v="3"/>
    <n v="24.4"/>
    <n v="123.4"/>
    <n v="24.4"/>
    <n v="11.47"/>
    <n v="15.7"/>
    <n v="0.91"/>
    <n v="21.1"/>
    <n v="42.2"/>
    <n v="3.39"/>
    <n v="40.666666666666657"/>
    <n v="123.4"/>
    <n v="30.5"/>
    <n v="28.675000000000001"/>
    <n v="39.25"/>
    <n v="45.5"/>
    <n v="123"/>
    <x v="1"/>
    <x v="3"/>
  </r>
  <r>
    <x v="4"/>
    <n v="66.900000000000006"/>
    <n v="169.4"/>
    <n v="8.3000000000000007"/>
    <n v="11.72"/>
    <n v="112.9"/>
    <n v="0.82"/>
    <n v="38.299999999999997"/>
    <n v="55.3"/>
    <n v="1.35"/>
    <n v="111.5"/>
    <n v="169.4"/>
    <n v="10.375"/>
    <n v="29.3"/>
    <n v="282.25"/>
    <n v="40.999999999999993"/>
    <n v="282"/>
    <x v="0"/>
    <x v="2"/>
  </r>
  <r>
    <x v="0"/>
    <n v="46.8"/>
    <n v="168.3"/>
    <n v="26"/>
    <n v="4.5999999999999996"/>
    <n v="63.1"/>
    <n v="1.1100000000000001"/>
    <n v="29.1"/>
    <n v="64.3"/>
    <n v="3.08"/>
    <n v="78"/>
    <n v="168.3"/>
    <n v="32.5"/>
    <n v="11.5"/>
    <n v="157.75"/>
    <n v="55.500000000000007"/>
    <n v="168"/>
    <x v="1"/>
    <x v="3"/>
  </r>
  <r>
    <x v="1"/>
    <n v="47"/>
    <n v="133.9"/>
    <n v="26.5"/>
    <n v="14.44"/>
    <n v="30.2"/>
    <n v="1.88"/>
    <n v="23.4"/>
    <n v="63.6"/>
    <n v="1.91"/>
    <n v="78.333333333333343"/>
    <n v="133.9"/>
    <n v="33.125"/>
    <n v="36.1"/>
    <n v="75.5"/>
    <n v="94"/>
    <n v="134"/>
    <x v="1"/>
    <x v="3"/>
  </r>
  <r>
    <x v="2"/>
    <n v="22.4"/>
    <n v="11.6"/>
    <n v="18.2"/>
    <n v="4.8499999999999996"/>
    <n v="43"/>
    <n v="1.37"/>
    <n v="21.9"/>
    <n v="44.1"/>
    <n v="0.77"/>
    <n v="37.333333333333329"/>
    <n v="11.6"/>
    <n v="22.75"/>
    <n v="12.125"/>
    <n v="107.5"/>
    <n v="68.5"/>
    <n v="108"/>
    <x v="1"/>
    <x v="2"/>
  </r>
  <r>
    <x v="3"/>
    <n v="59.5"/>
    <n v="162.4"/>
    <n v="56.3"/>
    <n v="9.24"/>
    <n v="56"/>
    <n v="1.77"/>
    <n v="27.3"/>
    <n v="71.599999999999994"/>
    <n v="2.12"/>
    <n v="99.166666666666671"/>
    <n v="162.4"/>
    <n v="70.375"/>
    <n v="23.1"/>
    <n v="140"/>
    <n v="88.5"/>
    <n v="162"/>
    <x v="1"/>
    <x v="3"/>
  </r>
  <r>
    <x v="4"/>
    <n v="16.8"/>
    <n v="69.5"/>
    <n v="39.4"/>
    <n v="7.31"/>
    <n v="97"/>
    <n v="1.1000000000000001"/>
    <n v="33.299999999999997"/>
    <n v="52.2"/>
    <n v="2.63"/>
    <n v="28"/>
    <n v="69.5"/>
    <n v="49.249999999999993"/>
    <n v="18.274999999999999"/>
    <n v="242.5"/>
    <n v="55.000000000000007"/>
    <n v="242"/>
    <x v="0"/>
    <x v="2"/>
  </r>
  <r>
    <x v="0"/>
    <n v="18.5"/>
    <n v="69.400000000000006"/>
    <n v="51.1"/>
    <n v="7.39"/>
    <n v="73.099999999999994"/>
    <n v="1.2"/>
    <n v="22.5"/>
    <n v="98.7"/>
    <n v="2.39"/>
    <n v="30.833333333333339"/>
    <n v="69.400000000000006"/>
    <n v="63.875"/>
    <n v="18.475000000000001"/>
    <n v="182.75"/>
    <n v="60"/>
    <n v="183"/>
    <x v="1"/>
    <x v="2"/>
  </r>
  <r>
    <x v="1"/>
    <n v="94.9"/>
    <n v="95.9"/>
    <n v="59.2"/>
    <n v="12.64"/>
    <n v="56.5"/>
    <n v="0.05"/>
    <n v="25.1"/>
    <n v="82.1"/>
    <n v="3.13"/>
    <n v="158.16666666666671"/>
    <n v="95.9"/>
    <n v="74.000000000000014"/>
    <n v="31.6"/>
    <n v="141.25"/>
    <n v="2.5"/>
    <n v="158"/>
    <x v="1"/>
    <x v="0"/>
  </r>
  <r>
    <x v="2"/>
    <n v="55.8"/>
    <n v="12.7"/>
    <n v="23.2"/>
    <n v="7.64"/>
    <n v="47.7"/>
    <n v="1.47"/>
    <n v="24"/>
    <n v="67.3"/>
    <n v="2.52"/>
    <n v="93"/>
    <n v="12.7"/>
    <n v="29"/>
    <n v="19.100000000000001"/>
    <n v="119.25"/>
    <n v="73.5"/>
    <n v="119"/>
    <x v="1"/>
    <x v="2"/>
  </r>
  <r>
    <x v="3"/>
    <n v="24.3"/>
    <n v="5"/>
    <n v="42.9"/>
    <n v="7.1"/>
    <n v="24.5"/>
    <n v="0.18"/>
    <n v="29.4"/>
    <n v="55.2"/>
    <n v="3.17"/>
    <n v="40.5"/>
    <n v="5"/>
    <n v="53.625"/>
    <n v="17.75"/>
    <n v="61.25"/>
    <n v="9"/>
    <n v="61"/>
    <x v="3"/>
    <x v="2"/>
  </r>
  <r>
    <x v="4"/>
    <n v="102"/>
    <n v="5"/>
    <n v="27.3"/>
    <n v="6.12"/>
    <n v="84"/>
    <n v="0.19"/>
    <n v="38.6"/>
    <n v="62.4"/>
    <n v="2.88"/>
    <n v="170"/>
    <n v="5"/>
    <n v="34.125"/>
    <n v="15.3"/>
    <n v="210"/>
    <n v="9.5"/>
    <n v="210"/>
    <x v="0"/>
    <x v="2"/>
  </r>
  <r>
    <x v="0"/>
    <n v="49.7"/>
    <n v="86.3"/>
    <n v="60.7"/>
    <n v="2.44"/>
    <n v="55.9"/>
    <n v="0.89"/>
    <n v="19.7"/>
    <n v="100"/>
    <n v="3"/>
    <n v="82.833333333333343"/>
    <n v="86.3"/>
    <n v="75.875"/>
    <n v="6.1"/>
    <n v="139.75"/>
    <n v="44.5"/>
    <n v="140"/>
    <x v="1"/>
    <x v="2"/>
  </r>
  <r>
    <x v="1"/>
    <n v="78.400000000000006"/>
    <n v="188.3"/>
    <n v="16.600000000000001"/>
    <n v="16.760000000000002"/>
    <n v="1"/>
    <n v="0.74"/>
    <n v="21.8"/>
    <n v="70.5"/>
    <n v="2.76"/>
    <n v="130.66666666666671"/>
    <n v="188.3"/>
    <n v="20.75"/>
    <n v="41.900000000000013"/>
    <n v="2.5"/>
    <n v="37"/>
    <n v="188"/>
    <x v="1"/>
    <x v="3"/>
  </r>
  <r>
    <x v="2"/>
    <n v="41.8"/>
    <n v="90.7"/>
    <n v="19.3"/>
    <n v="0.5"/>
    <n v="55.3"/>
    <n v="1.23"/>
    <n v="36.1"/>
    <n v="45.8"/>
    <n v="3.33"/>
    <n v="69.666666666666671"/>
    <n v="90.7"/>
    <n v="24.125"/>
    <n v="1.25"/>
    <n v="138.25"/>
    <n v="61.5"/>
    <n v="138"/>
    <x v="1"/>
    <x v="2"/>
  </r>
  <r>
    <x v="3"/>
    <n v="41.2"/>
    <n v="153.1"/>
    <n v="52.4"/>
    <n v="7.24"/>
    <n v="31.5"/>
    <n v="1.42"/>
    <n v="29.5"/>
    <n v="47.7"/>
    <n v="0.91"/>
    <n v="68.666666666666671"/>
    <n v="153.1"/>
    <n v="65.5"/>
    <n v="18.100000000000001"/>
    <n v="78.75"/>
    <n v="71"/>
    <n v="153"/>
    <x v="1"/>
    <x v="3"/>
  </r>
  <r>
    <x v="4"/>
    <n v="45.2"/>
    <n v="185.6"/>
    <n v="59.8"/>
    <n v="2.15"/>
    <n v="11.9"/>
    <n v="1.73"/>
    <n v="17.100000000000001"/>
    <n v="69.2"/>
    <n v="2.2599999999999998"/>
    <n v="75.333333333333329"/>
    <n v="185.6"/>
    <n v="74.75"/>
    <n v="5.375"/>
    <n v="29.75"/>
    <n v="86.5"/>
    <n v="186"/>
    <x v="1"/>
    <x v="3"/>
  </r>
  <r>
    <x v="0"/>
    <n v="99.8"/>
    <n v="67.900000000000006"/>
    <n v="62.4"/>
    <n v="8.2100000000000009"/>
    <n v="53.3"/>
    <n v="0.05"/>
    <n v="9.6"/>
    <n v="56"/>
    <n v="2.8"/>
    <n v="166.33333333333329"/>
    <n v="67.900000000000006"/>
    <n v="78"/>
    <n v="20.524999999999999"/>
    <n v="133.25"/>
    <n v="2.5"/>
    <n v="166"/>
    <x v="1"/>
    <x v="0"/>
  </r>
  <r>
    <x v="1"/>
    <n v="26.2"/>
    <n v="54.7"/>
    <n v="56.2"/>
    <n v="10.81"/>
    <n v="45.7"/>
    <n v="1.67"/>
    <n v="16.8"/>
    <n v="53.6"/>
    <n v="4.4800000000000004"/>
    <n v="43.666666666666657"/>
    <n v="54.7"/>
    <n v="70.25"/>
    <n v="27.024999999999999"/>
    <n v="114.25"/>
    <n v="83.499999999999986"/>
    <n v="114"/>
    <x v="1"/>
    <x v="2"/>
  </r>
  <r>
    <x v="2"/>
    <n v="47.2"/>
    <n v="97"/>
    <n v="69.3"/>
    <n v="0.76"/>
    <n v="56.9"/>
    <n v="1.67"/>
    <n v="22.7"/>
    <n v="75.5"/>
    <n v="1.32"/>
    <n v="78.666666666666671"/>
    <n v="97"/>
    <n v="86.625"/>
    <n v="1.9"/>
    <n v="142.25"/>
    <n v="83.499999999999986"/>
    <n v="142"/>
    <x v="1"/>
    <x v="2"/>
  </r>
  <r>
    <x v="3"/>
    <n v="31.5"/>
    <n v="114.5"/>
    <n v="48.8"/>
    <n v="10.88"/>
    <n v="79.2"/>
    <n v="0.93"/>
    <n v="33.4"/>
    <n v="53.8"/>
    <n v="3.58"/>
    <n v="52.5"/>
    <n v="114.5"/>
    <n v="61"/>
    <n v="27.2"/>
    <n v="198"/>
    <n v="46.5"/>
    <n v="198"/>
    <x v="1"/>
    <x v="2"/>
  </r>
  <r>
    <x v="4"/>
    <n v="58.3"/>
    <n v="129.1"/>
    <n v="47.1"/>
    <n v="0.5"/>
    <n v="13.1"/>
    <n v="1.1100000000000001"/>
    <n v="13.2"/>
    <n v="75"/>
    <n v="4.05"/>
    <n v="97.166666666666671"/>
    <n v="129.1"/>
    <n v="58.875000000000007"/>
    <n v="1.25"/>
    <n v="32.75"/>
    <n v="55.500000000000007"/>
    <n v="129"/>
    <x v="1"/>
    <x v="3"/>
  </r>
  <r>
    <x v="0"/>
    <n v="64.2"/>
    <n v="48.5"/>
    <n v="66.8"/>
    <n v="16.73"/>
    <n v="50.2"/>
    <n v="1.39"/>
    <n v="26.4"/>
    <n v="69.5"/>
    <n v="2.36"/>
    <n v="107"/>
    <n v="48.5"/>
    <n v="83.499999999999986"/>
    <n v="41.825000000000003"/>
    <n v="125.5"/>
    <n v="69.499999999999986"/>
    <n v="126"/>
    <x v="1"/>
    <x v="2"/>
  </r>
  <r>
    <x v="1"/>
    <n v="59"/>
    <n v="174.3"/>
    <n v="91.9"/>
    <n v="1"/>
    <n v="46.8"/>
    <n v="0.49"/>
    <n v="36.1"/>
    <n v="49.4"/>
    <n v="0.77"/>
    <n v="98.333333333333329"/>
    <n v="174.3"/>
    <n v="114.875"/>
    <n v="2.5"/>
    <n v="117"/>
    <n v="24.5"/>
    <n v="174"/>
    <x v="1"/>
    <x v="3"/>
  </r>
  <r>
    <x v="2"/>
    <n v="60.2"/>
    <n v="170.7"/>
    <n v="44.3"/>
    <n v="6.86"/>
    <n v="47.7"/>
    <n v="1.56"/>
    <n v="18.899999999999999"/>
    <n v="58"/>
    <n v="1.96"/>
    <n v="100.3333333333333"/>
    <n v="170.7"/>
    <n v="55.374999999999993"/>
    <n v="17.149999999999999"/>
    <n v="119.25"/>
    <n v="78"/>
    <n v="171"/>
    <x v="1"/>
    <x v="3"/>
  </r>
  <r>
    <x v="3"/>
    <n v="20"/>
    <n v="80.2"/>
    <n v="53.7"/>
    <n v="8.67"/>
    <n v="56.1"/>
    <n v="1.03"/>
    <n v="28.7"/>
    <n v="45.6"/>
    <n v="2.13"/>
    <n v="33.333333333333343"/>
    <n v="80.2"/>
    <n v="67.125"/>
    <n v="21.675000000000001"/>
    <n v="140.25"/>
    <n v="51.500000000000007"/>
    <n v="140"/>
    <x v="1"/>
    <x v="2"/>
  </r>
  <r>
    <x v="4"/>
    <n v="57.9"/>
    <n v="120.3"/>
    <n v="45.2"/>
    <n v="6.43"/>
    <n v="33.6"/>
    <n v="2.72"/>
    <n v="31.3"/>
    <n v="67.400000000000006"/>
    <n v="2.72"/>
    <n v="96.5"/>
    <n v="120.3"/>
    <n v="56.5"/>
    <n v="16.074999999999999"/>
    <n v="84"/>
    <n v="136"/>
    <n v="136"/>
    <x v="1"/>
    <x v="4"/>
  </r>
  <r>
    <x v="0"/>
    <n v="42.7"/>
    <n v="103.2"/>
    <n v="46.8"/>
    <n v="0.5"/>
    <n v="1"/>
    <n v="0.75"/>
    <n v="26.4"/>
    <n v="55.7"/>
    <n v="4.2699999999999996"/>
    <n v="71.166666666666671"/>
    <n v="103.2"/>
    <n v="58.5"/>
    <n v="1.25"/>
    <n v="2.5"/>
    <n v="37.5"/>
    <n v="103"/>
    <x v="1"/>
    <x v="3"/>
  </r>
  <r>
    <x v="1"/>
    <n v="15.5"/>
    <n v="74.900000000000006"/>
    <n v="75.400000000000006"/>
    <n v="8.66"/>
    <n v="77.7"/>
    <n v="2.4300000000000002"/>
    <n v="20.100000000000001"/>
    <n v="58.2"/>
    <n v="2.17"/>
    <n v="25.833333333333329"/>
    <n v="74.900000000000006"/>
    <n v="94.25"/>
    <n v="21.65"/>
    <n v="194.25"/>
    <n v="121.5"/>
    <n v="194"/>
    <x v="1"/>
    <x v="2"/>
  </r>
  <r>
    <x v="2"/>
    <n v="2"/>
    <n v="77"/>
    <n v="47.6"/>
    <n v="8.1300000000000008"/>
    <n v="52.7"/>
    <n v="0.74"/>
    <n v="20.399999999999999"/>
    <n v="82.8"/>
    <n v="1.9"/>
    <n v="3.333333333333333"/>
    <n v="77"/>
    <n v="59.500000000000007"/>
    <n v="20.324999999999999"/>
    <n v="131.75"/>
    <n v="37"/>
    <n v="132"/>
    <x v="1"/>
    <x v="2"/>
  </r>
  <r>
    <x v="3"/>
    <n v="55.1"/>
    <n v="103.8"/>
    <n v="59.4"/>
    <n v="10.29"/>
    <n v="7.6"/>
    <n v="0.39"/>
    <n v="29.1"/>
    <n v="58.8"/>
    <n v="1.95"/>
    <n v="91.833333333333343"/>
    <n v="103.8"/>
    <n v="74.25"/>
    <n v="25.725000000000001"/>
    <n v="19"/>
    <n v="19.5"/>
    <n v="104"/>
    <x v="1"/>
    <x v="3"/>
  </r>
  <r>
    <x v="4"/>
    <n v="79.599999999999994"/>
    <n v="115.5"/>
    <n v="40.5"/>
    <n v="10.47"/>
    <n v="33.700000000000003"/>
    <n v="1.88"/>
    <n v="19.5"/>
    <n v="71.8"/>
    <n v="4.72"/>
    <n v="132.66666666666671"/>
    <n v="115.5"/>
    <n v="50.625"/>
    <n v="26.175000000000001"/>
    <n v="84.25"/>
    <n v="94"/>
    <n v="133"/>
    <x v="1"/>
    <x v="0"/>
  </r>
  <r>
    <x v="0"/>
    <n v="17.2"/>
    <n v="91.4"/>
    <n v="62.4"/>
    <n v="12.68"/>
    <n v="41.1"/>
    <n v="0.7"/>
    <n v="31.7"/>
    <n v="81.3"/>
    <n v="1.1000000000000001"/>
    <n v="28.666666666666671"/>
    <n v="91.4"/>
    <n v="78"/>
    <n v="31.7"/>
    <n v="102.75"/>
    <n v="34.999999999999993"/>
    <n v="103"/>
    <x v="1"/>
    <x v="2"/>
  </r>
  <r>
    <x v="1"/>
    <n v="23.9"/>
    <n v="133.5"/>
    <n v="57.6"/>
    <n v="6.5"/>
    <n v="71.2"/>
    <n v="0.77"/>
    <n v="10.199999999999999"/>
    <n v="52.4"/>
    <n v="2.58"/>
    <n v="39.833333333333329"/>
    <n v="133.5"/>
    <n v="72.000000000000014"/>
    <n v="16.25"/>
    <n v="178"/>
    <n v="38.5"/>
    <n v="178"/>
    <x v="1"/>
    <x v="2"/>
  </r>
  <r>
    <x v="2"/>
    <n v="39.299999999999997"/>
    <n v="38.4"/>
    <n v="6.6"/>
    <n v="4.13"/>
    <n v="59.3"/>
    <n v="1.48"/>
    <n v="33.299999999999997"/>
    <n v="45.3"/>
    <n v="1.1200000000000001"/>
    <n v="65.499999999999986"/>
    <n v="38.4"/>
    <n v="8.25"/>
    <n v="10.324999999999999"/>
    <n v="148.25"/>
    <n v="74"/>
    <n v="148"/>
    <x v="1"/>
    <x v="2"/>
  </r>
  <r>
    <x v="3"/>
    <n v="59.9"/>
    <n v="126.5"/>
    <n v="42.4"/>
    <n v="0.5"/>
    <n v="18.3"/>
    <n v="0.95"/>
    <n v="28.4"/>
    <n v="73.8"/>
    <n v="2.67"/>
    <n v="99.833333333333329"/>
    <n v="126.5"/>
    <n v="53"/>
    <n v="1.25"/>
    <n v="45.75"/>
    <n v="47.5"/>
    <n v="126"/>
    <x v="1"/>
    <x v="3"/>
  </r>
  <r>
    <x v="4"/>
    <n v="61.5"/>
    <n v="110.1"/>
    <n v="51.7"/>
    <n v="8.42"/>
    <n v="45.8"/>
    <n v="0.91"/>
    <n v="25.6"/>
    <n v="68.7"/>
    <n v="3.32"/>
    <n v="102.5"/>
    <n v="110.1"/>
    <n v="64.625"/>
    <n v="21.05"/>
    <n v="114.5"/>
    <n v="45.5"/>
    <n v="114"/>
    <x v="1"/>
    <x v="2"/>
  </r>
  <r>
    <x v="0"/>
    <n v="65.7"/>
    <n v="184.5"/>
    <n v="46.3"/>
    <n v="4.37"/>
    <n v="71.400000000000006"/>
    <n v="0.35"/>
    <n v="17.399999999999999"/>
    <n v="66"/>
    <n v="3.12"/>
    <n v="109.5"/>
    <n v="184.5"/>
    <n v="57.874999999999993"/>
    <n v="10.925000000000001"/>
    <n v="178.5"/>
    <n v="17.5"/>
    <n v="184"/>
    <x v="1"/>
    <x v="3"/>
  </r>
  <r>
    <x v="1"/>
    <n v="22.6"/>
    <n v="97"/>
    <n v="32.9"/>
    <n v="5.57"/>
    <n v="79.5"/>
    <n v="1.62"/>
    <n v="24.9"/>
    <n v="50.2"/>
    <n v="0.88"/>
    <n v="37.666666666666657"/>
    <n v="97"/>
    <n v="41.124999999999993"/>
    <n v="13.925000000000001"/>
    <n v="198.75"/>
    <n v="81"/>
    <n v="199"/>
    <x v="1"/>
    <x v="2"/>
  </r>
  <r>
    <x v="2"/>
    <n v="78"/>
    <n v="118.2"/>
    <n v="23.5"/>
    <n v="8.81"/>
    <n v="36.299999999999997"/>
    <n v="0.78"/>
    <n v="28"/>
    <n v="46.7"/>
    <n v="2.09"/>
    <n v="130"/>
    <n v="118.2"/>
    <n v="29.375"/>
    <n v="22.024999999999999"/>
    <n v="90.75"/>
    <n v="39"/>
    <n v="130"/>
    <x v="1"/>
    <x v="0"/>
  </r>
  <r>
    <x v="3"/>
    <n v="50.9"/>
    <n v="72"/>
    <n v="46.7"/>
    <n v="13.88"/>
    <n v="21.1"/>
    <n v="0.16"/>
    <n v="11"/>
    <n v="57.3"/>
    <n v="1.7"/>
    <n v="84.833333333333329"/>
    <n v="72"/>
    <n v="58.375"/>
    <n v="34.700000000000003"/>
    <n v="52.750000000000007"/>
    <n v="8"/>
    <n v="85"/>
    <x v="3"/>
    <x v="0"/>
  </r>
  <r>
    <x v="4"/>
    <n v="58.3"/>
    <n v="112.6"/>
    <n v="11.4"/>
    <n v="0.5"/>
    <n v="52.1"/>
    <n v="1.1299999999999999"/>
    <n v="22"/>
    <n v="30.2"/>
    <n v="3.57"/>
    <n v="97.166666666666671"/>
    <n v="112.6"/>
    <n v="14.25"/>
    <n v="1.25"/>
    <n v="130.25"/>
    <n v="56.499999999999993"/>
    <n v="130"/>
    <x v="1"/>
    <x v="2"/>
  </r>
  <r>
    <x v="0"/>
    <n v="90.3"/>
    <n v="125.7"/>
    <n v="25.8"/>
    <n v="7.56"/>
    <n v="6.7"/>
    <n v="1.69"/>
    <n v="25.6"/>
    <n v="28.2"/>
    <n v="2.14"/>
    <n v="150.5"/>
    <n v="125.7"/>
    <n v="32.25"/>
    <n v="18.899999999999999"/>
    <n v="16.75"/>
    <n v="84.499999999999986"/>
    <n v="150"/>
    <x v="1"/>
    <x v="0"/>
  </r>
  <r>
    <x v="1"/>
    <n v="73.900000000000006"/>
    <n v="100"/>
    <n v="39.5"/>
    <n v="1.88"/>
    <n v="67.7"/>
    <n v="0.81"/>
    <n v="9.9"/>
    <n v="53.3"/>
    <n v="3.68"/>
    <n v="123.1666666666667"/>
    <n v="100"/>
    <n v="49.375"/>
    <n v="4.6999999999999993"/>
    <n v="169.25"/>
    <n v="40.5"/>
    <n v="169"/>
    <x v="1"/>
    <x v="2"/>
  </r>
  <r>
    <x v="2"/>
    <n v="36.799999999999997"/>
    <n v="170.5"/>
    <n v="40.700000000000003"/>
    <n v="7.37"/>
    <n v="35"/>
    <n v="0.88"/>
    <n v="23.2"/>
    <n v="54.6"/>
    <n v="3.14"/>
    <n v="61.333333333333329"/>
    <n v="170.5"/>
    <n v="50.875"/>
    <n v="18.425000000000001"/>
    <n v="87.5"/>
    <n v="44"/>
    <n v="170"/>
    <x v="1"/>
    <x v="3"/>
  </r>
  <r>
    <x v="3"/>
    <n v="25.5"/>
    <n v="44.4"/>
    <n v="18"/>
    <n v="14.58"/>
    <n v="53.3"/>
    <n v="1.1100000000000001"/>
    <n v="17.600000000000001"/>
    <n v="71.2"/>
    <n v="2.36"/>
    <n v="42.5"/>
    <n v="44.4"/>
    <n v="22.5"/>
    <n v="36.450000000000003"/>
    <n v="133.25"/>
    <n v="55.500000000000007"/>
    <n v="133"/>
    <x v="1"/>
    <x v="2"/>
  </r>
  <r>
    <x v="4"/>
    <n v="58.5"/>
    <n v="54"/>
    <n v="42.4"/>
    <n v="5.18"/>
    <n v="22.9"/>
    <n v="1.44"/>
    <n v="14.2"/>
    <n v="70.2"/>
    <n v="3.82"/>
    <n v="97.5"/>
    <n v="54"/>
    <n v="53"/>
    <n v="12.95"/>
    <n v="57.249999999999993"/>
    <n v="72"/>
    <n v="98"/>
    <x v="3"/>
    <x v="0"/>
  </r>
  <r>
    <x v="0"/>
    <n v="30.9"/>
    <n v="65.099999999999994"/>
    <n v="37.299999999999997"/>
    <n v="8.66"/>
    <n v="41.6"/>
    <n v="1.34"/>
    <n v="37.299999999999997"/>
    <n v="50.9"/>
    <n v="0.44"/>
    <n v="51.5"/>
    <n v="65.099999999999994"/>
    <n v="46.625"/>
    <n v="21.65"/>
    <n v="104"/>
    <n v="67"/>
    <n v="104"/>
    <x v="1"/>
    <x v="2"/>
  </r>
  <r>
    <x v="1"/>
    <n v="84.8"/>
    <n v="221"/>
    <n v="52.9"/>
    <n v="2.56"/>
    <n v="46.1"/>
    <n v="0.53"/>
    <n v="29.5"/>
    <n v="35.700000000000003"/>
    <n v="2.14"/>
    <n v="141.33333333333329"/>
    <n v="221"/>
    <n v="66.125"/>
    <n v="6.4"/>
    <n v="115.25"/>
    <n v="26.5"/>
    <n v="221"/>
    <x v="0"/>
    <x v="3"/>
  </r>
  <r>
    <x v="2"/>
    <n v="22.7"/>
    <n v="97"/>
    <n v="28.6"/>
    <n v="6.75"/>
    <n v="38.5"/>
    <n v="0.46"/>
    <n v="29.4"/>
    <n v="59.1"/>
    <n v="1.31"/>
    <n v="37.833333333333329"/>
    <n v="97"/>
    <n v="35.750000000000007"/>
    <n v="16.875"/>
    <n v="96.25"/>
    <n v="23"/>
    <n v="97"/>
    <x v="3"/>
    <x v="3"/>
  </r>
  <r>
    <x v="3"/>
    <n v="101.8"/>
    <n v="118.9"/>
    <n v="33.5"/>
    <n v="12.06"/>
    <n v="86"/>
    <n v="0.89"/>
    <n v="27.4"/>
    <n v="42.2"/>
    <n v="2.3199999999999998"/>
    <n v="169.66666666666671"/>
    <n v="118.9"/>
    <n v="41.875"/>
    <n v="30.15"/>
    <n v="215"/>
    <n v="44.5"/>
    <n v="215"/>
    <x v="0"/>
    <x v="2"/>
  </r>
  <r>
    <x v="4"/>
    <n v="47.5"/>
    <n v="115.4"/>
    <n v="45.5"/>
    <n v="9.5"/>
    <n v="50.5"/>
    <n v="0.42"/>
    <n v="18.399999999999999"/>
    <n v="50.2"/>
    <n v="2.66"/>
    <n v="79.166666666666657"/>
    <n v="115.4"/>
    <n v="56.875"/>
    <n v="23.75"/>
    <n v="126.25"/>
    <n v="21"/>
    <n v="126"/>
    <x v="1"/>
    <x v="2"/>
  </r>
  <r>
    <x v="0"/>
    <n v="84.2"/>
    <n v="46.2"/>
    <n v="34.799999999999997"/>
    <n v="11.74"/>
    <n v="37.4"/>
    <n v="1.36"/>
    <n v="24"/>
    <n v="64.599999999999994"/>
    <n v="2.23"/>
    <n v="140.33333333333329"/>
    <n v="46.2"/>
    <n v="43.5"/>
    <n v="29.35"/>
    <n v="93.5"/>
    <n v="68"/>
    <n v="140"/>
    <x v="1"/>
    <x v="0"/>
  </r>
  <r>
    <x v="1"/>
    <n v="80"/>
    <n v="27.3"/>
    <n v="37.700000000000003"/>
    <n v="9.48"/>
    <n v="66.7"/>
    <n v="2.1"/>
    <n v="22.3"/>
    <n v="86.6"/>
    <n v="1.71"/>
    <n v="133.33333333333329"/>
    <n v="27.3"/>
    <n v="47.125"/>
    <n v="23.7"/>
    <n v="166.75"/>
    <n v="105"/>
    <n v="167"/>
    <x v="1"/>
    <x v="2"/>
  </r>
  <r>
    <x v="2"/>
    <n v="75.900000000000006"/>
    <n v="128.5"/>
    <n v="20.3"/>
    <n v="7.25"/>
    <n v="36.799999999999997"/>
    <n v="1.2"/>
    <n v="23.4"/>
    <n v="54.5"/>
    <n v="4.1399999999999997"/>
    <n v="126.5"/>
    <n v="128.5"/>
    <n v="25.375"/>
    <n v="18.125"/>
    <n v="92"/>
    <n v="60"/>
    <n v="128"/>
    <x v="1"/>
    <x v="3"/>
  </r>
  <r>
    <x v="3"/>
    <n v="45.6"/>
    <n v="135.69999999999999"/>
    <n v="32.4"/>
    <n v="13.07"/>
    <n v="23"/>
    <n v="0.67"/>
    <n v="35.700000000000003"/>
    <n v="52"/>
    <n v="4.42"/>
    <n v="76"/>
    <n v="135.69999999999999"/>
    <n v="40.5"/>
    <n v="32.674999999999997"/>
    <n v="57.5"/>
    <n v="33.5"/>
    <n v="136"/>
    <x v="1"/>
    <x v="3"/>
  </r>
  <r>
    <x v="4"/>
    <n v="76.3"/>
    <n v="97.4"/>
    <n v="7.7"/>
    <n v="6.95"/>
    <n v="46.8"/>
    <n v="1.67"/>
    <n v="36.1"/>
    <n v="47.7"/>
    <n v="3.96"/>
    <n v="127.1666666666667"/>
    <n v="97.4"/>
    <n v="9.625"/>
    <n v="17.375"/>
    <n v="117"/>
    <n v="83.499999999999986"/>
    <n v="127"/>
    <x v="1"/>
    <x v="0"/>
  </r>
  <r>
    <x v="0"/>
    <n v="76.3"/>
    <n v="169.7"/>
    <n v="50.6"/>
    <n v="0.5"/>
    <n v="41.5"/>
    <n v="0.47"/>
    <n v="23.6"/>
    <n v="77.599999999999994"/>
    <n v="2.87"/>
    <n v="127.1666666666667"/>
    <n v="169.7"/>
    <n v="63.25"/>
    <n v="1.25"/>
    <n v="103.75"/>
    <n v="23.5"/>
    <n v="170"/>
    <x v="1"/>
    <x v="3"/>
  </r>
  <r>
    <x v="1"/>
    <n v="94.4"/>
    <n v="140.5"/>
    <n v="19"/>
    <n v="0.5"/>
    <n v="54.7"/>
    <n v="1.07"/>
    <n v="18.2"/>
    <n v="29.4"/>
    <n v="1.62"/>
    <n v="157.33333333333329"/>
    <n v="140.5"/>
    <n v="23.75"/>
    <n v="1.25"/>
    <n v="136.75"/>
    <n v="53.500000000000007"/>
    <n v="157"/>
    <x v="1"/>
    <x v="0"/>
  </r>
  <r>
    <x v="2"/>
    <n v="41.2"/>
    <n v="121.6"/>
    <n v="37.1"/>
    <n v="12.19"/>
    <n v="13.4"/>
    <n v="1.31"/>
    <n v="25.3"/>
    <n v="72.5"/>
    <n v="1.98"/>
    <n v="68.666666666666671"/>
    <n v="121.6"/>
    <n v="46.375"/>
    <n v="30.475000000000001"/>
    <n v="33.5"/>
    <n v="65.5"/>
    <n v="122"/>
    <x v="1"/>
    <x v="3"/>
  </r>
  <r>
    <x v="3"/>
    <n v="73.7"/>
    <n v="110.2"/>
    <n v="25.1"/>
    <n v="6.35"/>
    <n v="34"/>
    <n v="1.19"/>
    <n v="16.7"/>
    <n v="59.5"/>
    <n v="2.97"/>
    <n v="122.8333333333333"/>
    <n v="110.2"/>
    <n v="31.375"/>
    <n v="15.875"/>
    <n v="85"/>
    <n v="59.5"/>
    <n v="123"/>
    <x v="1"/>
    <x v="0"/>
  </r>
  <r>
    <x v="4"/>
    <n v="53.7"/>
    <n v="176.7"/>
    <n v="53.2"/>
    <n v="7.01"/>
    <n v="50"/>
    <n v="1.21"/>
    <n v="27.8"/>
    <n v="27.1"/>
    <n v="2.64"/>
    <n v="89.500000000000014"/>
    <n v="176.7"/>
    <n v="66.5"/>
    <n v="17.524999999999999"/>
    <n v="125"/>
    <n v="60.5"/>
    <n v="177"/>
    <x v="1"/>
    <x v="3"/>
  </r>
  <r>
    <x v="0"/>
    <n v="14.2"/>
    <n v="181"/>
    <n v="40.299999999999997"/>
    <n v="6.47"/>
    <n v="71.8"/>
    <n v="1.34"/>
    <n v="17.100000000000001"/>
    <n v="58.7"/>
    <n v="2.1"/>
    <n v="23.666666666666661"/>
    <n v="181"/>
    <n v="50.374999999999993"/>
    <n v="16.175000000000001"/>
    <n v="179.5"/>
    <n v="67"/>
    <n v="181"/>
    <x v="1"/>
    <x v="3"/>
  </r>
  <r>
    <x v="1"/>
    <n v="7.7"/>
    <n v="78.599999999999994"/>
    <n v="41.3"/>
    <n v="7.43"/>
    <n v="3.7"/>
    <n v="1.89"/>
    <n v="24.3"/>
    <n v="60.7"/>
    <n v="2.98"/>
    <n v="12.83333333333333"/>
    <n v="78.599999999999994"/>
    <n v="51.625"/>
    <n v="18.574999999999999"/>
    <n v="9.2500000000000018"/>
    <n v="94.5"/>
    <n v="94"/>
    <x v="3"/>
    <x v="4"/>
  </r>
  <r>
    <x v="2"/>
    <n v="27.6"/>
    <n v="112"/>
    <n v="28.6"/>
    <n v="2.67"/>
    <n v="51.6"/>
    <n v="1.59"/>
    <n v="30.1"/>
    <n v="76.599999999999994"/>
    <n v="1.88"/>
    <n v="46"/>
    <n v="112"/>
    <n v="35.750000000000007"/>
    <n v="6.6749999999999998"/>
    <n v="129"/>
    <n v="79.5"/>
    <n v="129"/>
    <x v="1"/>
    <x v="2"/>
  </r>
  <r>
    <x v="3"/>
    <n v="9.6999999999999993"/>
    <n v="167.5"/>
    <n v="68.900000000000006"/>
    <n v="12.57"/>
    <n v="31.6"/>
    <n v="0.41"/>
    <n v="17.5"/>
    <n v="29.7"/>
    <n v="2.37"/>
    <n v="16.166666666666661"/>
    <n v="167.5"/>
    <n v="86.125"/>
    <n v="31.425000000000001"/>
    <n v="79"/>
    <n v="20.5"/>
    <n v="168"/>
    <x v="1"/>
    <x v="3"/>
  </r>
  <r>
    <x v="4"/>
    <n v="95.2"/>
    <n v="98.1"/>
    <n v="44.9"/>
    <n v="13.09"/>
    <n v="32.9"/>
    <n v="2.13"/>
    <n v="38.9"/>
    <n v="57.6"/>
    <n v="2.31"/>
    <n v="158.66666666666671"/>
    <n v="98.1"/>
    <n v="56.125"/>
    <n v="32.724999999999987"/>
    <n v="82.249999999999986"/>
    <n v="106.5"/>
    <n v="159"/>
    <x v="1"/>
    <x v="0"/>
  </r>
  <r>
    <x v="0"/>
    <n v="74.400000000000006"/>
    <n v="91.2"/>
    <n v="20.100000000000001"/>
    <n v="13.25"/>
    <n v="81"/>
    <n v="1.19"/>
    <n v="16.2"/>
    <n v="37.9"/>
    <n v="2.63"/>
    <n v="124"/>
    <n v="91.2"/>
    <n v="25.125"/>
    <n v="33.125"/>
    <n v="202.5"/>
    <n v="59.5"/>
    <n v="202"/>
    <x v="0"/>
    <x v="2"/>
  </r>
  <r>
    <x v="1"/>
    <n v="45"/>
    <n v="99.5"/>
    <n v="65.400000000000006"/>
    <n v="11.67"/>
    <n v="93.1"/>
    <n v="0.61"/>
    <n v="22.6"/>
    <n v="73.7"/>
    <n v="3.04"/>
    <n v="75"/>
    <n v="99.5"/>
    <n v="81.75"/>
    <n v="29.175000000000001"/>
    <n v="232.75"/>
    <n v="30.5"/>
    <n v="233"/>
    <x v="0"/>
    <x v="2"/>
  </r>
  <r>
    <x v="2"/>
    <n v="80.5"/>
    <n v="110.4"/>
    <n v="62.3"/>
    <n v="8.1300000000000008"/>
    <n v="63.2"/>
    <n v="0.76"/>
    <n v="25.1"/>
    <n v="76.400000000000006"/>
    <n v="4.4400000000000004"/>
    <n v="134.16666666666671"/>
    <n v="110.4"/>
    <n v="77.875"/>
    <n v="20.324999999999999"/>
    <n v="158"/>
    <n v="38"/>
    <n v="158"/>
    <x v="1"/>
    <x v="2"/>
  </r>
  <r>
    <x v="3"/>
    <n v="65.5"/>
    <n v="92"/>
    <n v="58"/>
    <n v="0.5"/>
    <n v="4.4000000000000004"/>
    <n v="1.29"/>
    <n v="25.1"/>
    <n v="70.900000000000006"/>
    <n v="2.58"/>
    <n v="109.1666666666667"/>
    <n v="92"/>
    <n v="72.5"/>
    <n v="1.25"/>
    <n v="11"/>
    <n v="64.5"/>
    <n v="109"/>
    <x v="1"/>
    <x v="0"/>
  </r>
  <r>
    <x v="4"/>
    <n v="67.900000000000006"/>
    <n v="62.6"/>
    <n v="49.6"/>
    <n v="11.42"/>
    <n v="77.599999999999994"/>
    <n v="2.12"/>
    <n v="26.7"/>
    <n v="64.900000000000006"/>
    <n v="1.17"/>
    <n v="113.1666666666667"/>
    <n v="62.6"/>
    <n v="62"/>
    <n v="28.55"/>
    <n v="194"/>
    <n v="106"/>
    <n v="194"/>
    <x v="1"/>
    <x v="2"/>
  </r>
  <r>
    <x v="0"/>
    <n v="40.5"/>
    <n v="99.7"/>
    <n v="60.7"/>
    <n v="4.55"/>
    <n v="68.900000000000006"/>
    <n v="1.1000000000000001"/>
    <n v="23.8"/>
    <n v="64.5"/>
    <n v="2.0299999999999998"/>
    <n v="67.5"/>
    <n v="99.7"/>
    <n v="75.875"/>
    <n v="11.375"/>
    <n v="172.25"/>
    <n v="55.000000000000007"/>
    <n v="172"/>
    <x v="1"/>
    <x v="2"/>
  </r>
  <r>
    <x v="1"/>
    <n v="47.1"/>
    <n v="17.7"/>
    <n v="40"/>
    <n v="5.6"/>
    <n v="33.9"/>
    <n v="1.45"/>
    <n v="29.6"/>
    <n v="64.2"/>
    <n v="3.69"/>
    <n v="78.5"/>
    <n v="17.7"/>
    <n v="50"/>
    <n v="14"/>
    <n v="84.749999999999986"/>
    <n v="72.5"/>
    <n v="85"/>
    <x v="3"/>
    <x v="2"/>
  </r>
  <r>
    <x v="2"/>
    <n v="58.7"/>
    <n v="77.7"/>
    <n v="27.2"/>
    <n v="7.27"/>
    <n v="51.6"/>
    <n v="1.55"/>
    <n v="33.299999999999997"/>
    <n v="50.3"/>
    <n v="2.38"/>
    <n v="97.833333333333343"/>
    <n v="77.7"/>
    <n v="34"/>
    <n v="18.175000000000001"/>
    <n v="129"/>
    <n v="77.5"/>
    <n v="129"/>
    <x v="1"/>
    <x v="2"/>
  </r>
  <r>
    <x v="3"/>
    <n v="64.099999999999994"/>
    <n v="147.30000000000001"/>
    <n v="51"/>
    <n v="6.14"/>
    <n v="8.6"/>
    <n v="0.48"/>
    <n v="26.9"/>
    <n v="66.2"/>
    <n v="1.18"/>
    <n v="106.8333333333333"/>
    <n v="147.30000000000001"/>
    <n v="63.75"/>
    <n v="15.35"/>
    <n v="21.5"/>
    <n v="24"/>
    <n v="147"/>
    <x v="1"/>
    <x v="3"/>
  </r>
  <r>
    <x v="4"/>
    <n v="54"/>
    <n v="138.9"/>
    <n v="19.3"/>
    <n v="11.9"/>
    <n v="33.6"/>
    <n v="1.72"/>
    <n v="21.3"/>
    <n v="41.5"/>
    <n v="2.4500000000000002"/>
    <n v="90"/>
    <n v="138.9"/>
    <n v="24.125"/>
    <n v="29.75"/>
    <n v="84"/>
    <n v="86"/>
    <n v="139"/>
    <x v="1"/>
    <x v="3"/>
  </r>
  <r>
    <x v="0"/>
    <n v="52.6"/>
    <n v="89"/>
    <n v="37.4"/>
    <n v="8.9"/>
    <n v="41.1"/>
    <n v="1.07"/>
    <n v="13"/>
    <n v="67.099999999999994"/>
    <n v="2.39"/>
    <n v="87.666666666666671"/>
    <n v="89"/>
    <n v="46.75"/>
    <n v="22.25"/>
    <n v="102.75"/>
    <n v="53.500000000000007"/>
    <n v="103"/>
    <x v="1"/>
    <x v="2"/>
  </r>
  <r>
    <x v="1"/>
    <n v="108.3"/>
    <n v="63.6"/>
    <n v="8.8000000000000007"/>
    <n v="11.09"/>
    <n v="60.8"/>
    <n v="0.59"/>
    <n v="14.3"/>
    <n v="87.7"/>
    <n v="4.2"/>
    <n v="180.5"/>
    <n v="63.6"/>
    <n v="11"/>
    <n v="27.725000000000001"/>
    <n v="152"/>
    <n v="29.5"/>
    <n v="180"/>
    <x v="1"/>
    <x v="0"/>
  </r>
  <r>
    <x v="2"/>
    <n v="2"/>
    <n v="70.3"/>
    <n v="59.5"/>
    <n v="4.2699999999999996"/>
    <n v="26.3"/>
    <n v="0.78"/>
    <n v="17.2"/>
    <n v="29.3"/>
    <n v="3.76"/>
    <n v="3.333333333333333"/>
    <n v="70.3"/>
    <n v="74.375"/>
    <n v="10.675000000000001"/>
    <n v="65.75"/>
    <n v="39"/>
    <n v="74"/>
    <x v="3"/>
    <x v="1"/>
  </r>
  <r>
    <x v="3"/>
    <n v="3.8"/>
    <n v="107.9"/>
    <n v="50.2"/>
    <n v="0.6"/>
    <n v="16.899999999999999"/>
    <n v="1.54"/>
    <n v="28.7"/>
    <n v="48.9"/>
    <n v="3.94"/>
    <n v="6.333333333333333"/>
    <n v="107.9"/>
    <n v="62.75"/>
    <n v="1.5"/>
    <n v="42.249999999999993"/>
    <n v="77"/>
    <n v="108"/>
    <x v="1"/>
    <x v="3"/>
  </r>
  <r>
    <x v="4"/>
    <n v="84.7"/>
    <n v="119.8"/>
    <n v="23.8"/>
    <n v="5.22"/>
    <n v="51.9"/>
    <n v="0.96"/>
    <n v="31.6"/>
    <n v="32.5"/>
    <n v="1.21"/>
    <n v="141.16666666666671"/>
    <n v="119.8"/>
    <n v="29.75"/>
    <n v="13.05"/>
    <n v="129.75"/>
    <n v="48"/>
    <n v="141"/>
    <x v="1"/>
    <x v="0"/>
  </r>
  <r>
    <x v="0"/>
    <n v="60.2"/>
    <n v="83.3"/>
    <n v="29.9"/>
    <n v="0.5"/>
    <n v="46.6"/>
    <n v="1.07"/>
    <n v="29.6"/>
    <n v="61.2"/>
    <n v="2.34"/>
    <n v="100.3333333333333"/>
    <n v="83.3"/>
    <n v="37.375"/>
    <n v="1.25"/>
    <n v="116.5"/>
    <n v="53.500000000000007"/>
    <n v="116"/>
    <x v="1"/>
    <x v="2"/>
  </r>
  <r>
    <x v="1"/>
    <n v="95.3"/>
    <n v="41.3"/>
    <n v="55.7"/>
    <n v="0.5"/>
    <n v="23.8"/>
    <n v="0.47"/>
    <n v="30.5"/>
    <n v="58.8"/>
    <n v="2.48"/>
    <n v="158.83333333333329"/>
    <n v="41.3"/>
    <n v="69.625"/>
    <n v="1.25"/>
    <n v="59.500000000000007"/>
    <n v="23.5"/>
    <n v="159"/>
    <x v="1"/>
    <x v="0"/>
  </r>
  <r>
    <x v="2"/>
    <n v="20.399999999999999"/>
    <n v="77.5"/>
    <n v="22.6"/>
    <n v="7.54"/>
    <n v="14.5"/>
    <n v="1.52"/>
    <n v="13.3"/>
    <n v="45.5"/>
    <n v="4.51"/>
    <n v="33.999999999999993"/>
    <n v="77.5"/>
    <n v="28.25"/>
    <n v="18.850000000000001"/>
    <n v="36.25"/>
    <n v="76"/>
    <n v="78"/>
    <x v="3"/>
    <x v="3"/>
  </r>
  <r>
    <x v="3"/>
    <n v="37.6"/>
    <n v="32.9"/>
    <n v="39.5"/>
    <n v="4.5"/>
    <n v="19.100000000000001"/>
    <n v="0.43"/>
    <n v="44.4"/>
    <n v="55.5"/>
    <n v="0.2"/>
    <n v="62.666666666666657"/>
    <n v="32.9"/>
    <n v="49.375"/>
    <n v="11.25"/>
    <n v="47.75"/>
    <n v="21.5"/>
    <n v="63"/>
    <x v="3"/>
    <x v="0"/>
  </r>
  <r>
    <x v="4"/>
    <n v="92.2"/>
    <n v="137.9"/>
    <n v="26.1"/>
    <n v="2.93"/>
    <n v="62.5"/>
    <n v="0.93"/>
    <n v="11.5"/>
    <n v="92.2"/>
    <n v="2.48"/>
    <n v="153.66666666666671"/>
    <n v="137.9"/>
    <n v="32.625"/>
    <n v="7.3250000000000011"/>
    <n v="156.25"/>
    <n v="46.5"/>
    <n v="156"/>
    <x v="1"/>
    <x v="2"/>
  </r>
  <r>
    <x v="0"/>
    <n v="96.5"/>
    <n v="181"/>
    <n v="23"/>
    <n v="12.11"/>
    <n v="27.3"/>
    <n v="7.0000000000000007E-2"/>
    <n v="22"/>
    <n v="67.2"/>
    <n v="1.94"/>
    <n v="160.83333333333329"/>
    <n v="181"/>
    <n v="28.75"/>
    <n v="30.274999999999999"/>
    <n v="68.25"/>
    <n v="3.5"/>
    <n v="181"/>
    <x v="1"/>
    <x v="3"/>
  </r>
  <r>
    <x v="1"/>
    <n v="50.8"/>
    <n v="188.6"/>
    <n v="47.1"/>
    <n v="3.78"/>
    <n v="71.900000000000006"/>
    <n v="1.32"/>
    <n v="7.3"/>
    <n v="67.7"/>
    <n v="2.97"/>
    <n v="84.666666666666671"/>
    <n v="188.6"/>
    <n v="58.875000000000007"/>
    <n v="9.4499999999999993"/>
    <n v="179.75"/>
    <n v="66"/>
    <n v="189"/>
    <x v="1"/>
    <x v="3"/>
  </r>
  <r>
    <x v="2"/>
    <n v="46.1"/>
    <n v="131.9"/>
    <n v="24"/>
    <n v="7.36"/>
    <n v="1"/>
    <n v="1.1000000000000001"/>
    <n v="38.700000000000003"/>
    <n v="42.1"/>
    <n v="1.59"/>
    <n v="76.833333333333343"/>
    <n v="131.9"/>
    <n v="30"/>
    <n v="18.399999999999999"/>
    <n v="2.5"/>
    <n v="55.000000000000007"/>
    <n v="132"/>
    <x v="1"/>
    <x v="3"/>
  </r>
  <r>
    <x v="3"/>
    <n v="31"/>
    <n v="102.2"/>
    <n v="19"/>
    <n v="8.08"/>
    <n v="61.2"/>
    <n v="1.22"/>
    <n v="12.6"/>
    <n v="77.900000000000006"/>
    <n v="3.62"/>
    <n v="51.666666666666657"/>
    <n v="102.2"/>
    <n v="23.75"/>
    <n v="20.2"/>
    <n v="153"/>
    <n v="61"/>
    <n v="153"/>
    <x v="1"/>
    <x v="2"/>
  </r>
  <r>
    <x v="4"/>
    <n v="74.7"/>
    <n v="125.3"/>
    <n v="43.5"/>
    <n v="11.58"/>
    <n v="96.9"/>
    <n v="0.55000000000000004"/>
    <n v="32.5"/>
    <n v="58.4"/>
    <n v="2.84"/>
    <n v="124.5"/>
    <n v="125.3"/>
    <n v="54.375"/>
    <n v="28.95"/>
    <n v="242.25"/>
    <n v="27.5"/>
    <n v="242"/>
    <x v="0"/>
    <x v="2"/>
  </r>
  <r>
    <x v="0"/>
    <n v="12.8"/>
    <n v="94.7"/>
    <n v="23.1"/>
    <n v="5.23"/>
    <n v="14.4"/>
    <n v="0.86"/>
    <n v="22.2"/>
    <n v="61.7"/>
    <n v="0.56000000000000005"/>
    <n v="21.333333333333339"/>
    <n v="94.7"/>
    <n v="28.875"/>
    <n v="13.074999999999999"/>
    <n v="36.000000000000007"/>
    <n v="43"/>
    <n v="95"/>
    <x v="3"/>
    <x v="3"/>
  </r>
  <r>
    <x v="1"/>
    <n v="16.600000000000001"/>
    <n v="141.69999999999999"/>
    <n v="29.1"/>
    <n v="13.37"/>
    <n v="57"/>
    <n v="1.56"/>
    <n v="34.9"/>
    <n v="54.4"/>
    <n v="1.81"/>
    <n v="27.666666666666671"/>
    <n v="141.69999999999999"/>
    <n v="36.375000000000007"/>
    <n v="33.424999999999997"/>
    <n v="142.5"/>
    <n v="78"/>
    <n v="142"/>
    <x v="1"/>
    <x v="2"/>
  </r>
  <r>
    <x v="2"/>
    <n v="65.5"/>
    <n v="114.4"/>
    <n v="31.4"/>
    <n v="11.37"/>
    <n v="33"/>
    <n v="0.93"/>
    <n v="25.1"/>
    <n v="43.2"/>
    <n v="2.59"/>
    <n v="109.1666666666667"/>
    <n v="114.4"/>
    <n v="39.25"/>
    <n v="28.425000000000001"/>
    <n v="82.5"/>
    <n v="46.5"/>
    <n v="114"/>
    <x v="1"/>
    <x v="3"/>
  </r>
  <r>
    <x v="3"/>
    <n v="81.5"/>
    <n v="117.4"/>
    <n v="36.5"/>
    <n v="5.75"/>
    <n v="48.3"/>
    <n v="1.32"/>
    <n v="29.3"/>
    <n v="54"/>
    <n v="2.89"/>
    <n v="135.83333333333329"/>
    <n v="117.4"/>
    <n v="45.625"/>
    <n v="14.375"/>
    <n v="120.75"/>
    <n v="66"/>
    <n v="136"/>
    <x v="1"/>
    <x v="0"/>
  </r>
  <r>
    <x v="4"/>
    <n v="65.5"/>
    <n v="52.4"/>
    <n v="42.6"/>
    <n v="0.5"/>
    <n v="57.3"/>
    <n v="1.4"/>
    <n v="30.2"/>
    <n v="52.9"/>
    <n v="3.37"/>
    <n v="109.1666666666667"/>
    <n v="52.4"/>
    <n v="53.25"/>
    <n v="1.25"/>
    <n v="143.25"/>
    <n v="69.999999999999986"/>
    <n v="143"/>
    <x v="1"/>
    <x v="2"/>
  </r>
  <r>
    <x v="0"/>
    <n v="94.5"/>
    <n v="188.4"/>
    <n v="40.9"/>
    <n v="8"/>
    <n v="77.900000000000006"/>
    <n v="0.28000000000000003"/>
    <n v="22.7"/>
    <n v="84"/>
    <n v="3.67"/>
    <n v="157.5"/>
    <n v="188.4"/>
    <n v="51.125"/>
    <n v="20"/>
    <n v="194.75"/>
    <n v="14"/>
    <n v="195"/>
    <x v="1"/>
    <x v="2"/>
  </r>
  <r>
    <x v="1"/>
    <n v="71.099999999999994"/>
    <n v="29.7"/>
    <n v="44"/>
    <n v="5.05"/>
    <n v="60.3"/>
    <n v="0.71"/>
    <n v="17.8"/>
    <n v="22.8"/>
    <n v="3.97"/>
    <n v="118.5"/>
    <n v="29.7"/>
    <n v="55"/>
    <n v="12.625"/>
    <n v="150.75"/>
    <n v="35.5"/>
    <n v="151"/>
    <x v="1"/>
    <x v="2"/>
  </r>
  <r>
    <x v="2"/>
    <n v="36.5"/>
    <n v="98.4"/>
    <n v="34.200000000000003"/>
    <n v="2.02"/>
    <n v="8.1"/>
    <n v="0.45"/>
    <n v="19.899999999999999"/>
    <n v="66.599999999999994"/>
    <n v="1.55"/>
    <n v="60.833333333333343"/>
    <n v="98.4"/>
    <n v="42.75"/>
    <n v="5.05"/>
    <n v="20.25"/>
    <n v="22.5"/>
    <n v="98"/>
    <x v="3"/>
    <x v="3"/>
  </r>
  <r>
    <x v="3"/>
    <n v="89.9"/>
    <n v="145.30000000000001"/>
    <n v="48.9"/>
    <n v="5.92"/>
    <n v="77.900000000000006"/>
    <n v="0.86"/>
    <n v="24.8"/>
    <n v="63.1"/>
    <n v="3.34"/>
    <n v="149.83333333333329"/>
    <n v="145.30000000000001"/>
    <n v="61.125"/>
    <n v="14.8"/>
    <n v="194.75"/>
    <n v="43"/>
    <n v="195"/>
    <x v="1"/>
    <x v="2"/>
  </r>
  <r>
    <x v="4"/>
    <n v="69.599999999999994"/>
    <n v="80.5"/>
    <n v="30.2"/>
    <n v="9.86"/>
    <n v="63.7"/>
    <n v="0.85"/>
    <n v="13.9"/>
    <n v="56.3"/>
    <n v="3.75"/>
    <n v="116"/>
    <n v="80.5"/>
    <n v="37.75"/>
    <n v="24.65"/>
    <n v="159.25"/>
    <n v="42.499999999999993"/>
    <n v="159"/>
    <x v="1"/>
    <x v="2"/>
  </r>
  <r>
    <x v="0"/>
    <n v="105"/>
    <n v="44.3"/>
    <n v="33.6"/>
    <n v="5.57"/>
    <n v="85"/>
    <n v="1.08"/>
    <n v="18.600000000000001"/>
    <n v="70.099999999999994"/>
    <n v="2.0099999999999998"/>
    <n v="175"/>
    <n v="44.3"/>
    <n v="42"/>
    <n v="13.925000000000001"/>
    <n v="212.5"/>
    <n v="54.000000000000007"/>
    <n v="212"/>
    <x v="0"/>
    <x v="2"/>
  </r>
  <r>
    <x v="1"/>
    <n v="23.3"/>
    <n v="66.400000000000006"/>
    <n v="79.7"/>
    <n v="9.92"/>
    <n v="53.4"/>
    <n v="1.05"/>
    <n v="27"/>
    <n v="65"/>
    <n v="2.85"/>
    <n v="38.833333333333343"/>
    <n v="66.400000000000006"/>
    <n v="99.625"/>
    <n v="24.8"/>
    <n v="133.5"/>
    <n v="52.500000000000007"/>
    <n v="134"/>
    <x v="1"/>
    <x v="2"/>
  </r>
  <r>
    <x v="2"/>
    <n v="48.2"/>
    <n v="130.80000000000001"/>
    <n v="34.6"/>
    <n v="2.36"/>
    <n v="23.5"/>
    <n v="0.05"/>
    <n v="39.200000000000003"/>
    <n v="75.5"/>
    <n v="1.5"/>
    <n v="80.333333333333343"/>
    <n v="130.80000000000001"/>
    <n v="43.250000000000007"/>
    <n v="5.8999999999999986"/>
    <n v="58.75"/>
    <n v="2.5"/>
    <n v="131"/>
    <x v="1"/>
    <x v="3"/>
  </r>
  <r>
    <x v="3"/>
    <n v="41.2"/>
    <n v="65.400000000000006"/>
    <n v="60.7"/>
    <n v="0.72"/>
    <n v="42.9"/>
    <n v="0.91"/>
    <n v="30.8"/>
    <n v="58.1"/>
    <n v="0.39"/>
    <n v="68.666666666666671"/>
    <n v="65.400000000000006"/>
    <n v="75.875"/>
    <n v="1.8"/>
    <n v="107.25"/>
    <n v="45.5"/>
    <n v="107"/>
    <x v="1"/>
    <x v="2"/>
  </r>
  <r>
    <x v="4"/>
    <n v="46.2"/>
    <n v="54.3"/>
    <n v="41"/>
    <n v="13.35"/>
    <n v="1"/>
    <n v="0.63"/>
    <n v="21.1"/>
    <n v="53.1"/>
    <n v="3.89"/>
    <n v="77"/>
    <n v="54.3"/>
    <n v="51.25"/>
    <n v="33.375"/>
    <n v="2.5"/>
    <n v="31.5"/>
    <n v="77"/>
    <x v="3"/>
    <x v="0"/>
  </r>
  <r>
    <x v="0"/>
    <n v="50.4"/>
    <n v="133.4"/>
    <n v="29.9"/>
    <n v="8.42"/>
    <n v="68.400000000000006"/>
    <n v="0.7"/>
    <n v="30.5"/>
    <n v="60.9"/>
    <n v="3.75"/>
    <n v="83.999999999999986"/>
    <n v="133.4"/>
    <n v="37.375"/>
    <n v="21.05"/>
    <n v="171"/>
    <n v="34.999999999999993"/>
    <n v="171"/>
    <x v="1"/>
    <x v="2"/>
  </r>
  <r>
    <x v="1"/>
    <n v="54"/>
    <n v="142.9"/>
    <n v="44.2"/>
    <n v="7.52"/>
    <n v="58.1"/>
    <n v="1.52"/>
    <n v="16.3"/>
    <n v="85.8"/>
    <n v="0.27"/>
    <n v="90"/>
    <n v="142.9"/>
    <n v="55.25"/>
    <n v="18.8"/>
    <n v="145.25"/>
    <n v="76"/>
    <n v="145"/>
    <x v="1"/>
    <x v="2"/>
  </r>
  <r>
    <x v="2"/>
    <n v="30"/>
    <n v="86.9"/>
    <n v="40.5"/>
    <n v="12.07"/>
    <n v="1"/>
    <n v="0.68"/>
    <n v="10.1"/>
    <n v="60.6"/>
    <n v="2.83"/>
    <n v="50"/>
    <n v="86.9"/>
    <n v="50.625"/>
    <n v="30.175000000000001"/>
    <n v="2.5"/>
    <n v="34"/>
    <n v="87"/>
    <x v="3"/>
    <x v="3"/>
  </r>
  <r>
    <x v="3"/>
    <n v="86.2"/>
    <n v="101.8"/>
    <n v="52.7"/>
    <n v="8.74"/>
    <n v="29.1"/>
    <n v="0.28000000000000003"/>
    <n v="26.9"/>
    <n v="33.1"/>
    <n v="4.05"/>
    <n v="143.66666666666671"/>
    <n v="101.8"/>
    <n v="65.875"/>
    <n v="21.85"/>
    <n v="72.750000000000014"/>
    <n v="14"/>
    <n v="144"/>
    <x v="1"/>
    <x v="0"/>
  </r>
  <r>
    <x v="4"/>
    <n v="48.5"/>
    <n v="168.7"/>
    <n v="31.1"/>
    <n v="8.2200000000000006"/>
    <n v="49.8"/>
    <n v="1.03"/>
    <n v="22"/>
    <n v="67.099999999999994"/>
    <n v="1.89"/>
    <n v="80.833333333333329"/>
    <n v="168.7"/>
    <n v="38.875"/>
    <n v="20.55"/>
    <n v="124.5"/>
    <n v="51.500000000000007"/>
    <n v="169"/>
    <x v="1"/>
    <x v="3"/>
  </r>
  <r>
    <x v="0"/>
    <n v="21.8"/>
    <n v="179"/>
    <n v="54.8"/>
    <n v="7.66"/>
    <n v="93.9"/>
    <n v="0.96"/>
    <n v="34.299999999999997"/>
    <n v="63.2"/>
    <n v="1.27"/>
    <n v="36.333333333333343"/>
    <n v="179"/>
    <n v="68.499999999999986"/>
    <n v="19.149999999999999"/>
    <n v="234.75"/>
    <n v="48"/>
    <n v="235"/>
    <x v="0"/>
    <x v="2"/>
  </r>
  <r>
    <x v="1"/>
    <n v="115.4"/>
    <n v="179.4"/>
    <n v="42.6"/>
    <n v="11.64"/>
    <n v="37.4"/>
    <n v="1.7"/>
    <n v="8.3000000000000007"/>
    <n v="41.6"/>
    <n v="3.68"/>
    <n v="192.33333333333329"/>
    <n v="179.4"/>
    <n v="53.25"/>
    <n v="29.1"/>
    <n v="93.5"/>
    <n v="84.999999999999986"/>
    <n v="192"/>
    <x v="1"/>
    <x v="0"/>
  </r>
  <r>
    <x v="2"/>
    <n v="39.9"/>
    <n v="100.7"/>
    <n v="13.7"/>
    <n v="13.1"/>
    <n v="66.3"/>
    <n v="0.82"/>
    <n v="22.2"/>
    <n v="78.5"/>
    <n v="4.88"/>
    <n v="66.5"/>
    <n v="100.7"/>
    <n v="17.125"/>
    <n v="32.75"/>
    <n v="165.75"/>
    <n v="40.999999999999993"/>
    <n v="166"/>
    <x v="1"/>
    <x v="2"/>
  </r>
  <r>
    <x v="3"/>
    <n v="70.900000000000006"/>
    <n v="200.2"/>
    <n v="21.2"/>
    <n v="3.12"/>
    <n v="10.3"/>
    <n v="1.17"/>
    <n v="26.2"/>
    <n v="57.3"/>
    <n v="3.47"/>
    <n v="118.1666666666667"/>
    <n v="200.2"/>
    <n v="26.5"/>
    <n v="7.8000000000000007"/>
    <n v="25.75"/>
    <n v="58.5"/>
    <n v="200"/>
    <x v="1"/>
    <x v="3"/>
  </r>
  <r>
    <x v="4"/>
    <n v="85.3"/>
    <n v="25"/>
    <n v="29.1"/>
    <n v="10.65"/>
    <n v="31.1"/>
    <n v="0.63"/>
    <n v="32.1"/>
    <n v="36.799999999999997"/>
    <n v="2.64"/>
    <n v="142.16666666666671"/>
    <n v="25"/>
    <n v="36.375000000000007"/>
    <n v="26.625"/>
    <n v="77.75"/>
    <n v="31.5"/>
    <n v="142"/>
    <x v="1"/>
    <x v="0"/>
  </r>
  <r>
    <x v="0"/>
    <n v="64.3"/>
    <n v="78.7"/>
    <n v="55.8"/>
    <n v="4.74"/>
    <n v="86.5"/>
    <n v="1.03"/>
    <n v="29.7"/>
    <n v="73.400000000000006"/>
    <n v="1.75"/>
    <n v="107.1666666666667"/>
    <n v="78.7"/>
    <n v="69.749999999999986"/>
    <n v="11.85"/>
    <n v="216.25"/>
    <n v="51.500000000000007"/>
    <n v="216"/>
    <x v="0"/>
    <x v="2"/>
  </r>
  <r>
    <x v="1"/>
    <n v="2"/>
    <n v="141.6"/>
    <n v="46.4"/>
    <n v="10.78"/>
    <n v="42.9"/>
    <n v="0.94"/>
    <n v="39.1"/>
    <n v="33.5"/>
    <n v="3.38"/>
    <n v="3.333333333333333"/>
    <n v="141.6"/>
    <n v="57.999999999999993"/>
    <n v="26.95"/>
    <n v="107.25"/>
    <n v="47"/>
    <n v="142"/>
    <x v="1"/>
    <x v="3"/>
  </r>
  <r>
    <x v="2"/>
    <n v="32.5"/>
    <n v="75.900000000000006"/>
    <n v="29.4"/>
    <n v="3.03"/>
    <n v="51.6"/>
    <n v="1.55"/>
    <n v="28.3"/>
    <n v="61.9"/>
    <n v="1.32"/>
    <n v="54.166666666666671"/>
    <n v="75.900000000000006"/>
    <n v="36.75"/>
    <n v="7.5749999999999993"/>
    <n v="129"/>
    <n v="77.5"/>
    <n v="129"/>
    <x v="1"/>
    <x v="2"/>
  </r>
  <r>
    <x v="3"/>
    <n v="60.4"/>
    <n v="199.5"/>
    <n v="29.9"/>
    <n v="4.9000000000000004"/>
    <n v="26"/>
    <n v="0.73"/>
    <n v="5.8"/>
    <n v="67.3"/>
    <n v="1.49"/>
    <n v="100.6666666666667"/>
    <n v="199.5"/>
    <n v="37.375"/>
    <n v="12.25"/>
    <n v="65"/>
    <n v="36.5"/>
    <n v="200"/>
    <x v="1"/>
    <x v="3"/>
  </r>
  <r>
    <x v="4"/>
    <n v="10.3"/>
    <n v="145.4"/>
    <n v="20.6"/>
    <n v="5.55"/>
    <n v="84.3"/>
    <n v="0.31"/>
    <n v="14.3"/>
    <n v="64.8"/>
    <n v="4.38"/>
    <n v="17.166666666666671"/>
    <n v="145.4"/>
    <n v="25.75"/>
    <n v="13.875"/>
    <n v="210.75"/>
    <n v="15.5"/>
    <n v="211"/>
    <x v="0"/>
    <x v="2"/>
  </r>
  <r>
    <x v="0"/>
    <n v="11.7"/>
    <n v="132.9"/>
    <n v="52.1"/>
    <n v="0.5"/>
    <n v="69"/>
    <n v="1.59"/>
    <n v="22.8"/>
    <n v="82.5"/>
    <n v="3.86"/>
    <n v="19.5"/>
    <n v="132.9"/>
    <n v="65.125"/>
    <n v="1.25"/>
    <n v="172.5"/>
    <n v="79.5"/>
    <n v="172"/>
    <x v="1"/>
    <x v="2"/>
  </r>
  <r>
    <x v="1"/>
    <n v="63.1"/>
    <n v="92.9"/>
    <n v="25.5"/>
    <n v="7.81"/>
    <n v="67.8"/>
    <n v="1.01"/>
    <n v="9.6"/>
    <n v="82.8"/>
    <n v="2.73"/>
    <n v="105.1666666666667"/>
    <n v="92.9"/>
    <n v="31.875"/>
    <n v="19.524999999999999"/>
    <n v="169.5"/>
    <n v="50.5"/>
    <n v="169"/>
    <x v="1"/>
    <x v="2"/>
  </r>
  <r>
    <x v="2"/>
    <n v="36.9"/>
    <n v="130.30000000000001"/>
    <n v="57.4"/>
    <n v="0.5"/>
    <n v="48.3"/>
    <n v="0.26"/>
    <n v="28.5"/>
    <n v="62.3"/>
    <n v="3.26"/>
    <n v="61.5"/>
    <n v="130.30000000000001"/>
    <n v="71.75"/>
    <n v="1.25"/>
    <n v="120.75"/>
    <n v="13"/>
    <n v="130"/>
    <x v="1"/>
    <x v="3"/>
  </r>
  <r>
    <x v="3"/>
    <n v="36"/>
    <n v="6.1"/>
    <n v="28.8"/>
    <n v="8.0299999999999994"/>
    <n v="65.400000000000006"/>
    <n v="0.4"/>
    <n v="32.200000000000003"/>
    <n v="48.3"/>
    <n v="2.93"/>
    <n v="60"/>
    <n v="6.1"/>
    <n v="36.000000000000007"/>
    <n v="20.074999999999999"/>
    <n v="163.5"/>
    <n v="20"/>
    <n v="164"/>
    <x v="1"/>
    <x v="2"/>
  </r>
  <r>
    <x v="4"/>
    <n v="39.299999999999997"/>
    <n v="115.2"/>
    <n v="55.3"/>
    <n v="1.64"/>
    <n v="25.3"/>
    <n v="1.1499999999999999"/>
    <n v="41.8"/>
    <n v="44.5"/>
    <n v="5.45"/>
    <n v="65.499999999999986"/>
    <n v="115.2"/>
    <n v="69.124999999999986"/>
    <n v="4.0999999999999996"/>
    <n v="63.25"/>
    <n v="57.499999999999993"/>
    <n v="115"/>
    <x v="1"/>
    <x v="3"/>
  </r>
  <r>
    <x v="0"/>
    <n v="110.5"/>
    <n v="105"/>
    <n v="35.9"/>
    <n v="4.18"/>
    <n v="44"/>
    <n v="0.33"/>
    <n v="24.5"/>
    <n v="86.9"/>
    <n v="1.77"/>
    <n v="184.16666666666671"/>
    <n v="105"/>
    <n v="44.875"/>
    <n v="10.45"/>
    <n v="110"/>
    <n v="16.5"/>
    <n v="184"/>
    <x v="1"/>
    <x v="0"/>
  </r>
  <r>
    <x v="1"/>
    <n v="52.8"/>
    <n v="17.899999999999999"/>
    <n v="52.5"/>
    <n v="9.32"/>
    <n v="52"/>
    <n v="1.07"/>
    <n v="23"/>
    <n v="69"/>
    <n v="2.4700000000000002"/>
    <n v="88"/>
    <n v="17.899999999999999"/>
    <n v="65.625"/>
    <n v="23.3"/>
    <n v="130"/>
    <n v="53.500000000000007"/>
    <n v="130"/>
    <x v="1"/>
    <x v="2"/>
  </r>
  <r>
    <x v="2"/>
    <n v="52.8"/>
    <n v="101"/>
    <n v="51.3"/>
    <n v="8.65"/>
    <n v="42.6"/>
    <n v="1.6"/>
    <n v="27.9"/>
    <n v="83.5"/>
    <n v="3.23"/>
    <n v="88"/>
    <n v="101"/>
    <n v="64.125"/>
    <n v="21.625"/>
    <n v="106.5"/>
    <n v="80"/>
    <n v="106"/>
    <x v="1"/>
    <x v="2"/>
  </r>
  <r>
    <x v="3"/>
    <n v="3.8"/>
    <n v="158.6"/>
    <n v="38.200000000000003"/>
    <n v="6.19"/>
    <n v="47"/>
    <n v="0.79"/>
    <n v="26.6"/>
    <n v="49.3"/>
    <n v="4.03"/>
    <n v="6.333333333333333"/>
    <n v="158.6"/>
    <n v="47.75"/>
    <n v="15.475"/>
    <n v="117.5"/>
    <n v="39.5"/>
    <n v="159"/>
    <x v="1"/>
    <x v="3"/>
  </r>
  <r>
    <x v="4"/>
    <n v="49.8"/>
    <n v="85.4"/>
    <n v="23.3"/>
    <n v="8.2200000000000006"/>
    <n v="49.1"/>
    <n v="1.26"/>
    <n v="17.8"/>
    <n v="31.2"/>
    <n v="3.75"/>
    <n v="82.999999999999986"/>
    <n v="85.4"/>
    <n v="29.125"/>
    <n v="20.55"/>
    <n v="122.75"/>
    <n v="63"/>
    <n v="123"/>
    <x v="1"/>
    <x v="2"/>
  </r>
  <r>
    <x v="0"/>
    <n v="96.2"/>
    <n v="53.7"/>
    <n v="70.599999999999994"/>
    <n v="8.67"/>
    <n v="45.8"/>
    <n v="0.88"/>
    <n v="15.3"/>
    <n v="77.8"/>
    <n v="1.57"/>
    <n v="160.33333333333329"/>
    <n v="53.7"/>
    <n v="88.25"/>
    <n v="21.675000000000001"/>
    <n v="114.5"/>
    <n v="44"/>
    <n v="160"/>
    <x v="1"/>
    <x v="0"/>
  </r>
  <r>
    <x v="1"/>
    <n v="36.6"/>
    <n v="179.5"/>
    <n v="7.3"/>
    <n v="0.5"/>
    <n v="49.4"/>
    <n v="1.38"/>
    <n v="28.4"/>
    <n v="54.6"/>
    <n v="5.54"/>
    <n v="61.000000000000007"/>
    <n v="179.5"/>
    <n v="9.125"/>
    <n v="1.25"/>
    <n v="123.5"/>
    <n v="68.999999999999986"/>
    <n v="180"/>
    <x v="1"/>
    <x v="3"/>
  </r>
  <r>
    <x v="2"/>
    <n v="40.4"/>
    <n v="80.7"/>
    <n v="22.1"/>
    <n v="6.55"/>
    <n v="52.6"/>
    <n v="1.46"/>
    <n v="14.6"/>
    <n v="55.6"/>
    <n v="3.04"/>
    <n v="67.333333333333329"/>
    <n v="80.7"/>
    <n v="27.625"/>
    <n v="16.375"/>
    <n v="131.5"/>
    <n v="73"/>
    <n v="132"/>
    <x v="1"/>
    <x v="2"/>
  </r>
  <r>
    <x v="3"/>
    <n v="62.1"/>
    <n v="96.3"/>
    <n v="44.7"/>
    <n v="3.16"/>
    <n v="78.900000000000006"/>
    <n v="1.44"/>
    <n v="15.6"/>
    <n v="40.6"/>
    <n v="1.24"/>
    <n v="103.5"/>
    <n v="96.3"/>
    <n v="55.875"/>
    <n v="7.9"/>
    <n v="197.25"/>
    <n v="72"/>
    <n v="197"/>
    <x v="1"/>
    <x v="2"/>
  </r>
  <r>
    <x v="4"/>
    <n v="70.7"/>
    <n v="37.799999999999997"/>
    <n v="33.799999999999997"/>
    <n v="9.0399999999999991"/>
    <n v="42.2"/>
    <n v="1.19"/>
    <n v="17.5"/>
    <n v="70.7"/>
    <n v="2.2599999999999998"/>
    <n v="117.8333333333333"/>
    <n v="37.799999999999997"/>
    <n v="42.249999999999993"/>
    <n v="22.6"/>
    <n v="105.5"/>
    <n v="59.5"/>
    <n v="118"/>
    <x v="1"/>
    <x v="0"/>
  </r>
  <r>
    <x v="0"/>
    <n v="46.2"/>
    <n v="123.5"/>
    <n v="43.3"/>
    <n v="7.47"/>
    <n v="24.4"/>
    <n v="0.94"/>
    <n v="25"/>
    <n v="35.200000000000003"/>
    <n v="1.94"/>
    <n v="77"/>
    <n v="123.5"/>
    <n v="54.125"/>
    <n v="18.675000000000001"/>
    <n v="61"/>
    <n v="47"/>
    <n v="124"/>
    <x v="1"/>
    <x v="3"/>
  </r>
  <r>
    <x v="1"/>
    <n v="71.599999999999994"/>
    <n v="43.4"/>
    <n v="68.099999999999994"/>
    <n v="14.35"/>
    <n v="11.1"/>
    <n v="2.0099999999999998"/>
    <n v="24"/>
    <n v="67.5"/>
    <n v="1.9"/>
    <n v="119.3333333333333"/>
    <n v="43.4"/>
    <n v="85.124999999999986"/>
    <n v="35.875"/>
    <n v="27.75"/>
    <n v="100.5"/>
    <n v="119"/>
    <x v="1"/>
    <x v="0"/>
  </r>
  <r>
    <x v="2"/>
    <n v="66.599999999999994"/>
    <n v="109.7"/>
    <n v="21.8"/>
    <n v="1.65"/>
    <n v="3.3"/>
    <n v="1"/>
    <n v="29"/>
    <n v="71.7"/>
    <n v="2.36"/>
    <n v="111"/>
    <n v="109.7"/>
    <n v="27.25"/>
    <n v="4.125"/>
    <n v="8.25"/>
    <n v="50"/>
    <n v="111"/>
    <x v="1"/>
    <x v="0"/>
  </r>
  <r>
    <x v="3"/>
    <n v="20.2"/>
    <n v="63.3"/>
    <n v="54.4"/>
    <n v="4.46"/>
    <n v="43.6"/>
    <n v="0.44"/>
    <n v="27.4"/>
    <n v="51.8"/>
    <n v="3.76"/>
    <n v="33.666666666666657"/>
    <n v="63.3"/>
    <n v="68"/>
    <n v="11.15"/>
    <n v="109"/>
    <n v="22"/>
    <n v="109"/>
    <x v="1"/>
    <x v="2"/>
  </r>
  <r>
    <x v="4"/>
    <n v="73.2"/>
    <n v="79.400000000000006"/>
    <n v="37.4"/>
    <n v="4.62"/>
    <n v="5"/>
    <n v="0.6"/>
    <n v="26.4"/>
    <n v="65.900000000000006"/>
    <n v="3.18"/>
    <n v="122"/>
    <n v="79.400000000000006"/>
    <n v="46.75"/>
    <n v="11.55"/>
    <n v="12.5"/>
    <n v="30"/>
    <n v="122"/>
    <x v="1"/>
    <x v="0"/>
  </r>
  <r>
    <x v="0"/>
    <n v="46.9"/>
    <n v="161.9"/>
    <n v="42.6"/>
    <n v="10.59"/>
    <n v="1"/>
    <n v="0.05"/>
    <n v="27"/>
    <n v="34.4"/>
    <n v="2.25"/>
    <n v="78.166666666666657"/>
    <n v="161.9"/>
    <n v="53.25"/>
    <n v="26.475000000000001"/>
    <n v="2.5"/>
    <n v="2.5"/>
    <n v="162"/>
    <x v="1"/>
    <x v="3"/>
  </r>
  <r>
    <x v="1"/>
    <n v="50.9"/>
    <n v="215.2"/>
    <n v="53"/>
    <n v="8.83"/>
    <n v="76.2"/>
    <n v="1.42"/>
    <n v="21.8"/>
    <n v="79.3"/>
    <n v="1.17"/>
    <n v="84.833333333333329"/>
    <n v="215.2"/>
    <n v="66.25"/>
    <n v="22.074999999999999"/>
    <n v="190.5"/>
    <n v="71"/>
    <n v="215"/>
    <x v="0"/>
    <x v="3"/>
  </r>
  <r>
    <x v="2"/>
    <n v="53"/>
    <n v="20.6"/>
    <n v="37.299999999999997"/>
    <n v="6.81"/>
    <n v="77.8"/>
    <n v="0.2"/>
    <n v="20.8"/>
    <n v="74.8"/>
    <n v="2.9"/>
    <n v="88.333333333333329"/>
    <n v="20.6"/>
    <n v="46.625"/>
    <n v="17.024999999999999"/>
    <n v="194.5"/>
    <n v="10"/>
    <n v="194"/>
    <x v="1"/>
    <x v="2"/>
  </r>
  <r>
    <x v="3"/>
    <n v="52.3"/>
    <n v="50.1"/>
    <n v="26.5"/>
    <n v="11.38"/>
    <n v="38.700000000000003"/>
    <n v="1.1399999999999999"/>
    <n v="24.2"/>
    <n v="38.700000000000003"/>
    <n v="3.62"/>
    <n v="87.166666666666657"/>
    <n v="50.1"/>
    <n v="33.125"/>
    <n v="28.45"/>
    <n v="96.75"/>
    <n v="56.999999999999993"/>
    <n v="97"/>
    <x v="3"/>
    <x v="2"/>
  </r>
  <r>
    <x v="4"/>
    <n v="66.099999999999994"/>
    <n v="227.3"/>
    <n v="21.7"/>
    <n v="10.66"/>
    <n v="7.9"/>
    <n v="1.1399999999999999"/>
    <n v="31.8"/>
    <n v="22.7"/>
    <n v="2.75"/>
    <n v="110.1666666666667"/>
    <n v="227.3"/>
    <n v="27.125"/>
    <n v="26.65"/>
    <n v="19.75"/>
    <n v="56.999999999999993"/>
    <n v="227"/>
    <x v="0"/>
    <x v="3"/>
  </r>
  <r>
    <x v="0"/>
    <n v="39.700000000000003"/>
    <n v="71.7"/>
    <n v="48.5"/>
    <n v="12.52"/>
    <n v="42.2"/>
    <n v="1.22"/>
    <n v="25.8"/>
    <n v="60"/>
    <n v="1.19"/>
    <n v="66.166666666666671"/>
    <n v="71.7"/>
    <n v="60.625"/>
    <n v="31.3"/>
    <n v="105.5"/>
    <n v="61"/>
    <n v="106"/>
    <x v="1"/>
    <x v="2"/>
  </r>
  <r>
    <x v="1"/>
    <n v="93.3"/>
    <n v="137.69999999999999"/>
    <n v="52.9"/>
    <n v="3.97"/>
    <n v="35.6"/>
    <n v="1.0900000000000001"/>
    <n v="14.3"/>
    <n v="29.6"/>
    <n v="1.78"/>
    <n v="155.5"/>
    <n v="137.69999999999999"/>
    <n v="66.125"/>
    <n v="9.9249999999999989"/>
    <n v="89.000000000000014"/>
    <n v="54.500000000000007"/>
    <n v="156"/>
    <x v="1"/>
    <x v="0"/>
  </r>
  <r>
    <x v="2"/>
    <n v="57.5"/>
    <n v="61.4"/>
    <n v="18.7"/>
    <n v="2.98"/>
    <n v="27.2"/>
    <n v="0.75"/>
    <n v="40.200000000000003"/>
    <n v="79"/>
    <n v="3.73"/>
    <n v="95.833333333333343"/>
    <n v="61.4"/>
    <n v="23.375"/>
    <n v="7.45"/>
    <n v="68"/>
    <n v="37.5"/>
    <n v="96"/>
    <x v="3"/>
    <x v="0"/>
  </r>
  <r>
    <x v="3"/>
    <n v="76"/>
    <n v="48.1"/>
    <n v="16.399999999999999"/>
    <n v="1.97"/>
    <n v="73.400000000000006"/>
    <n v="0.7"/>
    <n v="16.2"/>
    <n v="52.2"/>
    <n v="2.21"/>
    <n v="126.6666666666667"/>
    <n v="48.1"/>
    <n v="20.5"/>
    <n v="4.9249999999999998"/>
    <n v="183.5"/>
    <n v="34.999999999999993"/>
    <n v="184"/>
    <x v="1"/>
    <x v="2"/>
  </r>
  <r>
    <x v="4"/>
    <n v="59.9"/>
    <n v="118.9"/>
    <n v="25"/>
    <n v="10.06"/>
    <n v="26.4"/>
    <n v="0.97"/>
    <n v="29.8"/>
    <n v="48.4"/>
    <n v="2.3199999999999998"/>
    <n v="99.833333333333329"/>
    <n v="118.9"/>
    <n v="31.25"/>
    <n v="25.15"/>
    <n v="66"/>
    <n v="48.5"/>
    <n v="119"/>
    <x v="1"/>
    <x v="3"/>
  </r>
  <r>
    <x v="0"/>
    <n v="71.5"/>
    <n v="63.1"/>
    <n v="34.299999999999997"/>
    <n v="9.92"/>
    <n v="105.1"/>
    <n v="1.44"/>
    <n v="28.3"/>
    <n v="69.599999999999994"/>
    <n v="1.21"/>
    <n v="119.1666666666667"/>
    <n v="63.1"/>
    <n v="42.875"/>
    <n v="24.8"/>
    <n v="262.75"/>
    <n v="72"/>
    <n v="263"/>
    <x v="0"/>
    <x v="2"/>
  </r>
  <r>
    <x v="1"/>
    <n v="63.5"/>
    <n v="118.2"/>
    <n v="51.4"/>
    <n v="8.58"/>
    <n v="61.9"/>
    <n v="1.01"/>
    <n v="25.4"/>
    <n v="37.9"/>
    <n v="2.12"/>
    <n v="105.8333333333333"/>
    <n v="118.2"/>
    <n v="64.25"/>
    <n v="21.45"/>
    <n v="154.75"/>
    <n v="50.5"/>
    <n v="155"/>
    <x v="1"/>
    <x v="2"/>
  </r>
  <r>
    <x v="2"/>
    <n v="77.3"/>
    <n v="105.7"/>
    <n v="33.9"/>
    <n v="13.29"/>
    <n v="5.7"/>
    <n v="0.41"/>
    <n v="37"/>
    <n v="60.8"/>
    <n v="2.21"/>
    <n v="128.83333333333329"/>
    <n v="105.7"/>
    <n v="42.374999999999993"/>
    <n v="33.224999999999987"/>
    <n v="14.25"/>
    <n v="20.5"/>
    <n v="129"/>
    <x v="1"/>
    <x v="0"/>
  </r>
  <r>
    <x v="3"/>
    <n v="19.2"/>
    <n v="117.5"/>
    <n v="44.7"/>
    <n v="2.02"/>
    <n v="36.5"/>
    <n v="0.8"/>
    <n v="26.8"/>
    <n v="39.9"/>
    <n v="4"/>
    <n v="32"/>
    <n v="117.5"/>
    <n v="55.875"/>
    <n v="5.05"/>
    <n v="91.25"/>
    <n v="40"/>
    <n v="118"/>
    <x v="1"/>
    <x v="3"/>
  </r>
  <r>
    <x v="4"/>
    <n v="77"/>
    <n v="86.4"/>
    <n v="35.799999999999997"/>
    <n v="6.44"/>
    <n v="22.6"/>
    <n v="0.82"/>
    <n v="23.1"/>
    <n v="89"/>
    <n v="4.1399999999999997"/>
    <n v="128.33333333333329"/>
    <n v="86.4"/>
    <n v="44.75"/>
    <n v="16.100000000000001"/>
    <n v="56.5"/>
    <n v="40.999999999999993"/>
    <n v="128"/>
    <x v="1"/>
    <x v="0"/>
  </r>
  <r>
    <x v="0"/>
    <n v="81"/>
    <n v="130.80000000000001"/>
    <n v="20.8"/>
    <n v="7.17"/>
    <n v="73.900000000000006"/>
    <n v="0.41"/>
    <n v="29.5"/>
    <n v="100"/>
    <n v="3.77"/>
    <n v="135"/>
    <n v="130.80000000000001"/>
    <n v="26"/>
    <n v="17.925000000000001"/>
    <n v="184.75"/>
    <n v="20.5"/>
    <n v="185"/>
    <x v="1"/>
    <x v="2"/>
  </r>
  <r>
    <x v="1"/>
    <n v="102.4"/>
    <n v="133.1"/>
    <n v="64.400000000000006"/>
    <n v="4.41"/>
    <n v="74.900000000000006"/>
    <n v="1.59"/>
    <n v="27"/>
    <n v="83.7"/>
    <n v="1.85"/>
    <n v="170.66666666666671"/>
    <n v="133.1"/>
    <n v="80.5"/>
    <n v="11.025"/>
    <n v="187.25"/>
    <n v="79.5"/>
    <n v="187"/>
    <x v="1"/>
    <x v="2"/>
  </r>
  <r>
    <x v="2"/>
    <n v="41.3"/>
    <n v="95.6"/>
    <n v="18.5"/>
    <n v="6.94"/>
    <n v="1"/>
    <n v="1.39"/>
    <n v="25.3"/>
    <n v="50.6"/>
    <n v="1.5"/>
    <n v="68.833333333333329"/>
    <n v="95.6"/>
    <n v="23.125"/>
    <n v="17.350000000000001"/>
    <n v="2.5"/>
    <n v="69.499999999999986"/>
    <n v="96"/>
    <x v="3"/>
    <x v="3"/>
  </r>
  <r>
    <x v="3"/>
    <n v="42.4"/>
    <n v="129"/>
    <n v="44.8"/>
    <n v="3.58"/>
    <n v="18.8"/>
    <n v="1.28"/>
    <n v="19.899999999999999"/>
    <n v="61.1"/>
    <n v="2.65"/>
    <n v="70.666666666666671"/>
    <n v="129"/>
    <n v="55.999999999999993"/>
    <n v="8.9499999999999993"/>
    <n v="47"/>
    <n v="64"/>
    <n v="129"/>
    <x v="1"/>
    <x v="3"/>
  </r>
  <r>
    <x v="4"/>
    <n v="61"/>
    <n v="150.9"/>
    <n v="17.399999999999999"/>
    <n v="0.5"/>
    <n v="28.4"/>
    <n v="2.0099999999999998"/>
    <n v="39.200000000000003"/>
    <n v="93"/>
    <n v="2.77"/>
    <n v="101.6666666666667"/>
    <n v="150.9"/>
    <n v="21.75"/>
    <n v="1.25"/>
    <n v="71"/>
    <n v="100.5"/>
    <n v="151"/>
    <x v="1"/>
    <x v="3"/>
  </r>
  <r>
    <x v="0"/>
    <n v="6"/>
    <n v="5"/>
    <n v="30.1"/>
    <n v="6.45"/>
    <n v="83.4"/>
    <n v="1.58"/>
    <n v="26.6"/>
    <n v="44"/>
    <n v="1.35"/>
    <n v="10"/>
    <n v="5"/>
    <n v="37.625"/>
    <n v="16.125"/>
    <n v="208.5"/>
    <n v="79"/>
    <n v="209"/>
    <x v="0"/>
    <x v="2"/>
  </r>
  <r>
    <x v="1"/>
    <n v="67.599999999999994"/>
    <n v="161.80000000000001"/>
    <n v="52.8"/>
    <n v="2.83"/>
    <n v="70.3"/>
    <n v="1.46"/>
    <n v="17.5"/>
    <n v="45.9"/>
    <n v="3.33"/>
    <n v="112.6666666666667"/>
    <n v="161.80000000000001"/>
    <n v="66"/>
    <n v="7.0750000000000002"/>
    <n v="175.75"/>
    <n v="73"/>
    <n v="176"/>
    <x v="1"/>
    <x v="2"/>
  </r>
  <r>
    <x v="2"/>
    <n v="40.299999999999997"/>
    <n v="163.69999999999999"/>
    <n v="41.8"/>
    <n v="4.2300000000000004"/>
    <n v="37.799999999999997"/>
    <n v="0.94"/>
    <n v="19.899999999999999"/>
    <n v="43.6"/>
    <n v="3.34"/>
    <n v="67.166666666666671"/>
    <n v="163.69999999999999"/>
    <n v="52.25"/>
    <n v="10.574999999999999"/>
    <n v="94.499999999999986"/>
    <n v="47"/>
    <n v="164"/>
    <x v="1"/>
    <x v="3"/>
  </r>
  <r>
    <x v="3"/>
    <n v="68.3"/>
    <n v="125"/>
    <n v="60.2"/>
    <n v="4.2300000000000004"/>
    <n v="81.900000000000006"/>
    <n v="0.53"/>
    <n v="17.899999999999999"/>
    <n v="28.3"/>
    <n v="1.97"/>
    <n v="113.8333333333333"/>
    <n v="125"/>
    <n v="75.25"/>
    <n v="10.574999999999999"/>
    <n v="204.75"/>
    <n v="26.5"/>
    <n v="205"/>
    <x v="0"/>
    <x v="2"/>
  </r>
  <r>
    <x v="4"/>
    <n v="39.5"/>
    <n v="133.4"/>
    <n v="43.9"/>
    <n v="1.79"/>
    <n v="33.200000000000003"/>
    <n v="0.86"/>
    <n v="12.6"/>
    <n v="42.3"/>
    <n v="2.08"/>
    <n v="65.833333333333329"/>
    <n v="133.4"/>
    <n v="54.875"/>
    <n v="4.4749999999999996"/>
    <n v="83"/>
    <n v="43"/>
    <n v="133"/>
    <x v="1"/>
    <x v="3"/>
  </r>
  <r>
    <x v="0"/>
    <n v="94.8"/>
    <n v="121"/>
    <n v="53.6"/>
    <n v="0.5"/>
    <n v="80.3"/>
    <n v="1.82"/>
    <n v="11"/>
    <n v="47.3"/>
    <n v="3.09"/>
    <n v="158"/>
    <n v="121"/>
    <n v="67"/>
    <n v="1.25"/>
    <n v="200.75"/>
    <n v="91"/>
    <n v="201"/>
    <x v="0"/>
    <x v="2"/>
  </r>
  <r>
    <x v="1"/>
    <n v="79.3"/>
    <n v="79.3"/>
    <n v="38.9"/>
    <n v="5.01"/>
    <n v="53.5"/>
    <n v="1.92"/>
    <n v="19.600000000000001"/>
    <n v="78"/>
    <n v="1.56"/>
    <n v="132.16666666666671"/>
    <n v="79.3"/>
    <n v="48.625"/>
    <n v="12.525"/>
    <n v="133.75"/>
    <n v="96"/>
    <n v="134"/>
    <x v="1"/>
    <x v="2"/>
  </r>
  <r>
    <x v="2"/>
    <n v="26.3"/>
    <n v="128.5"/>
    <n v="48.2"/>
    <n v="9.32"/>
    <n v="6.7"/>
    <n v="0.7"/>
    <n v="30.8"/>
    <n v="60.7"/>
    <n v="1.21"/>
    <n v="43.833333333333343"/>
    <n v="128.5"/>
    <n v="60.250000000000007"/>
    <n v="23.3"/>
    <n v="16.75"/>
    <n v="34.999999999999993"/>
    <n v="128"/>
    <x v="1"/>
    <x v="3"/>
  </r>
  <r>
    <x v="3"/>
    <n v="59"/>
    <n v="61.7"/>
    <n v="64.7"/>
    <n v="12.58"/>
    <n v="55.1"/>
    <n v="1.61"/>
    <n v="25.5"/>
    <n v="73.8"/>
    <n v="4.2699999999999996"/>
    <n v="98.333333333333329"/>
    <n v="61.7"/>
    <n v="80.875"/>
    <n v="31.45"/>
    <n v="137.75"/>
    <n v="80.5"/>
    <n v="138"/>
    <x v="1"/>
    <x v="2"/>
  </r>
  <r>
    <x v="4"/>
    <n v="59.3"/>
    <n v="92.1"/>
    <n v="9.6"/>
    <n v="6.67"/>
    <n v="66.599999999999994"/>
    <n v="1.56"/>
    <n v="28.5"/>
    <n v="50.3"/>
    <n v="0.63"/>
    <n v="98.833333333333329"/>
    <n v="92.1"/>
    <n v="12"/>
    <n v="16.675000000000001"/>
    <n v="166.5"/>
    <n v="78"/>
    <n v="166"/>
    <x v="1"/>
    <x v="2"/>
  </r>
  <r>
    <x v="0"/>
    <n v="41.5"/>
    <n v="93.6"/>
    <n v="35.6"/>
    <n v="10.210000000000001"/>
    <n v="103.1"/>
    <n v="1.17"/>
    <n v="23.5"/>
    <n v="55.3"/>
    <n v="2.65"/>
    <n v="69.166666666666671"/>
    <n v="93.6"/>
    <n v="44.500000000000007"/>
    <n v="25.524999999999999"/>
    <n v="257.75"/>
    <n v="58.5"/>
    <n v="258"/>
    <x v="0"/>
    <x v="2"/>
  </r>
  <r>
    <x v="1"/>
    <n v="35.200000000000003"/>
    <n v="127.2"/>
    <n v="54"/>
    <n v="9.0500000000000007"/>
    <n v="64.3"/>
    <n v="1.46"/>
    <n v="12.6"/>
    <n v="71.5"/>
    <n v="1.69"/>
    <n v="58.666666666666671"/>
    <n v="127.2"/>
    <n v="67.5"/>
    <n v="22.625"/>
    <n v="160.75"/>
    <n v="73"/>
    <n v="161"/>
    <x v="1"/>
    <x v="2"/>
  </r>
  <r>
    <x v="2"/>
    <n v="20.6"/>
    <n v="40.799999999999997"/>
    <n v="40.799999999999997"/>
    <n v="5.23"/>
    <n v="1"/>
    <n v="1.1299999999999999"/>
    <n v="14.9"/>
    <n v="62.5"/>
    <n v="2.79"/>
    <n v="34.333333333333343"/>
    <n v="40.799999999999997"/>
    <n v="51"/>
    <n v="13.074999999999999"/>
    <n v="2.5"/>
    <n v="56.499999999999993"/>
    <n v="56"/>
    <x v="3"/>
    <x v="4"/>
  </r>
  <r>
    <x v="3"/>
    <n v="69.3"/>
    <n v="181.5"/>
    <n v="14.2"/>
    <n v="6.19"/>
    <n v="33.1"/>
    <n v="1.17"/>
    <n v="26.5"/>
    <n v="53.7"/>
    <n v="1.97"/>
    <n v="115.5"/>
    <n v="181.5"/>
    <n v="17.75"/>
    <n v="15.475"/>
    <n v="82.75"/>
    <n v="58.5"/>
    <n v="182"/>
    <x v="1"/>
    <x v="3"/>
  </r>
  <r>
    <x v="4"/>
    <n v="23.3"/>
    <n v="157.80000000000001"/>
    <n v="47.7"/>
    <n v="11.08"/>
    <n v="35.5"/>
    <n v="0.71"/>
    <n v="17.5"/>
    <n v="66.5"/>
    <n v="1.75"/>
    <n v="38.833333333333343"/>
    <n v="157.80000000000001"/>
    <n v="59.625000000000007"/>
    <n v="27.7"/>
    <n v="88.75"/>
    <n v="35.5"/>
    <n v="158"/>
    <x v="1"/>
    <x v="3"/>
  </r>
  <r>
    <x v="0"/>
    <n v="106.2"/>
    <n v="38.200000000000003"/>
    <n v="46.4"/>
    <n v="14.57"/>
    <n v="63.2"/>
    <n v="1.2"/>
    <n v="18.2"/>
    <n v="35.1"/>
    <n v="3.42"/>
    <n v="177"/>
    <n v="38.200000000000003"/>
    <n v="57.999999999999993"/>
    <n v="36.424999999999997"/>
    <n v="158"/>
    <n v="60"/>
    <n v="177"/>
    <x v="1"/>
    <x v="0"/>
  </r>
  <r>
    <x v="1"/>
    <n v="105.2"/>
    <n v="93.7"/>
    <n v="22.2"/>
    <n v="0.5"/>
    <n v="19.399999999999999"/>
    <n v="1.1299999999999999"/>
    <n v="36.200000000000003"/>
    <n v="72.099999999999994"/>
    <n v="2.87"/>
    <n v="175.33333333333329"/>
    <n v="93.7"/>
    <n v="27.75"/>
    <n v="1.25"/>
    <n v="48.499999999999993"/>
    <n v="56.499999999999993"/>
    <n v="175"/>
    <x v="1"/>
    <x v="0"/>
  </r>
  <r>
    <x v="2"/>
    <n v="36.5"/>
    <n v="64.599999999999994"/>
    <n v="55.6"/>
    <n v="6.84"/>
    <n v="1"/>
    <n v="0.6"/>
    <n v="19"/>
    <n v="50.2"/>
    <n v="3.18"/>
    <n v="60.833333333333343"/>
    <n v="64.599999999999994"/>
    <n v="69.5"/>
    <n v="17.100000000000001"/>
    <n v="2.5"/>
    <n v="30"/>
    <n v="70"/>
    <x v="3"/>
    <x v="1"/>
  </r>
  <r>
    <x v="3"/>
    <n v="45.4"/>
    <n v="92.3"/>
    <n v="57"/>
    <n v="3.61"/>
    <n v="86.6"/>
    <n v="0.64"/>
    <n v="25.6"/>
    <n v="54.9"/>
    <n v="2.65"/>
    <n v="75.666666666666657"/>
    <n v="92.3"/>
    <n v="71.25"/>
    <n v="9.0250000000000004"/>
    <n v="216.5"/>
    <n v="32"/>
    <n v="216"/>
    <x v="0"/>
    <x v="2"/>
  </r>
  <r>
    <x v="4"/>
    <n v="64.5"/>
    <n v="128.5"/>
    <n v="26.3"/>
    <n v="2.1"/>
    <n v="112.8"/>
    <n v="0.8"/>
    <n v="29.9"/>
    <n v="31.1"/>
    <n v="2.66"/>
    <n v="107.5"/>
    <n v="128.5"/>
    <n v="32.875"/>
    <n v="5.25"/>
    <n v="282"/>
    <n v="40"/>
    <n v="282"/>
    <x v="0"/>
    <x v="2"/>
  </r>
  <r>
    <x v="0"/>
    <n v="51.7"/>
    <n v="136.5"/>
    <n v="2"/>
    <n v="8.1199999999999992"/>
    <n v="12.9"/>
    <n v="1.28"/>
    <n v="17.7"/>
    <n v="44.6"/>
    <n v="2.17"/>
    <n v="86.166666666666671"/>
    <n v="136.5"/>
    <n v="2.5"/>
    <n v="20.3"/>
    <n v="32.25"/>
    <n v="64"/>
    <n v="136"/>
    <x v="1"/>
    <x v="3"/>
  </r>
  <r>
    <x v="1"/>
    <n v="28.4"/>
    <n v="91.5"/>
    <n v="21.1"/>
    <n v="0.5"/>
    <n v="81.8"/>
    <n v="0.42"/>
    <n v="23.7"/>
    <n v="73.599999999999994"/>
    <n v="1.76"/>
    <n v="47.333333333333329"/>
    <n v="91.5"/>
    <n v="26.375"/>
    <n v="1.25"/>
    <n v="204.5"/>
    <n v="21"/>
    <n v="204"/>
    <x v="0"/>
    <x v="2"/>
  </r>
  <r>
    <x v="2"/>
    <n v="26.8"/>
    <n v="101.5"/>
    <n v="51.2"/>
    <n v="1.64"/>
    <n v="34.4"/>
    <n v="0.12"/>
    <n v="22.2"/>
    <n v="60.6"/>
    <n v="1.47"/>
    <n v="44.666666666666657"/>
    <n v="101.5"/>
    <n v="64"/>
    <n v="4.0999999999999996"/>
    <n v="86"/>
    <n v="6"/>
    <n v="102"/>
    <x v="1"/>
    <x v="3"/>
  </r>
  <r>
    <x v="3"/>
    <n v="37"/>
    <n v="28.4"/>
    <n v="37.200000000000003"/>
    <n v="10.62"/>
    <n v="12.6"/>
    <n v="0.66"/>
    <n v="28.5"/>
    <n v="81.8"/>
    <n v="0.71"/>
    <n v="61.666666666666671"/>
    <n v="28.4"/>
    <n v="46.500000000000007"/>
    <n v="26.55"/>
    <n v="31.5"/>
    <n v="33"/>
    <n v="62"/>
    <x v="3"/>
    <x v="0"/>
  </r>
  <r>
    <x v="4"/>
    <n v="48.3"/>
    <n v="120.5"/>
    <n v="37.799999999999997"/>
    <n v="0.5"/>
    <n v="57.8"/>
    <n v="1.86"/>
    <n v="25.8"/>
    <n v="41.4"/>
    <n v="2.38"/>
    <n v="80.5"/>
    <n v="120.5"/>
    <n v="47.249999999999993"/>
    <n v="1.25"/>
    <n v="144.5"/>
    <n v="93"/>
    <n v="144"/>
    <x v="1"/>
    <x v="2"/>
  </r>
  <r>
    <x v="0"/>
    <n v="104"/>
    <n v="160.6"/>
    <n v="53.2"/>
    <n v="9"/>
    <n v="27"/>
    <n v="0.99"/>
    <n v="24.5"/>
    <n v="69.900000000000006"/>
    <n v="4.3099999999999996"/>
    <n v="173.33333333333329"/>
    <n v="160.6"/>
    <n v="66.5"/>
    <n v="22.5"/>
    <n v="67.5"/>
    <n v="49.5"/>
    <n v="173"/>
    <x v="1"/>
    <x v="0"/>
  </r>
  <r>
    <x v="1"/>
    <n v="93.6"/>
    <n v="34.799999999999997"/>
    <n v="49.5"/>
    <n v="11.68"/>
    <n v="69.3"/>
    <n v="0.82"/>
    <n v="45.4"/>
    <n v="37"/>
    <n v="1.2"/>
    <n v="156"/>
    <n v="34.799999999999997"/>
    <n v="61.875"/>
    <n v="29.2"/>
    <n v="173.25"/>
    <n v="40.999999999999993"/>
    <n v="173"/>
    <x v="1"/>
    <x v="2"/>
  </r>
  <r>
    <x v="2"/>
    <n v="50.9"/>
    <n v="187.7"/>
    <n v="21.5"/>
    <n v="5.07"/>
    <n v="63.6"/>
    <n v="0.9"/>
    <n v="22.7"/>
    <n v="70.2"/>
    <n v="2.83"/>
    <n v="84.833333333333329"/>
    <n v="187.7"/>
    <n v="26.875"/>
    <n v="12.675000000000001"/>
    <n v="159"/>
    <n v="45"/>
    <n v="188"/>
    <x v="1"/>
    <x v="3"/>
  </r>
  <r>
    <x v="3"/>
    <n v="72.7"/>
    <n v="158"/>
    <n v="40.9"/>
    <n v="7.57"/>
    <n v="45.4"/>
    <n v="1.19"/>
    <n v="25.4"/>
    <n v="60"/>
    <n v="3.94"/>
    <n v="121.1666666666667"/>
    <n v="158"/>
    <n v="51.125"/>
    <n v="18.925000000000001"/>
    <n v="113.5"/>
    <n v="59.5"/>
    <n v="158"/>
    <x v="1"/>
    <x v="3"/>
  </r>
  <r>
    <x v="4"/>
    <n v="92.8"/>
    <n v="26"/>
    <n v="39.799999999999997"/>
    <n v="4.01"/>
    <n v="35.4"/>
    <n v="1.27"/>
    <n v="29.7"/>
    <n v="58"/>
    <n v="0.7"/>
    <n v="154.66666666666671"/>
    <n v="26"/>
    <n v="49.749999999999993"/>
    <n v="10.025"/>
    <n v="88.5"/>
    <n v="63.5"/>
    <n v="155"/>
    <x v="1"/>
    <x v="0"/>
  </r>
  <r>
    <x v="0"/>
    <n v="28.6"/>
    <n v="159.9"/>
    <n v="2"/>
    <n v="12.82"/>
    <n v="61"/>
    <n v="1.83"/>
    <n v="23.6"/>
    <n v="22.9"/>
    <n v="3.02"/>
    <n v="47.666666666666671"/>
    <n v="159.9"/>
    <n v="2.5"/>
    <n v="32.049999999999997"/>
    <n v="152.5"/>
    <n v="91.5"/>
    <n v="160"/>
    <x v="1"/>
    <x v="3"/>
  </r>
  <r>
    <x v="1"/>
    <n v="98.2"/>
    <n v="175.5"/>
    <n v="31.7"/>
    <n v="8.43"/>
    <n v="33.299999999999997"/>
    <n v="0.71"/>
    <n v="31.7"/>
    <n v="38.4"/>
    <n v="1.43"/>
    <n v="163.66666666666671"/>
    <n v="175.5"/>
    <n v="39.625"/>
    <n v="21.074999999999999"/>
    <n v="83.249999999999986"/>
    <n v="35.5"/>
    <n v="176"/>
    <x v="1"/>
    <x v="3"/>
  </r>
  <r>
    <x v="2"/>
    <n v="20.399999999999999"/>
    <n v="23.2"/>
    <n v="36.4"/>
    <n v="10.49"/>
    <n v="33.6"/>
    <n v="0.23"/>
    <n v="30.9"/>
    <n v="90.3"/>
    <n v="1.72"/>
    <n v="33.999999999999993"/>
    <n v="23.2"/>
    <n v="45.5"/>
    <n v="26.225000000000001"/>
    <n v="84"/>
    <n v="11.5"/>
    <n v="84"/>
    <x v="3"/>
    <x v="2"/>
  </r>
  <r>
    <x v="3"/>
    <n v="36.5"/>
    <n v="120.8"/>
    <n v="61.9"/>
    <n v="4.32"/>
    <n v="6.7"/>
    <n v="1.26"/>
    <n v="30.6"/>
    <n v="60.1"/>
    <n v="1.83"/>
    <n v="60.833333333333343"/>
    <n v="120.8"/>
    <n v="77.375"/>
    <n v="10.8"/>
    <n v="16.75"/>
    <n v="63"/>
    <n v="121"/>
    <x v="1"/>
    <x v="3"/>
  </r>
  <r>
    <x v="4"/>
    <n v="79.099999999999994"/>
    <n v="133.5"/>
    <n v="26.1"/>
    <n v="7.26"/>
    <n v="6.8"/>
    <n v="1.42"/>
    <n v="23.2"/>
    <n v="52.2"/>
    <n v="2.96"/>
    <n v="131.83333333333329"/>
    <n v="133.5"/>
    <n v="32.625"/>
    <n v="18.149999999999999"/>
    <n v="17"/>
    <n v="71"/>
    <n v="134"/>
    <x v="1"/>
    <x v="3"/>
  </r>
  <r>
    <x v="0"/>
    <n v="56.3"/>
    <n v="159.80000000000001"/>
    <n v="52.3"/>
    <n v="6.64"/>
    <n v="68"/>
    <n v="1.33"/>
    <n v="22"/>
    <n v="57.8"/>
    <n v="2.3199999999999998"/>
    <n v="93.833333333333329"/>
    <n v="159.80000000000001"/>
    <n v="65.375"/>
    <n v="16.600000000000001"/>
    <n v="170"/>
    <n v="66.5"/>
    <n v="170"/>
    <x v="1"/>
    <x v="2"/>
  </r>
  <r>
    <x v="1"/>
    <n v="75.2"/>
    <n v="98"/>
    <n v="37.200000000000003"/>
    <n v="17.84"/>
    <n v="79.400000000000006"/>
    <n v="0.74"/>
    <n v="29"/>
    <n v="62.1"/>
    <n v="2.97"/>
    <n v="125.3333333333333"/>
    <n v="98"/>
    <n v="46.500000000000007"/>
    <n v="44.6"/>
    <n v="198.5"/>
    <n v="37"/>
    <n v="198"/>
    <x v="1"/>
    <x v="2"/>
  </r>
  <r>
    <x v="2"/>
    <n v="48.7"/>
    <n v="145.4"/>
    <n v="39.5"/>
    <n v="5.84"/>
    <n v="62.8"/>
    <n v="1.02"/>
    <n v="25.9"/>
    <n v="65.7"/>
    <n v="2.39"/>
    <n v="81.166666666666671"/>
    <n v="145.4"/>
    <n v="49.375"/>
    <n v="14.6"/>
    <n v="157"/>
    <n v="51.000000000000007"/>
    <n v="157"/>
    <x v="1"/>
    <x v="2"/>
  </r>
  <r>
    <x v="3"/>
    <n v="48.2"/>
    <n v="67.8"/>
    <n v="24"/>
    <n v="2.41"/>
    <n v="5.2"/>
    <n v="0.54"/>
    <n v="23.8"/>
    <n v="61.9"/>
    <n v="2.17"/>
    <n v="80.333333333333343"/>
    <n v="67.8"/>
    <n v="30"/>
    <n v="6.0250000000000004"/>
    <n v="13"/>
    <n v="27"/>
    <n v="80"/>
    <x v="3"/>
    <x v="0"/>
  </r>
  <r>
    <x v="4"/>
    <n v="2"/>
    <n v="188.7"/>
    <n v="58.7"/>
    <n v="9"/>
    <n v="96.5"/>
    <n v="0.54"/>
    <n v="38.200000000000003"/>
    <n v="42.6"/>
    <n v="3.29"/>
    <n v="3.333333333333333"/>
    <n v="188.7"/>
    <n v="73.375000000000014"/>
    <n v="22.5"/>
    <n v="241.25"/>
    <n v="27"/>
    <n v="241"/>
    <x v="0"/>
    <x v="2"/>
  </r>
  <r>
    <x v="0"/>
    <n v="20"/>
    <n v="111.2"/>
    <n v="48.5"/>
    <n v="6.65"/>
    <n v="66.5"/>
    <n v="1.1599999999999999"/>
    <n v="21.3"/>
    <n v="49.8"/>
    <n v="3.47"/>
    <n v="33.333333333333343"/>
    <n v="111.2"/>
    <n v="60.625"/>
    <n v="16.625"/>
    <n v="166.25"/>
    <n v="57.999999999999993"/>
    <n v="166"/>
    <x v="1"/>
    <x v="2"/>
  </r>
  <r>
    <x v="1"/>
    <n v="40.4"/>
    <n v="174.9"/>
    <n v="69.5"/>
    <n v="0.5"/>
    <n v="85.4"/>
    <n v="2.44"/>
    <n v="26.8"/>
    <n v="70.8"/>
    <n v="3.74"/>
    <n v="67.333333333333329"/>
    <n v="174.9"/>
    <n v="86.875"/>
    <n v="1.25"/>
    <n v="213.5"/>
    <n v="122"/>
    <n v="214"/>
    <x v="0"/>
    <x v="2"/>
  </r>
  <r>
    <x v="2"/>
    <n v="39.299999999999997"/>
    <n v="99.5"/>
    <n v="14.2"/>
    <n v="6.61"/>
    <n v="49.8"/>
    <n v="1.1499999999999999"/>
    <n v="32.5"/>
    <n v="46.1"/>
    <n v="1.86"/>
    <n v="65.499999999999986"/>
    <n v="99.5"/>
    <n v="17.75"/>
    <n v="16.524999999999999"/>
    <n v="124.5"/>
    <n v="57.499999999999993"/>
    <n v="124"/>
    <x v="1"/>
    <x v="2"/>
  </r>
  <r>
    <x v="3"/>
    <n v="93.5"/>
    <n v="88.8"/>
    <n v="39.200000000000003"/>
    <n v="6.13"/>
    <n v="19.5"/>
    <n v="1.74"/>
    <n v="21.3"/>
    <n v="39.700000000000003"/>
    <n v="1.96"/>
    <n v="155.83333333333329"/>
    <n v="88.8"/>
    <n v="49"/>
    <n v="15.324999999999999"/>
    <n v="48.75"/>
    <n v="87"/>
    <n v="156"/>
    <x v="1"/>
    <x v="0"/>
  </r>
  <r>
    <x v="4"/>
    <n v="2"/>
    <n v="71.2"/>
    <n v="22.6"/>
    <n v="9.76"/>
    <n v="25.5"/>
    <n v="1.52"/>
    <n v="34.799999999999997"/>
    <n v="74.099999999999994"/>
    <n v="2.74"/>
    <n v="3.333333333333333"/>
    <n v="71.2"/>
    <n v="28.25"/>
    <n v="24.4"/>
    <n v="63.75"/>
    <n v="76"/>
    <n v="76"/>
    <x v="3"/>
    <x v="4"/>
  </r>
  <r>
    <x v="0"/>
    <n v="59.1"/>
    <n v="26.2"/>
    <n v="38.9"/>
    <n v="3.4"/>
    <n v="66"/>
    <n v="2.52"/>
    <n v="28.5"/>
    <n v="24.2"/>
    <n v="2.0699999999999998"/>
    <n v="98.5"/>
    <n v="26.2"/>
    <n v="48.625"/>
    <n v="8.5"/>
    <n v="165"/>
    <n v="126"/>
    <n v="165"/>
    <x v="1"/>
    <x v="2"/>
  </r>
  <r>
    <x v="1"/>
    <n v="63.7"/>
    <n v="125.2"/>
    <n v="30.4"/>
    <n v="9.23"/>
    <n v="11.2"/>
    <n v="0.63"/>
    <n v="29.5"/>
    <n v="41.7"/>
    <n v="3.15"/>
    <n v="106.1666666666667"/>
    <n v="125.2"/>
    <n v="38"/>
    <n v="23.074999999999999"/>
    <n v="28"/>
    <n v="31.5"/>
    <n v="125"/>
    <x v="1"/>
    <x v="3"/>
  </r>
  <r>
    <x v="2"/>
    <n v="14.4"/>
    <n v="171.7"/>
    <n v="22.4"/>
    <n v="5.23"/>
    <n v="45.9"/>
    <n v="0.65"/>
    <n v="26"/>
    <n v="70.400000000000006"/>
    <n v="3.65"/>
    <n v="24"/>
    <n v="171.7"/>
    <n v="28"/>
    <n v="13.074999999999999"/>
    <n v="114.75"/>
    <n v="32.5"/>
    <n v="172"/>
    <x v="1"/>
    <x v="3"/>
  </r>
  <r>
    <x v="3"/>
    <n v="67"/>
    <n v="87.8"/>
    <n v="33.700000000000003"/>
    <n v="15.8"/>
    <n v="63.7"/>
    <n v="0.52"/>
    <n v="25.7"/>
    <n v="54"/>
    <n v="2.34"/>
    <n v="111.6666666666667"/>
    <n v="87.8"/>
    <n v="42.125"/>
    <n v="39.5"/>
    <n v="159.25"/>
    <n v="26"/>
    <n v="159"/>
    <x v="1"/>
    <x v="2"/>
  </r>
  <r>
    <x v="4"/>
    <n v="20.3"/>
    <n v="83.9"/>
    <n v="71.5"/>
    <n v="9.59"/>
    <n v="1"/>
    <n v="1.7"/>
    <n v="32.6"/>
    <n v="53.5"/>
    <n v="3.86"/>
    <n v="33.833333333333343"/>
    <n v="83.9"/>
    <n v="89.375"/>
    <n v="23.975000000000001"/>
    <n v="2.5"/>
    <n v="84.999999999999986"/>
    <n v="89"/>
    <x v="3"/>
    <x v="1"/>
  </r>
  <r>
    <x v="0"/>
    <n v="31.5"/>
    <n v="84.4"/>
    <n v="69"/>
    <n v="6.11"/>
    <n v="1"/>
    <n v="1.07"/>
    <n v="24.4"/>
    <n v="81.599999999999994"/>
    <n v="2.52"/>
    <n v="52.5"/>
    <n v="84.4"/>
    <n v="86.25"/>
    <n v="15.275"/>
    <n v="2.5"/>
    <n v="53.500000000000007"/>
    <n v="86"/>
    <x v="3"/>
    <x v="1"/>
  </r>
  <r>
    <x v="1"/>
    <n v="47.4"/>
    <n v="182.7"/>
    <n v="47.4"/>
    <n v="4.25"/>
    <n v="86.1"/>
    <n v="1.32"/>
    <n v="25"/>
    <n v="63.2"/>
    <n v="1.22"/>
    <n v="79"/>
    <n v="182.7"/>
    <n v="59.25"/>
    <n v="10.625"/>
    <n v="215.25"/>
    <n v="66"/>
    <n v="215"/>
    <x v="0"/>
    <x v="2"/>
  </r>
  <r>
    <x v="2"/>
    <n v="33.6"/>
    <n v="91.4"/>
    <n v="31.2"/>
    <n v="10.92"/>
    <n v="43.2"/>
    <n v="1.3"/>
    <n v="25.1"/>
    <n v="79"/>
    <n v="2.98"/>
    <n v="56"/>
    <n v="91.4"/>
    <n v="39"/>
    <n v="27.3"/>
    <n v="108"/>
    <n v="65"/>
    <n v="108"/>
    <x v="1"/>
    <x v="2"/>
  </r>
  <r>
    <x v="3"/>
    <n v="48.3"/>
    <n v="95.4"/>
    <n v="20.7"/>
    <n v="8.43"/>
    <n v="39"/>
    <n v="0.72"/>
    <n v="32.700000000000003"/>
    <n v="37.5"/>
    <n v="1.99"/>
    <n v="80.5"/>
    <n v="95.4"/>
    <n v="25.875"/>
    <n v="21.074999999999999"/>
    <n v="97.5"/>
    <n v="36"/>
    <n v="98"/>
    <x v="3"/>
    <x v="2"/>
  </r>
  <r>
    <x v="4"/>
    <n v="79.900000000000006"/>
    <n v="122.3"/>
    <n v="38.799999999999997"/>
    <n v="8.14"/>
    <n v="48.9"/>
    <n v="0.26"/>
    <n v="22.6"/>
    <n v="89.1"/>
    <n v="2.21"/>
    <n v="133.16666666666671"/>
    <n v="122.3"/>
    <n v="48.499999999999993"/>
    <n v="20.350000000000001"/>
    <n v="122.25"/>
    <n v="13"/>
    <n v="133"/>
    <x v="1"/>
    <x v="0"/>
  </r>
  <r>
    <x v="0"/>
    <n v="46.4"/>
    <n v="80.5"/>
    <n v="39.799999999999997"/>
    <n v="4.68"/>
    <n v="60"/>
    <n v="1.21"/>
    <n v="30.4"/>
    <n v="41.1"/>
    <n v="2.09"/>
    <n v="77.333333333333343"/>
    <n v="80.5"/>
    <n v="49.749999999999993"/>
    <n v="11.7"/>
    <n v="150"/>
    <n v="60.5"/>
    <n v="150"/>
    <x v="1"/>
    <x v="2"/>
  </r>
  <r>
    <x v="1"/>
    <n v="53.2"/>
    <n v="147.30000000000001"/>
    <n v="29.1"/>
    <n v="12.58"/>
    <n v="87.1"/>
    <n v="0.61"/>
    <n v="21.6"/>
    <n v="50.4"/>
    <n v="5.66"/>
    <n v="88.666666666666671"/>
    <n v="147.30000000000001"/>
    <n v="36.375000000000007"/>
    <n v="31.45"/>
    <n v="217.75"/>
    <n v="30.5"/>
    <n v="218"/>
    <x v="0"/>
    <x v="2"/>
  </r>
  <r>
    <x v="2"/>
    <n v="35.799999999999997"/>
    <n v="167.7"/>
    <n v="14.9"/>
    <n v="2.3199999999999998"/>
    <n v="21.7"/>
    <n v="0.53"/>
    <n v="23.1"/>
    <n v="47.2"/>
    <n v="1.52"/>
    <n v="59.666666666666657"/>
    <n v="167.7"/>
    <n v="18.625"/>
    <n v="5.8"/>
    <n v="54.25"/>
    <n v="26.5"/>
    <n v="168"/>
    <x v="1"/>
    <x v="3"/>
  </r>
  <r>
    <x v="3"/>
    <n v="75.8"/>
    <n v="154.69999999999999"/>
    <n v="51.2"/>
    <n v="8.5"/>
    <n v="42.3"/>
    <n v="0.72"/>
    <n v="18.3"/>
    <n v="66.5"/>
    <n v="1.0900000000000001"/>
    <n v="126.3333333333333"/>
    <n v="154.69999999999999"/>
    <n v="64"/>
    <n v="21.25"/>
    <n v="105.75"/>
    <n v="36"/>
    <n v="155"/>
    <x v="1"/>
    <x v="3"/>
  </r>
  <r>
    <x v="4"/>
    <n v="26.6"/>
    <n v="166.5"/>
    <n v="73.099999999999994"/>
    <n v="8.77"/>
    <n v="74.400000000000006"/>
    <n v="0.93"/>
    <n v="15.6"/>
    <n v="71"/>
    <n v="3.68"/>
    <n v="44.333333333333343"/>
    <n v="166.5"/>
    <n v="91.375"/>
    <n v="21.925000000000001"/>
    <n v="186"/>
    <n v="46.5"/>
    <n v="186"/>
    <x v="1"/>
    <x v="2"/>
  </r>
  <r>
    <x v="0"/>
    <n v="57.2"/>
    <n v="97"/>
    <n v="59.1"/>
    <n v="2.83"/>
    <n v="23.8"/>
    <n v="0.55000000000000004"/>
    <n v="25.6"/>
    <n v="40.4"/>
    <n v="1.68"/>
    <n v="95.333333333333343"/>
    <n v="97"/>
    <n v="73.875"/>
    <n v="7.0750000000000002"/>
    <n v="59.500000000000007"/>
    <n v="27.5"/>
    <n v="97"/>
    <x v="3"/>
    <x v="3"/>
  </r>
  <r>
    <x v="1"/>
    <n v="38.799999999999997"/>
    <n v="104.4"/>
    <n v="15.3"/>
    <n v="8.44"/>
    <n v="89"/>
    <n v="1.28"/>
    <n v="35.799999999999997"/>
    <n v="84"/>
    <n v="3.43"/>
    <n v="64.666666666666657"/>
    <n v="104.4"/>
    <n v="19.125"/>
    <n v="21.1"/>
    <n v="222.5"/>
    <n v="64"/>
    <n v="222"/>
    <x v="0"/>
    <x v="2"/>
  </r>
  <r>
    <x v="2"/>
    <n v="47.3"/>
    <n v="92.2"/>
    <n v="45.8"/>
    <n v="4.59"/>
    <n v="1"/>
    <n v="1.1399999999999999"/>
    <n v="17.100000000000001"/>
    <n v="42.7"/>
    <n v="2.5"/>
    <n v="78.833333333333329"/>
    <n v="92.2"/>
    <n v="57.249999999999993"/>
    <n v="11.475"/>
    <n v="2.5"/>
    <n v="56.999999999999993"/>
    <n v="92"/>
    <x v="3"/>
    <x v="3"/>
  </r>
  <r>
    <x v="3"/>
    <n v="45.7"/>
    <n v="28.2"/>
    <n v="38.6"/>
    <n v="10.26"/>
    <n v="11.8"/>
    <n v="1.57"/>
    <n v="14.1"/>
    <n v="98.1"/>
    <n v="2.0099999999999998"/>
    <n v="76.166666666666671"/>
    <n v="28.2"/>
    <n v="48.25"/>
    <n v="25.65"/>
    <n v="29.5"/>
    <n v="78.5"/>
    <n v="78"/>
    <x v="3"/>
    <x v="4"/>
  </r>
  <r>
    <x v="4"/>
    <n v="56.6"/>
    <n v="5.7"/>
    <n v="38.5"/>
    <n v="8.0500000000000007"/>
    <n v="41.6"/>
    <n v="0.76"/>
    <n v="18.399999999999999"/>
    <n v="80.3"/>
    <n v="3.04"/>
    <n v="94.333333333333343"/>
    <n v="5.7"/>
    <n v="48.125"/>
    <n v="20.125"/>
    <n v="104"/>
    <n v="38"/>
    <n v="104"/>
    <x v="1"/>
    <x v="2"/>
  </r>
  <r>
    <x v="0"/>
    <n v="97.7"/>
    <n v="81.3"/>
    <n v="33.4"/>
    <n v="11.11"/>
    <n v="1"/>
    <n v="0.43"/>
    <n v="32.700000000000003"/>
    <n v="38.9"/>
    <n v="0.32"/>
    <n v="162.83333333333329"/>
    <n v="81.3"/>
    <n v="41.749999999999993"/>
    <n v="27.774999999999999"/>
    <n v="2.5"/>
    <n v="21.5"/>
    <n v="163"/>
    <x v="1"/>
    <x v="0"/>
  </r>
  <r>
    <x v="1"/>
    <n v="116.1"/>
    <n v="36.4"/>
    <n v="48.7"/>
    <n v="8.35"/>
    <n v="1"/>
    <n v="1.04"/>
    <n v="28.1"/>
    <n v="66.400000000000006"/>
    <n v="3.58"/>
    <n v="193.5"/>
    <n v="36.4"/>
    <n v="60.875000000000007"/>
    <n v="20.875"/>
    <n v="2.5"/>
    <n v="52.000000000000007"/>
    <n v="193"/>
    <x v="1"/>
    <x v="0"/>
  </r>
  <r>
    <x v="2"/>
    <n v="36.799999999999997"/>
    <n v="123.7"/>
    <n v="23.7"/>
    <n v="0.72"/>
    <n v="7.2"/>
    <n v="0.25"/>
    <n v="32.1"/>
    <n v="32.700000000000003"/>
    <n v="2.83"/>
    <n v="61.333333333333329"/>
    <n v="123.7"/>
    <n v="29.625"/>
    <n v="1.8"/>
    <n v="18"/>
    <n v="12.5"/>
    <n v="124"/>
    <x v="1"/>
    <x v="3"/>
  </r>
  <r>
    <x v="3"/>
    <n v="41.6"/>
    <n v="91.1"/>
    <n v="57.8"/>
    <n v="4.6500000000000004"/>
    <n v="55.3"/>
    <n v="0.98"/>
    <n v="23.9"/>
    <n v="100"/>
    <n v="0.77"/>
    <n v="69.333333333333329"/>
    <n v="91.1"/>
    <n v="72.25"/>
    <n v="11.625"/>
    <n v="138.25"/>
    <n v="49"/>
    <n v="138"/>
    <x v="1"/>
    <x v="2"/>
  </r>
  <r>
    <x v="4"/>
    <n v="86.8"/>
    <n v="140.30000000000001"/>
    <n v="31.2"/>
    <n v="14.21"/>
    <n v="1"/>
    <n v="0.78"/>
    <n v="16.5"/>
    <n v="67.400000000000006"/>
    <n v="1.66"/>
    <n v="144.66666666666671"/>
    <n v="140.30000000000001"/>
    <n v="39"/>
    <n v="35.524999999999999"/>
    <n v="2.5"/>
    <n v="39"/>
    <n v="145"/>
    <x v="1"/>
    <x v="0"/>
  </r>
  <r>
    <x v="0"/>
    <n v="67.2"/>
    <n v="100.1"/>
    <n v="32.6"/>
    <n v="9.15"/>
    <n v="38.299999999999997"/>
    <n v="0.5"/>
    <n v="44.6"/>
    <n v="51.2"/>
    <n v="0.2"/>
    <n v="112"/>
    <n v="100.1"/>
    <n v="40.75"/>
    <n v="22.875"/>
    <n v="95.749999999999986"/>
    <n v="25"/>
    <n v="112"/>
    <x v="1"/>
    <x v="0"/>
  </r>
  <r>
    <x v="1"/>
    <n v="34.700000000000003"/>
    <n v="44"/>
    <n v="61.5"/>
    <n v="9.61"/>
    <n v="62.5"/>
    <n v="0.98"/>
    <n v="23"/>
    <n v="53.3"/>
    <n v="2.4"/>
    <n v="57.833333333333343"/>
    <n v="44"/>
    <n v="76.875"/>
    <n v="24.024999999999999"/>
    <n v="156.25"/>
    <n v="49"/>
    <n v="156"/>
    <x v="1"/>
    <x v="2"/>
  </r>
  <r>
    <x v="2"/>
    <n v="64.599999999999994"/>
    <n v="106.5"/>
    <n v="41.8"/>
    <n v="7.98"/>
    <n v="59"/>
    <n v="1.04"/>
    <n v="27.5"/>
    <n v="81.400000000000006"/>
    <n v="1.7"/>
    <n v="107.6666666666667"/>
    <n v="106.5"/>
    <n v="52.25"/>
    <n v="19.95"/>
    <n v="147.5"/>
    <n v="52.000000000000007"/>
    <n v="148"/>
    <x v="1"/>
    <x v="2"/>
  </r>
  <r>
    <x v="3"/>
    <n v="27.5"/>
    <n v="39.1"/>
    <n v="38.9"/>
    <n v="0.5"/>
    <n v="51.6"/>
    <n v="0.91"/>
    <n v="32.9"/>
    <n v="47.9"/>
    <n v="2.2599999999999998"/>
    <n v="45.833333333333329"/>
    <n v="39.1"/>
    <n v="48.625"/>
    <n v="1.25"/>
    <n v="129"/>
    <n v="45.5"/>
    <n v="129"/>
    <x v="1"/>
    <x v="2"/>
  </r>
  <r>
    <x v="4"/>
    <n v="82.4"/>
    <n v="178.6"/>
    <n v="27.6"/>
    <n v="7.84"/>
    <n v="52.1"/>
    <n v="1.25"/>
    <n v="23.2"/>
    <n v="83.1"/>
    <n v="0.73"/>
    <n v="137.33333333333329"/>
    <n v="178.6"/>
    <n v="34.5"/>
    <n v="19.600000000000001"/>
    <n v="130.25"/>
    <n v="62.5"/>
    <n v="179"/>
    <x v="1"/>
    <x v="3"/>
  </r>
  <r>
    <x v="0"/>
    <n v="43.6"/>
    <n v="135.1"/>
    <n v="49.8"/>
    <n v="13.58"/>
    <n v="80.400000000000006"/>
    <n v="0.95"/>
    <n v="34.1"/>
    <n v="47.1"/>
    <n v="3.62"/>
    <n v="72.666666666666671"/>
    <n v="135.1"/>
    <n v="62.25"/>
    <n v="33.950000000000003"/>
    <n v="201"/>
    <n v="47.5"/>
    <n v="201"/>
    <x v="0"/>
    <x v="2"/>
  </r>
  <r>
    <x v="1"/>
    <n v="114.3"/>
    <n v="192.9"/>
    <n v="47.1"/>
    <n v="6.34"/>
    <n v="2.2000000000000002"/>
    <n v="1.39"/>
    <n v="17.2"/>
    <n v="45.7"/>
    <n v="1.07"/>
    <n v="190.5"/>
    <n v="192.9"/>
    <n v="58.875000000000007"/>
    <n v="15.85"/>
    <n v="5.5000000000000009"/>
    <n v="69.499999999999986"/>
    <n v="193"/>
    <x v="1"/>
    <x v="3"/>
  </r>
  <r>
    <x v="2"/>
    <n v="35.1"/>
    <n v="89.9"/>
    <n v="38.4"/>
    <n v="3.8"/>
    <n v="63.4"/>
    <n v="0.82"/>
    <n v="19.5"/>
    <n v="64.099999999999994"/>
    <n v="4.8600000000000003"/>
    <n v="58.5"/>
    <n v="89.9"/>
    <n v="48"/>
    <n v="9.5"/>
    <n v="158.5"/>
    <n v="40.999999999999993"/>
    <n v="158"/>
    <x v="1"/>
    <x v="2"/>
  </r>
  <r>
    <x v="3"/>
    <n v="56"/>
    <n v="78.599999999999994"/>
    <n v="11.6"/>
    <n v="5.52"/>
    <n v="45.9"/>
    <n v="0.77"/>
    <n v="13.3"/>
    <n v="44.7"/>
    <n v="4.25"/>
    <n v="93.333333333333343"/>
    <n v="78.599999999999994"/>
    <n v="14.5"/>
    <n v="13.8"/>
    <n v="114.75"/>
    <n v="38.5"/>
    <n v="115"/>
    <x v="1"/>
    <x v="2"/>
  </r>
  <r>
    <x v="4"/>
    <n v="90.7"/>
    <n v="58.8"/>
    <n v="51.4"/>
    <n v="1.85"/>
    <n v="82.6"/>
    <n v="1.19"/>
    <n v="31.6"/>
    <n v="29.1"/>
    <n v="3.81"/>
    <n v="151.16666666666671"/>
    <n v="58.8"/>
    <n v="64.25"/>
    <n v="4.6250000000000009"/>
    <n v="206.5"/>
    <n v="59.5"/>
    <n v="206"/>
    <x v="0"/>
    <x v="2"/>
  </r>
  <r>
    <x v="0"/>
    <n v="55"/>
    <n v="157.4"/>
    <n v="58.2"/>
    <n v="7.66"/>
    <n v="28.7"/>
    <n v="1.53"/>
    <n v="24.6"/>
    <n v="44.3"/>
    <n v="1.4"/>
    <n v="91.666666666666657"/>
    <n v="157.4"/>
    <n v="72.750000000000014"/>
    <n v="19.149999999999999"/>
    <n v="71.75"/>
    <n v="76.5"/>
    <n v="157"/>
    <x v="1"/>
    <x v="3"/>
  </r>
  <r>
    <x v="1"/>
    <n v="15.7"/>
    <n v="89.4"/>
    <n v="67.099999999999994"/>
    <n v="8.89"/>
    <n v="33.4"/>
    <n v="1.68"/>
    <n v="19.2"/>
    <n v="61.7"/>
    <n v="2.2799999999999998"/>
    <n v="26.166666666666661"/>
    <n v="89.4"/>
    <n v="83.874999999999986"/>
    <n v="22.225000000000001"/>
    <n v="83.499999999999986"/>
    <n v="83.999999999999986"/>
    <n v="89"/>
    <x v="3"/>
    <x v="3"/>
  </r>
  <r>
    <x v="2"/>
    <n v="63.4"/>
    <n v="19.3"/>
    <n v="21.3"/>
    <n v="0.5"/>
    <n v="31.8"/>
    <n v="1.46"/>
    <n v="21.5"/>
    <n v="50.8"/>
    <n v="3.55"/>
    <n v="105.6666666666667"/>
    <n v="19.3"/>
    <n v="26.625"/>
    <n v="1.25"/>
    <n v="79.5"/>
    <n v="73"/>
    <n v="106"/>
    <x v="1"/>
    <x v="0"/>
  </r>
  <r>
    <x v="3"/>
    <n v="73.599999999999994"/>
    <n v="91.7"/>
    <n v="47"/>
    <n v="2.09"/>
    <n v="74.400000000000006"/>
    <n v="1.99"/>
    <n v="28.6"/>
    <n v="22.5"/>
    <n v="1.83"/>
    <n v="122.6666666666667"/>
    <n v="91.7"/>
    <n v="58.75"/>
    <n v="5.2249999999999996"/>
    <n v="186"/>
    <n v="99.5"/>
    <n v="186"/>
    <x v="1"/>
    <x v="2"/>
  </r>
  <r>
    <x v="4"/>
    <n v="69"/>
    <n v="83.3"/>
    <n v="62"/>
    <n v="9.6300000000000008"/>
    <n v="24.6"/>
    <n v="1.07"/>
    <n v="18.7"/>
    <n v="56.7"/>
    <n v="2.33"/>
    <n v="115"/>
    <n v="83.3"/>
    <n v="77.5"/>
    <n v="24.074999999999999"/>
    <n v="61.500000000000007"/>
    <n v="53.500000000000007"/>
    <n v="115"/>
    <x v="1"/>
    <x v="0"/>
  </r>
  <r>
    <x v="0"/>
    <n v="87.6"/>
    <n v="227.2"/>
    <n v="15.1"/>
    <n v="0.5"/>
    <n v="39"/>
    <n v="0.27"/>
    <n v="25.3"/>
    <n v="73.5"/>
    <n v="4.29"/>
    <n v="146"/>
    <n v="227.2"/>
    <n v="18.875"/>
    <n v="1.25"/>
    <n v="97.5"/>
    <n v="13.5"/>
    <n v="227"/>
    <x v="0"/>
    <x v="3"/>
  </r>
  <r>
    <x v="1"/>
    <n v="66"/>
    <n v="108.4"/>
    <n v="5.4"/>
    <n v="8.1300000000000008"/>
    <n v="52.2"/>
    <n v="1.58"/>
    <n v="20"/>
    <n v="52.2"/>
    <n v="0.73"/>
    <n v="110"/>
    <n v="108.4"/>
    <n v="6.7500000000000009"/>
    <n v="20.324999999999999"/>
    <n v="130.5"/>
    <n v="79"/>
    <n v="130"/>
    <x v="1"/>
    <x v="2"/>
  </r>
  <r>
    <x v="2"/>
    <n v="2"/>
    <n v="40.700000000000003"/>
    <n v="10.3"/>
    <n v="7.36"/>
    <n v="25.7"/>
    <n v="0.67"/>
    <n v="18.100000000000001"/>
    <n v="10"/>
    <n v="4.3099999999999996"/>
    <n v="3.333333333333333"/>
    <n v="40.700000000000003"/>
    <n v="12.875"/>
    <n v="18.399999999999999"/>
    <n v="64.25"/>
    <n v="33.5"/>
    <n v="64"/>
    <x v="3"/>
    <x v="2"/>
  </r>
  <r>
    <x v="3"/>
    <n v="24"/>
    <n v="76.2"/>
    <n v="12.7"/>
    <n v="10.29"/>
    <n v="43.6"/>
    <n v="0.56000000000000005"/>
    <n v="22.3"/>
    <n v="90.2"/>
    <n v="2.41"/>
    <n v="40"/>
    <n v="76.2"/>
    <n v="15.875"/>
    <n v="25.725000000000001"/>
    <n v="109"/>
    <n v="28"/>
    <n v="109"/>
    <x v="1"/>
    <x v="2"/>
  </r>
  <r>
    <x v="4"/>
    <n v="48"/>
    <n v="55.9"/>
    <n v="6.3"/>
    <n v="6.34"/>
    <n v="53"/>
    <n v="1.64"/>
    <n v="9.3000000000000007"/>
    <n v="39.700000000000003"/>
    <n v="2.2999999999999998"/>
    <n v="80"/>
    <n v="55.9"/>
    <n v="7.875"/>
    <n v="15.85"/>
    <n v="132.5"/>
    <n v="81.999999999999986"/>
    <n v="132"/>
    <x v="1"/>
    <x v="2"/>
  </r>
  <r>
    <x v="0"/>
    <n v="55.1"/>
    <n v="102.4"/>
    <n v="39.200000000000003"/>
    <n v="9.24"/>
    <n v="20"/>
    <n v="1.62"/>
    <n v="28"/>
    <n v="54.2"/>
    <n v="4.42"/>
    <n v="91.833333333333343"/>
    <n v="102.4"/>
    <n v="49"/>
    <n v="23.1"/>
    <n v="50"/>
    <n v="81"/>
    <n v="102"/>
    <x v="1"/>
    <x v="3"/>
  </r>
  <r>
    <x v="1"/>
    <n v="106.7"/>
    <n v="176"/>
    <n v="2"/>
    <n v="15.89"/>
    <n v="74.8"/>
    <n v="2.4"/>
    <n v="33.700000000000003"/>
    <n v="88.4"/>
    <n v="3.55"/>
    <n v="177.83333333333329"/>
    <n v="176"/>
    <n v="2.5"/>
    <n v="39.725000000000001"/>
    <n v="187"/>
    <n v="120"/>
    <n v="187"/>
    <x v="1"/>
    <x v="2"/>
  </r>
  <r>
    <x v="2"/>
    <n v="76.400000000000006"/>
    <n v="182.1"/>
    <n v="37.5"/>
    <n v="0.5"/>
    <n v="30.7"/>
    <n v="1.0900000000000001"/>
    <n v="25.5"/>
    <n v="37.6"/>
    <n v="0.54"/>
    <n v="127.3333333333334"/>
    <n v="182.1"/>
    <n v="46.875"/>
    <n v="1.25"/>
    <n v="76.75"/>
    <n v="54.500000000000007"/>
    <n v="182"/>
    <x v="1"/>
    <x v="3"/>
  </r>
  <r>
    <x v="3"/>
    <n v="30.2"/>
    <n v="134.80000000000001"/>
    <n v="61.3"/>
    <n v="10.07"/>
    <n v="66.400000000000006"/>
    <n v="0.92"/>
    <n v="12.8"/>
    <n v="51.8"/>
    <n v="2.19"/>
    <n v="50.333333333333343"/>
    <n v="134.80000000000001"/>
    <n v="76.625"/>
    <n v="25.175000000000001"/>
    <n v="166"/>
    <n v="46"/>
    <n v="166"/>
    <x v="1"/>
    <x v="2"/>
  </r>
  <r>
    <x v="4"/>
    <n v="39.700000000000003"/>
    <n v="108.5"/>
    <n v="47.4"/>
    <n v="10.79"/>
    <n v="36.4"/>
    <n v="0.05"/>
    <n v="21.6"/>
    <n v="60.8"/>
    <n v="4.47"/>
    <n v="66.166666666666671"/>
    <n v="108.5"/>
    <n v="59.25"/>
    <n v="26.975000000000001"/>
    <n v="91"/>
    <n v="2.5"/>
    <n v="108"/>
    <x v="1"/>
    <x v="3"/>
  </r>
  <r>
    <x v="0"/>
    <n v="39.5"/>
    <n v="138.69999999999999"/>
    <n v="46.7"/>
    <n v="7.56"/>
    <n v="72.8"/>
    <n v="0.74"/>
    <n v="21"/>
    <n v="59.8"/>
    <n v="1.73"/>
    <n v="65.833333333333329"/>
    <n v="138.69999999999999"/>
    <n v="58.375"/>
    <n v="18.899999999999999"/>
    <n v="182"/>
    <n v="37"/>
    <n v="182"/>
    <x v="1"/>
    <x v="2"/>
  </r>
  <r>
    <x v="1"/>
    <n v="75.2"/>
    <n v="77.2"/>
    <n v="49.5"/>
    <n v="7.5"/>
    <n v="56.7"/>
    <n v="0.92"/>
    <n v="22.6"/>
    <n v="61.7"/>
    <n v="2.74"/>
    <n v="125.3333333333333"/>
    <n v="77.2"/>
    <n v="61.875"/>
    <n v="18.75"/>
    <n v="141.75"/>
    <n v="46"/>
    <n v="142"/>
    <x v="1"/>
    <x v="2"/>
  </r>
  <r>
    <x v="2"/>
    <n v="45.5"/>
    <n v="169"/>
    <n v="19.100000000000001"/>
    <n v="5.84"/>
    <n v="1"/>
    <n v="1.08"/>
    <n v="17.2"/>
    <n v="55"/>
    <n v="2.0499999999999998"/>
    <n v="75.833333333333343"/>
    <n v="169"/>
    <n v="23.875"/>
    <n v="14.6"/>
    <n v="2.5"/>
    <n v="54.000000000000007"/>
    <n v="169"/>
    <x v="1"/>
    <x v="3"/>
  </r>
  <r>
    <x v="3"/>
    <n v="54.7"/>
    <n v="69.5"/>
    <n v="26.5"/>
    <n v="12.14"/>
    <n v="47.1"/>
    <n v="0.69"/>
    <n v="23.2"/>
    <n v="89.6"/>
    <n v="2.2200000000000002"/>
    <n v="91.166666666666671"/>
    <n v="69.5"/>
    <n v="33.125"/>
    <n v="30.35"/>
    <n v="117.75"/>
    <n v="34.499999999999993"/>
    <n v="118"/>
    <x v="1"/>
    <x v="2"/>
  </r>
  <r>
    <x v="4"/>
    <n v="34.6"/>
    <n v="69.400000000000006"/>
    <n v="29.9"/>
    <n v="4.42"/>
    <n v="8.8000000000000007"/>
    <n v="0.46"/>
    <n v="19.2"/>
    <n v="70.599999999999994"/>
    <n v="2.54"/>
    <n v="57.666666666666671"/>
    <n v="69.400000000000006"/>
    <n v="37.375"/>
    <n v="11.05"/>
    <n v="22"/>
    <n v="23"/>
    <n v="69"/>
    <x v="3"/>
    <x v="3"/>
  </r>
  <r>
    <x v="0"/>
    <n v="49.5"/>
    <n v="180.5"/>
    <n v="65.2"/>
    <n v="6.06"/>
    <n v="27.9"/>
    <n v="0.63"/>
    <n v="29.8"/>
    <n v="56.3"/>
    <n v="2.04"/>
    <n v="82.5"/>
    <n v="180.5"/>
    <n v="81.5"/>
    <n v="15.15"/>
    <n v="69.749999999999986"/>
    <n v="31.5"/>
    <n v="180"/>
    <x v="1"/>
    <x v="3"/>
  </r>
  <r>
    <x v="1"/>
    <n v="35.6"/>
    <n v="73.8"/>
    <n v="51.4"/>
    <n v="1.42"/>
    <n v="81.099999999999994"/>
    <n v="0.88"/>
    <n v="24"/>
    <n v="35.9"/>
    <n v="2.4900000000000002"/>
    <n v="59.333333333333343"/>
    <n v="73.8"/>
    <n v="64.25"/>
    <n v="3.55"/>
    <n v="202.75"/>
    <n v="44"/>
    <n v="203"/>
    <x v="0"/>
    <x v="2"/>
  </r>
  <r>
    <x v="2"/>
    <n v="38.1"/>
    <n v="88.9"/>
    <n v="56.6"/>
    <n v="6.76"/>
    <n v="19.100000000000001"/>
    <n v="0.59"/>
    <n v="29.2"/>
    <n v="83.4"/>
    <n v="2.84"/>
    <n v="63.5"/>
    <n v="88.9"/>
    <n v="70.750000000000014"/>
    <n v="16.899999999999999"/>
    <n v="47.75"/>
    <n v="29.5"/>
    <n v="89"/>
    <x v="3"/>
    <x v="3"/>
  </r>
  <r>
    <x v="3"/>
    <n v="64.5"/>
    <n v="125.3"/>
    <n v="58.7"/>
    <n v="0.5"/>
    <n v="56.7"/>
    <n v="1.43"/>
    <n v="15.6"/>
    <n v="44.1"/>
    <n v="1.48"/>
    <n v="107.5"/>
    <n v="125.3"/>
    <n v="73.375000000000014"/>
    <n v="1.25"/>
    <n v="141.75"/>
    <n v="71.5"/>
    <n v="142"/>
    <x v="1"/>
    <x v="2"/>
  </r>
  <r>
    <x v="4"/>
    <n v="33.6"/>
    <n v="80.2"/>
    <n v="43.9"/>
    <n v="10.85"/>
    <n v="73.7"/>
    <n v="0.61"/>
    <n v="19.100000000000001"/>
    <n v="83.7"/>
    <n v="3.78"/>
    <n v="56"/>
    <n v="80.2"/>
    <n v="54.875"/>
    <n v="27.125"/>
    <n v="184.25"/>
    <n v="30.5"/>
    <n v="184"/>
    <x v="1"/>
    <x v="2"/>
  </r>
  <r>
    <x v="0"/>
    <n v="57.5"/>
    <n v="136.5"/>
    <n v="40.9"/>
    <n v="9.77"/>
    <n v="36.299999999999997"/>
    <n v="1.25"/>
    <n v="14.4"/>
    <n v="47.6"/>
    <n v="1.69"/>
    <n v="95.833333333333343"/>
    <n v="136.5"/>
    <n v="51.125"/>
    <n v="24.425000000000001"/>
    <n v="90.75"/>
    <n v="62.5"/>
    <n v="136"/>
    <x v="1"/>
    <x v="3"/>
  </r>
  <r>
    <x v="1"/>
    <n v="48.8"/>
    <n v="64.400000000000006"/>
    <n v="34.299999999999997"/>
    <n v="0.5"/>
    <n v="67.099999999999994"/>
    <n v="1.1499999999999999"/>
    <n v="13.1"/>
    <n v="45"/>
    <n v="2.9"/>
    <n v="81.333333333333329"/>
    <n v="64.400000000000006"/>
    <n v="42.875"/>
    <n v="1.25"/>
    <n v="167.75"/>
    <n v="57.499999999999993"/>
    <n v="168"/>
    <x v="1"/>
    <x v="2"/>
  </r>
  <r>
    <x v="2"/>
    <n v="33.200000000000003"/>
    <n v="59.4"/>
    <n v="33.1"/>
    <n v="7.39"/>
    <n v="3.9"/>
    <n v="1.1599999999999999"/>
    <n v="19.399999999999999"/>
    <n v="59.7"/>
    <n v="2.46"/>
    <n v="55.333333333333343"/>
    <n v="59.4"/>
    <n v="41.375"/>
    <n v="18.475000000000001"/>
    <n v="9.75"/>
    <n v="57.999999999999993"/>
    <n v="59"/>
    <x v="3"/>
    <x v="3"/>
  </r>
  <r>
    <x v="3"/>
    <n v="35.4"/>
    <n v="46.9"/>
    <n v="31.4"/>
    <n v="12.9"/>
    <n v="6"/>
    <n v="1.77"/>
    <n v="23.2"/>
    <n v="60.6"/>
    <n v="1.2"/>
    <n v="59"/>
    <n v="46.9"/>
    <n v="39.25"/>
    <n v="32.25"/>
    <n v="15"/>
    <n v="88.5"/>
    <n v="88"/>
    <x v="3"/>
    <x v="4"/>
  </r>
  <r>
    <x v="4"/>
    <n v="32.4"/>
    <n v="79"/>
    <n v="21.2"/>
    <n v="6.12"/>
    <n v="32.799999999999997"/>
    <n v="2.0299999999999998"/>
    <n v="16.8"/>
    <n v="61.8"/>
    <n v="3.3"/>
    <n v="54"/>
    <n v="79"/>
    <n v="26.5"/>
    <n v="15.3"/>
    <n v="81.999999999999986"/>
    <n v="101.5"/>
    <n v="102"/>
    <x v="1"/>
    <x v="4"/>
  </r>
  <r>
    <x v="0"/>
    <n v="25.7"/>
    <n v="148.30000000000001"/>
    <n v="34.1"/>
    <n v="0.5"/>
    <n v="65"/>
    <n v="0.49"/>
    <n v="17.7"/>
    <n v="72.400000000000006"/>
    <n v="2.08"/>
    <n v="42.833333333333343"/>
    <n v="148.30000000000001"/>
    <n v="42.625"/>
    <n v="1.25"/>
    <n v="162.5"/>
    <n v="24.5"/>
    <n v="162"/>
    <x v="1"/>
    <x v="2"/>
  </r>
  <r>
    <x v="1"/>
    <n v="87.5"/>
    <n v="192.6"/>
    <n v="32.1"/>
    <n v="11.97"/>
    <n v="26.4"/>
    <n v="2.54"/>
    <n v="20.100000000000001"/>
    <n v="78.5"/>
    <n v="3.51"/>
    <n v="145.83333333333329"/>
    <n v="192.6"/>
    <n v="40.125"/>
    <n v="29.925000000000001"/>
    <n v="66"/>
    <n v="127"/>
    <n v="193"/>
    <x v="1"/>
    <x v="3"/>
  </r>
  <r>
    <x v="2"/>
    <n v="52.8"/>
    <n v="60.6"/>
    <n v="31.9"/>
    <n v="0.5"/>
    <n v="43.3"/>
    <n v="1.07"/>
    <n v="25.9"/>
    <n v="10"/>
    <n v="0.98"/>
    <n v="88"/>
    <n v="60.6"/>
    <n v="39.875"/>
    <n v="1.25"/>
    <n v="108.25"/>
    <n v="53.500000000000007"/>
    <n v="108"/>
    <x v="1"/>
    <x v="2"/>
  </r>
  <r>
    <x v="3"/>
    <n v="30"/>
    <n v="110"/>
    <n v="40.6"/>
    <n v="5.72"/>
    <n v="55.9"/>
    <n v="0.47"/>
    <n v="29.3"/>
    <n v="68.5"/>
    <n v="2.95"/>
    <n v="50"/>
    <n v="110"/>
    <n v="50.75"/>
    <n v="14.3"/>
    <n v="139.75"/>
    <n v="23.5"/>
    <n v="140"/>
    <x v="1"/>
    <x v="2"/>
  </r>
  <r>
    <x v="4"/>
    <n v="48"/>
    <n v="202.3"/>
    <n v="48.3"/>
    <n v="2.78"/>
    <n v="50.8"/>
    <n v="1.45"/>
    <n v="20.9"/>
    <n v="79.599999999999994"/>
    <n v="3.46"/>
    <n v="80"/>
    <n v="202.3"/>
    <n v="60.375"/>
    <n v="6.9499999999999993"/>
    <n v="127"/>
    <n v="72.5"/>
    <n v="202"/>
    <x v="0"/>
    <x v="3"/>
  </r>
  <r>
    <x v="0"/>
    <n v="2"/>
    <n v="158.69999999999999"/>
    <n v="42.4"/>
    <n v="12.29"/>
    <n v="73.099999999999994"/>
    <n v="1.51"/>
    <n v="36.700000000000003"/>
    <n v="56.8"/>
    <n v="3.25"/>
    <n v="3.333333333333333"/>
    <n v="158.69999999999999"/>
    <n v="53"/>
    <n v="30.725000000000001"/>
    <n v="182.75"/>
    <n v="75.5"/>
    <n v="183"/>
    <x v="1"/>
    <x v="2"/>
  </r>
  <r>
    <x v="1"/>
    <n v="105.2"/>
    <n v="142.69999999999999"/>
    <n v="75.7"/>
    <n v="6.28"/>
    <n v="36.799999999999997"/>
    <n v="0.52"/>
    <n v="26.7"/>
    <n v="65.900000000000006"/>
    <n v="3.92"/>
    <n v="175.33333333333329"/>
    <n v="142.69999999999999"/>
    <n v="94.625"/>
    <n v="15.7"/>
    <n v="92"/>
    <n v="26"/>
    <n v="175"/>
    <x v="1"/>
    <x v="0"/>
  </r>
  <r>
    <x v="2"/>
    <n v="79.5"/>
    <n v="97.8"/>
    <n v="20.399999999999999"/>
    <n v="9.66"/>
    <n v="64.400000000000006"/>
    <n v="1.57"/>
    <n v="32.6"/>
    <n v="56.2"/>
    <n v="1.94"/>
    <n v="132.5"/>
    <n v="97.8"/>
    <n v="25.5"/>
    <n v="24.15"/>
    <n v="161"/>
    <n v="78.5"/>
    <n v="161"/>
    <x v="1"/>
    <x v="2"/>
  </r>
  <r>
    <x v="3"/>
    <n v="37.9"/>
    <n v="116.6"/>
    <n v="43.4"/>
    <n v="9.0299999999999994"/>
    <n v="36.799999999999997"/>
    <n v="1.1200000000000001"/>
    <n v="19.600000000000001"/>
    <n v="76.900000000000006"/>
    <n v="2.59"/>
    <n v="63.166666666666657"/>
    <n v="116.6"/>
    <n v="54.25"/>
    <n v="22.574999999999999"/>
    <n v="92"/>
    <n v="56.000000000000007"/>
    <n v="117"/>
    <x v="1"/>
    <x v="3"/>
  </r>
  <r>
    <x v="4"/>
    <n v="60.2"/>
    <n v="82.7"/>
    <n v="20.2"/>
    <n v="15.99"/>
    <n v="59.3"/>
    <n v="0.25"/>
    <n v="30.3"/>
    <n v="76.599999999999994"/>
    <n v="3.15"/>
    <n v="100.3333333333333"/>
    <n v="82.7"/>
    <n v="25.25"/>
    <n v="39.975000000000001"/>
    <n v="148.25"/>
    <n v="12.5"/>
    <n v="148"/>
    <x v="1"/>
    <x v="2"/>
  </r>
  <r>
    <x v="0"/>
    <n v="124.1"/>
    <n v="153"/>
    <n v="19.2"/>
    <n v="11.3"/>
    <n v="53"/>
    <n v="0.96"/>
    <n v="29"/>
    <n v="30"/>
    <n v="3.69"/>
    <n v="206.83333333333329"/>
    <n v="153"/>
    <n v="24"/>
    <n v="28.25"/>
    <n v="132.5"/>
    <n v="48"/>
    <n v="207"/>
    <x v="0"/>
    <x v="0"/>
  </r>
  <r>
    <x v="1"/>
    <n v="42.1"/>
    <n v="76.099999999999994"/>
    <n v="53.4"/>
    <n v="12.71"/>
    <n v="55.1"/>
    <n v="0.94"/>
    <n v="21.5"/>
    <n v="39.6"/>
    <n v="2.23"/>
    <n v="70.166666666666671"/>
    <n v="76.099999999999994"/>
    <n v="66.75"/>
    <n v="31.775000000000009"/>
    <n v="137.75"/>
    <n v="47"/>
    <n v="138"/>
    <x v="1"/>
    <x v="2"/>
  </r>
  <r>
    <x v="2"/>
    <n v="87.6"/>
    <n v="113.8"/>
    <n v="59.1"/>
    <n v="14.51"/>
    <n v="24"/>
    <n v="1.03"/>
    <n v="40.200000000000003"/>
    <n v="86"/>
    <n v="0.49"/>
    <n v="146"/>
    <n v="113.8"/>
    <n v="73.875"/>
    <n v="36.274999999999999"/>
    <n v="60"/>
    <n v="51.500000000000007"/>
    <n v="146"/>
    <x v="1"/>
    <x v="0"/>
  </r>
  <r>
    <x v="3"/>
    <n v="71.599999999999994"/>
    <n v="120"/>
    <n v="61.5"/>
    <n v="4.28"/>
    <n v="19"/>
    <n v="0.79"/>
    <n v="21"/>
    <n v="74.7"/>
    <n v="1.08"/>
    <n v="119.3333333333333"/>
    <n v="120"/>
    <n v="76.875"/>
    <n v="10.7"/>
    <n v="47.5"/>
    <n v="39.5"/>
    <n v="120"/>
    <x v="1"/>
    <x v="3"/>
  </r>
  <r>
    <x v="4"/>
    <n v="45.5"/>
    <n v="13.9"/>
    <n v="71.7"/>
    <n v="15.79"/>
    <n v="35"/>
    <n v="1.1200000000000001"/>
    <n v="28.2"/>
    <n v="86.5"/>
    <n v="3.49"/>
    <n v="75.833333333333343"/>
    <n v="13.9"/>
    <n v="89.625000000000014"/>
    <n v="39.474999999999987"/>
    <n v="87.5"/>
    <n v="56.000000000000007"/>
    <n v="90"/>
    <x v="3"/>
    <x v="1"/>
  </r>
  <r>
    <x v="0"/>
    <n v="44.9"/>
    <n v="26.3"/>
    <n v="26.1"/>
    <n v="9.6199999999999992"/>
    <n v="27.2"/>
    <n v="1.51"/>
    <n v="21.1"/>
    <n v="41"/>
    <n v="1.0900000000000001"/>
    <n v="74.833333333333329"/>
    <n v="26.3"/>
    <n v="32.625"/>
    <n v="24.05"/>
    <n v="68"/>
    <n v="75.5"/>
    <n v="76"/>
    <x v="3"/>
    <x v="4"/>
  </r>
  <r>
    <x v="1"/>
    <n v="133.6"/>
    <n v="216.7"/>
    <n v="99.5"/>
    <n v="13.37"/>
    <n v="36.6"/>
    <n v="2.4900000000000002"/>
    <n v="24.8"/>
    <n v="64"/>
    <n v="2.4500000000000002"/>
    <n v="222.66666666666671"/>
    <n v="216.7"/>
    <n v="124.375"/>
    <n v="33.424999999999997"/>
    <n v="91.5"/>
    <n v="124.5"/>
    <n v="223"/>
    <x v="0"/>
    <x v="0"/>
  </r>
  <r>
    <x v="2"/>
    <n v="2"/>
    <n v="205.5"/>
    <n v="52.1"/>
    <n v="9.17"/>
    <n v="36.5"/>
    <n v="1.23"/>
    <n v="20.8"/>
    <n v="71.099999999999994"/>
    <n v="0.93"/>
    <n v="3.333333333333333"/>
    <n v="205.5"/>
    <n v="65.125"/>
    <n v="22.925000000000001"/>
    <n v="91.25"/>
    <n v="61.5"/>
    <n v="206"/>
    <x v="0"/>
    <x v="3"/>
  </r>
  <r>
    <x v="3"/>
    <n v="65.599999999999994"/>
    <n v="153.69999999999999"/>
    <n v="41"/>
    <n v="9.85"/>
    <n v="15.2"/>
    <n v="0.62"/>
    <n v="26.7"/>
    <n v="72.2"/>
    <n v="0.25"/>
    <n v="109.3333333333333"/>
    <n v="153.69999999999999"/>
    <n v="51.25"/>
    <n v="24.625"/>
    <n v="38"/>
    <n v="31"/>
    <n v="154"/>
    <x v="1"/>
    <x v="3"/>
  </r>
  <r>
    <x v="4"/>
    <n v="83.2"/>
    <n v="96.1"/>
    <n v="45.3"/>
    <n v="1.43"/>
    <n v="20.6"/>
    <n v="1.96"/>
    <n v="25.2"/>
    <n v="53.1"/>
    <n v="2.86"/>
    <n v="138.66666666666671"/>
    <n v="96.1"/>
    <n v="56.624999999999993"/>
    <n v="3.5750000000000002"/>
    <n v="51.500000000000007"/>
    <n v="98"/>
    <n v="139"/>
    <x v="1"/>
    <x v="0"/>
  </r>
  <r>
    <x v="0"/>
    <n v="85.9"/>
    <n v="168.4"/>
    <n v="50"/>
    <n v="15.48"/>
    <n v="73.900000000000006"/>
    <n v="1.67"/>
    <n v="25.4"/>
    <n v="71.8"/>
    <n v="2.88"/>
    <n v="143.16666666666671"/>
    <n v="168.4"/>
    <n v="62.5"/>
    <n v="38.700000000000003"/>
    <n v="184.75"/>
    <n v="83.499999999999986"/>
    <n v="185"/>
    <x v="1"/>
    <x v="2"/>
  </r>
  <r>
    <x v="1"/>
    <n v="114.8"/>
    <n v="217.5"/>
    <n v="30.8"/>
    <n v="3.21"/>
    <n v="28.1"/>
    <n v="2.23"/>
    <n v="14"/>
    <n v="67.099999999999994"/>
    <n v="2.94"/>
    <n v="191.33333333333329"/>
    <n v="217.5"/>
    <n v="38.5"/>
    <n v="8.0249999999999986"/>
    <n v="70.25"/>
    <n v="111.5"/>
    <n v="218"/>
    <x v="0"/>
    <x v="3"/>
  </r>
  <r>
    <x v="2"/>
    <n v="90.1"/>
    <n v="124.3"/>
    <n v="17.2"/>
    <n v="3.04"/>
    <n v="9.9"/>
    <n v="0.83"/>
    <n v="23.7"/>
    <n v="39"/>
    <n v="4.26"/>
    <n v="150.16666666666671"/>
    <n v="124.3"/>
    <n v="21.5"/>
    <n v="7.6"/>
    <n v="24.75"/>
    <n v="41.499999999999993"/>
    <n v="150"/>
    <x v="1"/>
    <x v="0"/>
  </r>
  <r>
    <x v="3"/>
    <n v="20.2"/>
    <n v="200.8"/>
    <n v="68.7"/>
    <n v="12.49"/>
    <n v="22.7"/>
    <n v="1.41"/>
    <n v="16.100000000000001"/>
    <n v="76.400000000000006"/>
    <n v="2.41"/>
    <n v="33.666666666666657"/>
    <n v="200.8"/>
    <n v="85.875"/>
    <n v="31.225000000000001"/>
    <n v="56.749999999999993"/>
    <n v="70.5"/>
    <n v="201"/>
    <x v="0"/>
    <x v="3"/>
  </r>
  <r>
    <x v="4"/>
    <n v="52.5"/>
    <n v="51.2"/>
    <n v="2"/>
    <n v="3.09"/>
    <n v="74.599999999999994"/>
    <n v="1.05"/>
    <n v="23.8"/>
    <n v="71.8"/>
    <n v="5.17"/>
    <n v="87.5"/>
    <n v="51.2"/>
    <n v="2.5"/>
    <n v="7.7249999999999996"/>
    <n v="186.5"/>
    <n v="52.500000000000007"/>
    <n v="186"/>
    <x v="1"/>
    <x v="2"/>
  </r>
  <r>
    <x v="0"/>
    <n v="114.7"/>
    <n v="70.900000000000006"/>
    <n v="7.1"/>
    <n v="22.77"/>
    <n v="111.2"/>
    <n v="1.51"/>
    <n v="16.100000000000001"/>
    <n v="77.3"/>
    <n v="2.37"/>
    <n v="191.16666666666671"/>
    <n v="70.900000000000006"/>
    <n v="8.875"/>
    <n v="56.924999999999997"/>
    <n v="278"/>
    <n v="75.5"/>
    <n v="278"/>
    <x v="0"/>
    <x v="2"/>
  </r>
  <r>
    <x v="1"/>
    <n v="70.8"/>
    <n v="217.1"/>
    <n v="64.599999999999994"/>
    <n v="2.59"/>
    <n v="39.9"/>
    <n v="2"/>
    <n v="28.6"/>
    <n v="64.7"/>
    <n v="3.62"/>
    <n v="118"/>
    <n v="217.1"/>
    <n v="80.749999999999986"/>
    <n v="6.4749999999999996"/>
    <n v="99.749999999999986"/>
    <n v="100"/>
    <n v="217"/>
    <x v="0"/>
    <x v="3"/>
  </r>
  <r>
    <x v="2"/>
    <n v="46.7"/>
    <n v="124.2"/>
    <n v="2"/>
    <n v="5.46"/>
    <n v="56.1"/>
    <n v="0.92"/>
    <n v="21.7"/>
    <n v="41.3"/>
    <n v="3.7"/>
    <n v="77.833333333333343"/>
    <n v="124.2"/>
    <n v="2.5"/>
    <n v="13.65"/>
    <n v="140.25"/>
    <n v="46"/>
    <n v="140"/>
    <x v="1"/>
    <x v="2"/>
  </r>
  <r>
    <x v="3"/>
    <n v="76.5"/>
    <n v="169.5"/>
    <n v="10.5"/>
    <n v="7.2"/>
    <n v="33"/>
    <n v="1.03"/>
    <n v="20.7"/>
    <n v="53.8"/>
    <n v="3.52"/>
    <n v="127.5"/>
    <n v="169.5"/>
    <n v="13.125"/>
    <n v="18"/>
    <n v="82.5"/>
    <n v="51.500000000000007"/>
    <n v="170"/>
    <x v="1"/>
    <x v="3"/>
  </r>
  <r>
    <x v="4"/>
    <n v="2.9"/>
    <n v="249.3"/>
    <n v="60.1"/>
    <n v="8.57"/>
    <n v="68.900000000000006"/>
    <n v="0.36"/>
    <n v="20.3"/>
    <n v="57.8"/>
    <n v="4.6399999999999997"/>
    <n v="4.8333333333333339"/>
    <n v="249.3"/>
    <n v="75.125"/>
    <n v="21.425000000000001"/>
    <n v="172.25"/>
    <n v="18"/>
    <n v="249"/>
    <x v="0"/>
    <x v="3"/>
  </r>
  <r>
    <x v="0"/>
    <n v="67.400000000000006"/>
    <n v="169.1"/>
    <n v="38.200000000000003"/>
    <n v="12"/>
    <n v="94.2"/>
    <n v="2.0699999999999998"/>
    <n v="24.4"/>
    <n v="72.2"/>
    <n v="3.19"/>
    <n v="112.3333333333333"/>
    <n v="169.1"/>
    <n v="47.75"/>
    <n v="30"/>
    <n v="235.5"/>
    <n v="103.5"/>
    <n v="236"/>
    <x v="0"/>
    <x v="2"/>
  </r>
  <r>
    <x v="1"/>
    <n v="94"/>
    <n v="233.4"/>
    <n v="83.9"/>
    <n v="9.2100000000000009"/>
    <n v="70.099999999999994"/>
    <n v="1.21"/>
    <n v="18.5"/>
    <n v="55.1"/>
    <n v="2.41"/>
    <n v="156.66666666666671"/>
    <n v="233.4"/>
    <n v="104.875"/>
    <n v="23.024999999999999"/>
    <n v="175.25"/>
    <n v="60.5"/>
    <n v="233"/>
    <x v="0"/>
    <x v="3"/>
  </r>
  <r>
    <x v="2"/>
    <n v="9.6"/>
    <n v="163"/>
    <n v="2"/>
    <n v="20.5"/>
    <n v="73.7"/>
    <n v="0.99"/>
    <n v="25.1"/>
    <n v="65.5"/>
    <n v="1.79"/>
    <n v="16"/>
    <n v="163"/>
    <n v="2.5"/>
    <n v="51.25"/>
    <n v="184.25"/>
    <n v="49.5"/>
    <n v="184"/>
    <x v="1"/>
    <x v="2"/>
  </r>
  <r>
    <x v="3"/>
    <n v="65.8"/>
    <n v="111.4"/>
    <n v="43.1"/>
    <n v="8.91"/>
    <n v="7.2"/>
    <n v="1.22"/>
    <n v="26.1"/>
    <n v="62.3"/>
    <n v="2.2400000000000002"/>
    <n v="109.6666666666667"/>
    <n v="111.4"/>
    <n v="53.875"/>
    <n v="22.274999999999999"/>
    <n v="18"/>
    <n v="61"/>
    <n v="111"/>
    <x v="1"/>
    <x v="3"/>
  </r>
  <r>
    <x v="4"/>
    <n v="103.5"/>
    <n v="108.7"/>
    <n v="54.5"/>
    <n v="15.94"/>
    <n v="41.8"/>
    <n v="1.46"/>
    <n v="24.3"/>
    <n v="82.3"/>
    <n v="2.69"/>
    <n v="172.5"/>
    <n v="108.7"/>
    <n v="68.125"/>
    <n v="39.849999999999987"/>
    <n v="104.5"/>
    <n v="73"/>
    <n v="172"/>
    <x v="1"/>
    <x v="0"/>
  </r>
  <r>
    <x v="0"/>
    <n v="113.3"/>
    <n v="130.9"/>
    <n v="32"/>
    <n v="13.11"/>
    <n v="37.200000000000003"/>
    <n v="1.81"/>
    <n v="5.9"/>
    <n v="60.1"/>
    <n v="1.95"/>
    <n v="188.83333333333329"/>
    <n v="130.9"/>
    <n v="40"/>
    <n v="32.774999999999999"/>
    <n v="93.000000000000014"/>
    <n v="90.5"/>
    <n v="189"/>
    <x v="1"/>
    <x v="0"/>
  </r>
  <r>
    <x v="1"/>
    <n v="35.1"/>
    <n v="108.5"/>
    <n v="41.9"/>
    <n v="9.6999999999999993"/>
    <n v="7.3"/>
    <n v="1.74"/>
    <n v="34.6"/>
    <n v="65.099999999999994"/>
    <n v="3.47"/>
    <n v="58.5"/>
    <n v="108.5"/>
    <n v="52.375"/>
    <n v="24.25"/>
    <n v="18.25"/>
    <n v="87"/>
    <n v="108"/>
    <x v="1"/>
    <x v="3"/>
  </r>
  <r>
    <x v="2"/>
    <n v="88.2"/>
    <n v="184.5"/>
    <n v="78.3"/>
    <n v="5.23"/>
    <n v="20.9"/>
    <n v="1.59"/>
    <n v="30"/>
    <n v="74"/>
    <n v="4.7699999999999996"/>
    <n v="147"/>
    <n v="184.5"/>
    <n v="97.874999999999986"/>
    <n v="13.074999999999999"/>
    <n v="52.25"/>
    <n v="79.5"/>
    <n v="184"/>
    <x v="1"/>
    <x v="3"/>
  </r>
  <r>
    <x v="3"/>
    <n v="60.3"/>
    <n v="145.6"/>
    <n v="25.4"/>
    <n v="18.68"/>
    <n v="31.6"/>
    <n v="1.02"/>
    <n v="22.6"/>
    <n v="48.4"/>
    <n v="1.62"/>
    <n v="100.5"/>
    <n v="145.6"/>
    <n v="31.75"/>
    <n v="46.7"/>
    <n v="79"/>
    <n v="51.000000000000007"/>
    <n v="146"/>
    <x v="1"/>
    <x v="3"/>
  </r>
  <r>
    <x v="4"/>
    <n v="48.7"/>
    <n v="41.9"/>
    <n v="32.200000000000003"/>
    <n v="19.52"/>
    <n v="64.2"/>
    <n v="1.93"/>
    <n v="33.200000000000003"/>
    <n v="93"/>
    <n v="0.87"/>
    <n v="81.166666666666671"/>
    <n v="41.9"/>
    <n v="40.25"/>
    <n v="48.8"/>
    <n v="160.5"/>
    <n v="96.5"/>
    <n v="160"/>
    <x v="1"/>
    <x v="2"/>
  </r>
  <r>
    <x v="0"/>
    <n v="26.6"/>
    <n v="82.5"/>
    <n v="40.9"/>
    <n v="7.47"/>
    <n v="33.1"/>
    <n v="1.53"/>
    <n v="25.2"/>
    <n v="47"/>
    <n v="0.2"/>
    <n v="44.333333333333343"/>
    <n v="82.5"/>
    <n v="51.125"/>
    <n v="18.675000000000001"/>
    <n v="82.75"/>
    <n v="76.5"/>
    <n v="83"/>
    <x v="3"/>
    <x v="2"/>
  </r>
  <r>
    <x v="1"/>
    <n v="37.799999999999997"/>
    <n v="108.8"/>
    <n v="50.1"/>
    <n v="2.94"/>
    <n v="34.700000000000003"/>
    <n v="0.65"/>
    <n v="24.1"/>
    <n v="40.700000000000003"/>
    <n v="1.48"/>
    <n v="63"/>
    <n v="108.8"/>
    <n v="62.625"/>
    <n v="7.35"/>
    <n v="86.750000000000014"/>
    <n v="32.5"/>
    <n v="109"/>
    <x v="1"/>
    <x v="3"/>
  </r>
  <r>
    <x v="2"/>
    <n v="19.7"/>
    <n v="105.3"/>
    <n v="26.3"/>
    <n v="11.91"/>
    <n v="47.6"/>
    <n v="1.1000000000000001"/>
    <n v="19.399999999999999"/>
    <n v="66.8"/>
    <n v="3.33"/>
    <n v="32.833333333333343"/>
    <n v="105.3"/>
    <n v="32.875"/>
    <n v="29.774999999999999"/>
    <n v="119"/>
    <n v="55.000000000000007"/>
    <n v="119"/>
    <x v="1"/>
    <x v="2"/>
  </r>
  <r>
    <x v="3"/>
    <n v="64.3"/>
    <n v="216.2"/>
    <n v="54.2"/>
    <n v="12.57"/>
    <n v="43.3"/>
    <n v="1.61"/>
    <n v="19.399999999999999"/>
    <n v="51.7"/>
    <n v="2.92"/>
    <n v="107.1666666666667"/>
    <n v="216.2"/>
    <n v="67.75"/>
    <n v="31.425000000000001"/>
    <n v="108.25"/>
    <n v="80.5"/>
    <n v="216"/>
    <x v="0"/>
    <x v="3"/>
  </r>
  <r>
    <x v="4"/>
    <n v="77.3"/>
    <n v="165.5"/>
    <n v="73.7"/>
    <n v="0.96"/>
    <n v="17.2"/>
    <n v="1.47"/>
    <n v="19.899999999999999"/>
    <n v="100"/>
    <n v="3.62"/>
    <n v="128.83333333333329"/>
    <n v="165.5"/>
    <n v="92.125"/>
    <n v="2.4"/>
    <n v="43"/>
    <n v="73.5"/>
    <n v="166"/>
    <x v="1"/>
    <x v="3"/>
  </r>
  <r>
    <x v="0"/>
    <n v="66.3"/>
    <n v="102.4"/>
    <n v="40.700000000000003"/>
    <n v="9.3699999999999992"/>
    <n v="49.2"/>
    <n v="1.06"/>
    <n v="23.1"/>
    <n v="84.2"/>
    <n v="4.16"/>
    <n v="110.5"/>
    <n v="102.4"/>
    <n v="50.875"/>
    <n v="23.425000000000001"/>
    <n v="123"/>
    <n v="53.000000000000007"/>
    <n v="123"/>
    <x v="1"/>
    <x v="2"/>
  </r>
  <r>
    <x v="1"/>
    <n v="84.5"/>
    <n v="49.4"/>
    <n v="69.7"/>
    <n v="19.71"/>
    <n v="92.8"/>
    <n v="2.0499999999999998"/>
    <n v="35"/>
    <n v="61"/>
    <n v="3.25"/>
    <n v="140.83333333333329"/>
    <n v="49.4"/>
    <n v="87.125000000000014"/>
    <n v="49.274999999999999"/>
    <n v="232"/>
    <n v="102.5"/>
    <n v="232"/>
    <x v="0"/>
    <x v="2"/>
  </r>
  <r>
    <x v="2"/>
    <n v="37.6"/>
    <n v="130.69999999999999"/>
    <n v="68"/>
    <n v="4.8"/>
    <n v="17.5"/>
    <n v="1.2"/>
    <n v="23.4"/>
    <n v="71.7"/>
    <n v="1.96"/>
    <n v="62.666666666666657"/>
    <n v="130.69999999999999"/>
    <n v="85"/>
    <n v="12"/>
    <n v="43.75"/>
    <n v="60"/>
    <n v="131"/>
    <x v="1"/>
    <x v="3"/>
  </r>
  <r>
    <x v="3"/>
    <n v="111.6"/>
    <n v="42.6"/>
    <n v="70.099999999999994"/>
    <n v="4.18"/>
    <n v="1"/>
    <n v="1.34"/>
    <n v="23.2"/>
    <n v="40"/>
    <n v="0.48"/>
    <n v="186"/>
    <n v="42.6"/>
    <n v="87.625"/>
    <n v="10.45"/>
    <n v="2.5"/>
    <n v="67"/>
    <n v="186"/>
    <x v="1"/>
    <x v="0"/>
  </r>
  <r>
    <x v="4"/>
    <n v="65.7"/>
    <n v="196.4"/>
    <n v="62.4"/>
    <n v="9.11"/>
    <n v="57.2"/>
    <n v="1.3"/>
    <n v="15"/>
    <n v="34.4"/>
    <n v="2.76"/>
    <n v="109.5"/>
    <n v="196.4"/>
    <n v="78"/>
    <n v="22.774999999999999"/>
    <n v="143"/>
    <n v="65"/>
    <n v="196"/>
    <x v="1"/>
    <x v="3"/>
  </r>
  <r>
    <x v="0"/>
    <n v="63.5"/>
    <n v="196.7"/>
    <n v="69.2"/>
    <n v="12.68"/>
    <n v="37.9"/>
    <n v="0.43"/>
    <n v="27.9"/>
    <n v="69.5"/>
    <n v="0.2"/>
    <n v="105.8333333333333"/>
    <n v="196.7"/>
    <n v="86.500000000000014"/>
    <n v="31.7"/>
    <n v="94.75"/>
    <n v="21.5"/>
    <n v="197"/>
    <x v="1"/>
    <x v="3"/>
  </r>
  <r>
    <x v="1"/>
    <n v="43.7"/>
    <n v="98.2"/>
    <n v="59.2"/>
    <n v="4.9800000000000004"/>
    <n v="48.8"/>
    <n v="1.34"/>
    <n v="23.9"/>
    <n v="47.1"/>
    <n v="1.73"/>
    <n v="72.833333333333329"/>
    <n v="98.2"/>
    <n v="74.000000000000014"/>
    <n v="12.45"/>
    <n v="122"/>
    <n v="67"/>
    <n v="122"/>
    <x v="1"/>
    <x v="2"/>
  </r>
  <r>
    <x v="2"/>
    <n v="26.2"/>
    <n v="135.69999999999999"/>
    <n v="53.6"/>
    <n v="3.94"/>
    <n v="74.099999999999994"/>
    <n v="0.96"/>
    <n v="35.700000000000003"/>
    <n v="48.4"/>
    <n v="0.2"/>
    <n v="43.666666666666657"/>
    <n v="135.69999999999999"/>
    <n v="67"/>
    <n v="9.85"/>
    <n v="185.25"/>
    <n v="48"/>
    <n v="185"/>
    <x v="1"/>
    <x v="2"/>
  </r>
  <r>
    <x v="3"/>
    <n v="72.099999999999994"/>
    <n v="134.9"/>
    <n v="45.7"/>
    <n v="4.79"/>
    <n v="39.1"/>
    <n v="0.89"/>
    <n v="22.9"/>
    <n v="75.099999999999994"/>
    <n v="2.72"/>
    <n v="120.1666666666667"/>
    <n v="134.9"/>
    <n v="57.125"/>
    <n v="11.975"/>
    <n v="97.75"/>
    <n v="44.5"/>
    <n v="135"/>
    <x v="1"/>
    <x v="3"/>
  </r>
  <r>
    <x v="4"/>
    <n v="86.1"/>
    <n v="116.7"/>
    <n v="42"/>
    <n v="2.46"/>
    <n v="33.799999999999997"/>
    <n v="0.05"/>
    <n v="20.9"/>
    <n v="58.5"/>
    <n v="3.68"/>
    <n v="143.5"/>
    <n v="116.7"/>
    <n v="52.5"/>
    <n v="6.15"/>
    <n v="84.499999999999986"/>
    <n v="2.5"/>
    <n v="144"/>
    <x v="1"/>
    <x v="0"/>
  </r>
  <r>
    <x v="0"/>
    <n v="59.7"/>
    <n v="162"/>
    <n v="2"/>
    <n v="8.8699999999999992"/>
    <n v="1"/>
    <n v="0.55000000000000004"/>
    <n v="23.7"/>
    <n v="83"/>
    <n v="2.95"/>
    <n v="99.5"/>
    <n v="162"/>
    <n v="2.5"/>
    <n v="22.175000000000001"/>
    <n v="2.5"/>
    <n v="27.5"/>
    <n v="162"/>
    <x v="1"/>
    <x v="3"/>
  </r>
  <r>
    <x v="1"/>
    <n v="75.7"/>
    <n v="148.5"/>
    <n v="38.4"/>
    <n v="6.6"/>
    <n v="63.4"/>
    <n v="0.46"/>
    <n v="29.2"/>
    <n v="53"/>
    <n v="3.49"/>
    <n v="126.1666666666667"/>
    <n v="148.5"/>
    <n v="48"/>
    <n v="16.5"/>
    <n v="158.5"/>
    <n v="23"/>
    <n v="158"/>
    <x v="1"/>
    <x v="2"/>
  </r>
  <r>
    <x v="2"/>
    <n v="84.4"/>
    <n v="18.600000000000001"/>
    <n v="31.7"/>
    <n v="3.54"/>
    <n v="1"/>
    <n v="0.55000000000000004"/>
    <n v="42.1"/>
    <n v="71"/>
    <n v="4.8"/>
    <n v="140.66666666666671"/>
    <n v="18.600000000000001"/>
    <n v="39.625"/>
    <n v="8.85"/>
    <n v="2.5"/>
    <n v="27.5"/>
    <n v="141"/>
    <x v="1"/>
    <x v="0"/>
  </r>
  <r>
    <x v="3"/>
    <n v="84.9"/>
    <n v="75.5"/>
    <n v="37.4"/>
    <n v="10.94"/>
    <n v="50.9"/>
    <n v="0.85"/>
    <n v="14.4"/>
    <n v="100"/>
    <n v="2.33"/>
    <n v="141.5"/>
    <n v="75.5"/>
    <n v="46.75"/>
    <n v="27.35"/>
    <n v="127.25"/>
    <n v="42.499999999999993"/>
    <n v="142"/>
    <x v="1"/>
    <x v="0"/>
  </r>
  <r>
    <x v="4"/>
    <n v="55.3"/>
    <n v="139.5"/>
    <n v="44.2"/>
    <n v="9.48"/>
    <n v="79.400000000000006"/>
    <n v="1.24"/>
    <n v="16.899999999999999"/>
    <n v="57.1"/>
    <n v="2.44"/>
    <n v="92.166666666666657"/>
    <n v="139.5"/>
    <n v="55.25"/>
    <n v="23.7"/>
    <n v="198.5"/>
    <n v="62"/>
    <n v="198"/>
    <x v="1"/>
    <x v="2"/>
  </r>
  <r>
    <x v="0"/>
    <n v="118.1"/>
    <n v="218.8"/>
    <n v="54.2"/>
    <n v="1.85"/>
    <n v="10.8"/>
    <n v="1.39"/>
    <n v="27.4"/>
    <n v="53.3"/>
    <n v="1.92"/>
    <n v="196.83333333333329"/>
    <n v="218.8"/>
    <n v="67.75"/>
    <n v="4.6250000000000009"/>
    <n v="27"/>
    <n v="69.499999999999986"/>
    <n v="219"/>
    <x v="0"/>
    <x v="3"/>
  </r>
  <r>
    <x v="1"/>
    <n v="52.8"/>
    <n v="148.19999999999999"/>
    <n v="2"/>
    <n v="3.12"/>
    <n v="30.4"/>
    <n v="2.41"/>
    <n v="19.3"/>
    <n v="63.2"/>
    <n v="2.77"/>
    <n v="88"/>
    <n v="148.19999999999999"/>
    <n v="2.5"/>
    <n v="7.8000000000000007"/>
    <n v="76"/>
    <n v="120.5"/>
    <n v="148"/>
    <x v="1"/>
    <x v="3"/>
  </r>
  <r>
    <x v="2"/>
    <n v="94"/>
    <n v="186"/>
    <n v="41.7"/>
    <n v="5.34"/>
    <n v="22.2"/>
    <n v="1"/>
    <n v="22"/>
    <n v="70"/>
    <n v="3"/>
    <n v="156.66666666666671"/>
    <n v="186"/>
    <n v="52.125000000000007"/>
    <n v="13.35"/>
    <n v="55.5"/>
    <n v="50"/>
    <n v="186"/>
    <x v="1"/>
    <x v="3"/>
  </r>
  <r>
    <x v="3"/>
    <n v="77.8"/>
    <n v="195.6"/>
    <n v="82.3"/>
    <n v="8.6199999999999992"/>
    <n v="67.5"/>
    <n v="0.99"/>
    <n v="33.299999999999997"/>
    <n v="79.099999999999994"/>
    <n v="3.71"/>
    <n v="129.66666666666671"/>
    <n v="195.6"/>
    <n v="102.875"/>
    <n v="21.55"/>
    <n v="168.75"/>
    <n v="49.5"/>
    <n v="196"/>
    <x v="1"/>
    <x v="3"/>
  </r>
  <r>
    <x v="4"/>
    <n v="69.099999999999994"/>
    <n v="87.9"/>
    <n v="18.8"/>
    <n v="8.58"/>
    <n v="86.2"/>
    <n v="1.1200000000000001"/>
    <n v="30.5"/>
    <n v="75.2"/>
    <n v="2.66"/>
    <n v="115.1666666666667"/>
    <n v="87.9"/>
    <n v="23.5"/>
    <n v="21.45"/>
    <n v="215.5"/>
    <n v="56.000000000000007"/>
    <n v="216"/>
    <x v="0"/>
    <x v="2"/>
  </r>
  <r>
    <x v="0"/>
    <n v="114.4"/>
    <n v="5"/>
    <n v="23.6"/>
    <n v="3.94"/>
    <n v="22.4"/>
    <n v="1.61"/>
    <n v="27"/>
    <n v="67.099999999999994"/>
    <n v="3.22"/>
    <n v="190.66666666666671"/>
    <n v="5"/>
    <n v="29.5"/>
    <n v="9.85"/>
    <n v="55.999999999999993"/>
    <n v="80.5"/>
    <n v="191"/>
    <x v="1"/>
    <x v="0"/>
  </r>
  <r>
    <x v="1"/>
    <n v="39.4"/>
    <n v="58.6"/>
    <n v="66.2"/>
    <n v="6.06"/>
    <n v="1"/>
    <n v="2.23"/>
    <n v="34.799999999999997"/>
    <n v="88"/>
    <n v="2.72"/>
    <n v="65.666666666666671"/>
    <n v="58.6"/>
    <n v="82.75"/>
    <n v="15.15"/>
    <n v="2.5"/>
    <n v="111.5"/>
    <n v="112"/>
    <x v="1"/>
    <x v="4"/>
  </r>
  <r>
    <x v="2"/>
    <n v="74.8"/>
    <n v="192.1"/>
    <n v="30.6"/>
    <n v="12.88"/>
    <n v="44.5"/>
    <n v="1.66"/>
    <n v="26.3"/>
    <n v="83.3"/>
    <n v="2.77"/>
    <n v="124.6666666666667"/>
    <n v="192.1"/>
    <n v="38.25"/>
    <n v="32.200000000000003"/>
    <n v="111.25"/>
    <n v="82.999999999999986"/>
    <n v="192"/>
    <x v="1"/>
    <x v="3"/>
  </r>
  <r>
    <x v="3"/>
    <n v="15.5"/>
    <n v="207.1"/>
    <n v="26"/>
    <n v="14.27"/>
    <n v="37.700000000000003"/>
    <n v="1.91"/>
    <n v="32.9"/>
    <n v="67.7"/>
    <n v="3.11"/>
    <n v="25.833333333333329"/>
    <n v="207.1"/>
    <n v="32.5"/>
    <n v="35.674999999999997"/>
    <n v="94.25"/>
    <n v="95.5"/>
    <n v="207"/>
    <x v="0"/>
    <x v="3"/>
  </r>
  <r>
    <x v="4"/>
    <n v="79.900000000000006"/>
    <n v="5"/>
    <n v="52.1"/>
    <n v="2.66"/>
    <n v="48.7"/>
    <n v="0.56999999999999995"/>
    <n v="16.7"/>
    <n v="88.9"/>
    <n v="4.28"/>
    <n v="133.16666666666671"/>
    <n v="5"/>
    <n v="65.125"/>
    <n v="6.65"/>
    <n v="121.75"/>
    <n v="28.5"/>
    <n v="133"/>
    <x v="1"/>
    <x v="0"/>
  </r>
  <r>
    <x v="0"/>
    <n v="68.900000000000006"/>
    <n v="150.69999999999999"/>
    <n v="46"/>
    <n v="12.48"/>
    <n v="26.6"/>
    <n v="2.0699999999999998"/>
    <n v="23.2"/>
    <n v="52.4"/>
    <n v="2.5299999999999998"/>
    <n v="114.8333333333333"/>
    <n v="150.69999999999999"/>
    <n v="57.5"/>
    <n v="31.2"/>
    <n v="66.5"/>
    <n v="103.5"/>
    <n v="151"/>
    <x v="1"/>
    <x v="3"/>
  </r>
  <r>
    <x v="1"/>
    <n v="52.8"/>
    <n v="174.7"/>
    <n v="42.8"/>
    <n v="12.93"/>
    <n v="88"/>
    <n v="0.96"/>
    <n v="24.1"/>
    <n v="68.3"/>
    <n v="1.98"/>
    <n v="88"/>
    <n v="174.7"/>
    <n v="53.5"/>
    <n v="32.325000000000003"/>
    <n v="220"/>
    <n v="48"/>
    <n v="220"/>
    <x v="0"/>
    <x v="2"/>
  </r>
  <r>
    <x v="2"/>
    <n v="70.2"/>
    <n v="145.69999999999999"/>
    <n v="63.3"/>
    <n v="4.72"/>
    <n v="15.6"/>
    <n v="0.96"/>
    <n v="18.2"/>
    <n v="70.2"/>
    <n v="1.1100000000000001"/>
    <n v="117"/>
    <n v="145.69999999999999"/>
    <n v="79.125"/>
    <n v="11.8"/>
    <n v="39"/>
    <n v="48"/>
    <n v="146"/>
    <x v="1"/>
    <x v="3"/>
  </r>
  <r>
    <x v="3"/>
    <n v="130"/>
    <n v="197.8"/>
    <n v="45.3"/>
    <n v="12.34"/>
    <n v="1"/>
    <n v="2.71"/>
    <n v="20.9"/>
    <n v="57.8"/>
    <n v="0.27"/>
    <n v="216.66666666666671"/>
    <n v="197.8"/>
    <n v="56.624999999999993"/>
    <n v="30.85"/>
    <n v="2.5"/>
    <n v="135.5"/>
    <n v="217"/>
    <x v="0"/>
    <x v="0"/>
  </r>
  <r>
    <x v="4"/>
    <n v="82"/>
    <n v="59"/>
    <n v="51.7"/>
    <n v="5.81"/>
    <n v="14.4"/>
    <n v="0.79"/>
    <n v="26.6"/>
    <n v="36.9"/>
    <n v="2.1"/>
    <n v="136.66666666666671"/>
    <n v="59"/>
    <n v="64.625"/>
    <n v="14.525"/>
    <n v="36.000000000000007"/>
    <n v="39.5"/>
    <n v="137"/>
    <x v="1"/>
    <x v="0"/>
  </r>
  <r>
    <x v="0"/>
    <n v="91.9"/>
    <n v="317.60000000000002"/>
    <n v="62.7"/>
    <n v="3.93"/>
    <n v="35.4"/>
    <n v="1.4"/>
    <n v="22.6"/>
    <n v="76.3"/>
    <n v="2.76"/>
    <n v="153.16666666666671"/>
    <n v="317.60000000000002"/>
    <n v="78.375"/>
    <n v="9.8250000000000011"/>
    <n v="88.5"/>
    <n v="69.999999999999986"/>
    <n v="318"/>
    <x v="2"/>
    <x v="3"/>
  </r>
  <r>
    <x v="1"/>
    <n v="109"/>
    <n v="126.4"/>
    <n v="89.4"/>
    <n v="8.9600000000000009"/>
    <n v="19.7"/>
    <n v="3.13"/>
    <n v="12.2"/>
    <n v="46.7"/>
    <n v="1.75"/>
    <n v="181.66666666666671"/>
    <n v="126.4"/>
    <n v="111.75"/>
    <n v="22.4"/>
    <n v="49.249999999999993"/>
    <n v="156.5"/>
    <n v="182"/>
    <x v="1"/>
    <x v="0"/>
  </r>
  <r>
    <x v="2"/>
    <n v="128.5"/>
    <n v="217"/>
    <n v="71.099999999999994"/>
    <n v="6.03"/>
    <n v="95.6"/>
    <n v="1.35"/>
    <n v="31.8"/>
    <n v="63.2"/>
    <n v="2.44"/>
    <n v="214.16666666666671"/>
    <n v="217"/>
    <n v="88.875"/>
    <n v="15.074999999999999"/>
    <n v="239"/>
    <n v="67.5"/>
    <n v="239"/>
    <x v="0"/>
    <x v="2"/>
  </r>
  <r>
    <x v="3"/>
    <n v="52.4"/>
    <n v="107.4"/>
    <n v="57.2"/>
    <n v="9.84"/>
    <n v="39.200000000000003"/>
    <n v="2.11"/>
    <n v="4.2"/>
    <n v="69.2"/>
    <n v="3.36"/>
    <n v="87.333333333333329"/>
    <n v="107.4"/>
    <n v="71.500000000000014"/>
    <n v="24.6"/>
    <n v="98"/>
    <n v="105.5"/>
    <n v="107"/>
    <x v="1"/>
    <x v="3"/>
  </r>
  <r>
    <x v="4"/>
    <n v="103.8"/>
    <n v="127.7"/>
    <n v="54.1"/>
    <n v="14.22"/>
    <n v="85"/>
    <n v="1.1200000000000001"/>
    <n v="26.9"/>
    <n v="90.2"/>
    <n v="0.45"/>
    <n v="173"/>
    <n v="127.7"/>
    <n v="67.625"/>
    <n v="35.549999999999997"/>
    <n v="212.5"/>
    <n v="56.000000000000007"/>
    <n v="212"/>
    <x v="0"/>
    <x v="2"/>
  </r>
  <r>
    <x v="0"/>
    <n v="45.2"/>
    <n v="239.1"/>
    <n v="76.900000000000006"/>
    <n v="12.2"/>
    <n v="33.1"/>
    <n v="0.77"/>
    <n v="20.9"/>
    <n v="87.9"/>
    <n v="1.75"/>
    <n v="75.333333333333329"/>
    <n v="239.1"/>
    <n v="96.125"/>
    <n v="30.5"/>
    <n v="82.75"/>
    <n v="38.5"/>
    <n v="239"/>
    <x v="0"/>
    <x v="3"/>
  </r>
  <r>
    <x v="1"/>
    <n v="78.8"/>
    <n v="93.5"/>
    <n v="77.3"/>
    <n v="6.63"/>
    <n v="47"/>
    <n v="0.24"/>
    <n v="13.7"/>
    <n v="60.1"/>
    <n v="0.91"/>
    <n v="131.33333333333329"/>
    <n v="93.5"/>
    <n v="96.625"/>
    <n v="16.574999999999999"/>
    <n v="117.5"/>
    <n v="12"/>
    <n v="131"/>
    <x v="1"/>
    <x v="0"/>
  </r>
  <r>
    <x v="2"/>
    <n v="117"/>
    <n v="5"/>
    <n v="27.5"/>
    <n v="7.68"/>
    <n v="29.3"/>
    <n v="0.51"/>
    <n v="18.3"/>
    <n v="42.2"/>
    <n v="2.16"/>
    <n v="195"/>
    <n v="5"/>
    <n v="34.375"/>
    <n v="19.2"/>
    <n v="73.25"/>
    <n v="25.5"/>
    <n v="195"/>
    <x v="1"/>
    <x v="0"/>
  </r>
  <r>
    <x v="3"/>
    <n v="118.6"/>
    <n v="124.7"/>
    <n v="68.7"/>
    <n v="10.53"/>
    <n v="67.8"/>
    <n v="0.05"/>
    <n v="22.9"/>
    <n v="83.5"/>
    <n v="1.81"/>
    <n v="197.66666666666671"/>
    <n v="124.7"/>
    <n v="85.875"/>
    <n v="26.324999999999999"/>
    <n v="169.5"/>
    <n v="2.5"/>
    <n v="198"/>
    <x v="1"/>
    <x v="0"/>
  </r>
  <r>
    <x v="4"/>
    <n v="124.2"/>
    <n v="229.9"/>
    <n v="39.200000000000003"/>
    <n v="6.03"/>
    <n v="16.100000000000001"/>
    <n v="0.9"/>
    <n v="16.399999999999999"/>
    <n v="67.7"/>
    <n v="1.25"/>
    <n v="207"/>
    <n v="229.9"/>
    <n v="49"/>
    <n v="15.074999999999999"/>
    <n v="40.25"/>
    <n v="45"/>
    <n v="230"/>
    <x v="0"/>
    <x v="3"/>
  </r>
  <r>
    <x v="0"/>
    <n v="89.8"/>
    <n v="181.3"/>
    <n v="13.5"/>
    <n v="18.11"/>
    <n v="60.8"/>
    <n v="1.9"/>
    <n v="19.7"/>
    <n v="71.2"/>
    <n v="3.85"/>
    <n v="149.66666666666671"/>
    <n v="181.3"/>
    <n v="16.875"/>
    <n v="45.274999999999999"/>
    <n v="152"/>
    <n v="95"/>
    <n v="181"/>
    <x v="1"/>
    <x v="3"/>
  </r>
  <r>
    <x v="1"/>
    <n v="71.3"/>
    <n v="300.10000000000002"/>
    <n v="57.4"/>
    <n v="17.13"/>
    <n v="59.2"/>
    <n v="1.94"/>
    <n v="13.3"/>
    <n v="66.7"/>
    <n v="1.62"/>
    <n v="118.8333333333333"/>
    <n v="300.10000000000002"/>
    <n v="71.75"/>
    <n v="42.825000000000003"/>
    <n v="148"/>
    <n v="97"/>
    <n v="300"/>
    <x v="0"/>
    <x v="3"/>
  </r>
  <r>
    <x v="2"/>
    <n v="32.9"/>
    <n v="213.4"/>
    <n v="38.700000000000003"/>
    <n v="2.83"/>
    <n v="29.5"/>
    <n v="0.4"/>
    <n v="35"/>
    <n v="47.5"/>
    <n v="3.14"/>
    <n v="54.833333333333329"/>
    <n v="213.4"/>
    <n v="48.375"/>
    <n v="7.0750000000000002"/>
    <n v="73.75"/>
    <n v="20"/>
    <n v="213"/>
    <x v="0"/>
    <x v="3"/>
  </r>
  <r>
    <x v="3"/>
    <n v="100.7"/>
    <n v="90"/>
    <n v="55.6"/>
    <n v="2.85"/>
    <n v="101.1"/>
    <n v="1.76"/>
    <n v="23.7"/>
    <n v="46.1"/>
    <n v="2.36"/>
    <n v="167.83333333333329"/>
    <n v="90"/>
    <n v="69.5"/>
    <n v="7.125"/>
    <n v="252.75"/>
    <n v="88"/>
    <n v="253"/>
    <x v="0"/>
    <x v="2"/>
  </r>
  <r>
    <x v="4"/>
    <n v="54.8"/>
    <n v="260.89999999999998"/>
    <n v="22.5"/>
    <n v="9.5399999999999991"/>
    <n v="43.5"/>
    <n v="1.24"/>
    <n v="24.2"/>
    <n v="57.9"/>
    <n v="4.05"/>
    <n v="91.333333333333329"/>
    <n v="260.89999999999998"/>
    <n v="28.125"/>
    <n v="23.85"/>
    <n v="108.75"/>
    <n v="62"/>
    <n v="261"/>
    <x v="0"/>
    <x v="3"/>
  </r>
  <r>
    <x v="0"/>
    <n v="90"/>
    <n v="166.9"/>
    <n v="2"/>
    <n v="10.92"/>
    <n v="1"/>
    <n v="1.83"/>
    <n v="35.299999999999997"/>
    <n v="43.3"/>
    <n v="2.19"/>
    <n v="150"/>
    <n v="166.9"/>
    <n v="2.5"/>
    <n v="27.3"/>
    <n v="2.5"/>
    <n v="91.5"/>
    <n v="167"/>
    <x v="1"/>
    <x v="3"/>
  </r>
  <r>
    <x v="1"/>
    <n v="52.5"/>
    <n v="242.7"/>
    <n v="58.6"/>
    <n v="20.8"/>
    <n v="62.9"/>
    <n v="1.68"/>
    <n v="25.5"/>
    <n v="74.7"/>
    <n v="0.41"/>
    <n v="87.5"/>
    <n v="242.7"/>
    <n v="73.25"/>
    <n v="52.000000000000007"/>
    <n v="157.25"/>
    <n v="83.999999999999986"/>
    <n v="243"/>
    <x v="0"/>
    <x v="3"/>
  </r>
  <r>
    <x v="2"/>
    <n v="59.4"/>
    <n v="110"/>
    <n v="56.5"/>
    <n v="6.71"/>
    <n v="13.3"/>
    <n v="1.1399999999999999"/>
    <n v="17.399999999999999"/>
    <n v="25.3"/>
    <n v="3.37"/>
    <n v="98.999999999999986"/>
    <n v="110"/>
    <n v="70.625"/>
    <n v="16.774999999999999"/>
    <n v="33.25"/>
    <n v="56.999999999999993"/>
    <n v="110"/>
    <x v="1"/>
    <x v="3"/>
  </r>
  <r>
    <x v="3"/>
    <n v="77.400000000000006"/>
    <n v="148"/>
    <n v="71.099999999999994"/>
    <n v="4.67"/>
    <n v="4.2"/>
    <n v="1.1599999999999999"/>
    <n v="22.6"/>
    <n v="44.8"/>
    <n v="2.4"/>
    <n v="129"/>
    <n v="148"/>
    <n v="88.875"/>
    <n v="11.675000000000001"/>
    <n v="10.5"/>
    <n v="57.999999999999993"/>
    <n v="148"/>
    <x v="1"/>
    <x v="3"/>
  </r>
  <r>
    <x v="4"/>
    <n v="45.8"/>
    <n v="10.8"/>
    <n v="39.799999999999997"/>
    <n v="2.5499999999999998"/>
    <n v="50.4"/>
    <n v="0.89"/>
    <n v="32.799999999999997"/>
    <n v="88.9"/>
    <n v="3.82"/>
    <n v="76.333333333333329"/>
    <n v="10.8"/>
    <n v="49.749999999999993"/>
    <n v="6.375"/>
    <n v="126"/>
    <n v="44.5"/>
    <n v="126"/>
    <x v="1"/>
    <x v="2"/>
  </r>
  <r>
    <x v="0"/>
    <n v="15.5"/>
    <n v="241.9"/>
    <n v="88"/>
    <n v="9.31"/>
    <n v="84"/>
    <n v="1"/>
    <n v="11.9"/>
    <n v="46.3"/>
    <n v="4.58"/>
    <n v="25.833333333333329"/>
    <n v="241.9"/>
    <n v="110"/>
    <n v="23.274999999999999"/>
    <n v="210"/>
    <n v="50"/>
    <n v="242"/>
    <x v="0"/>
    <x v="3"/>
  </r>
  <r>
    <x v="1"/>
    <n v="19.100000000000001"/>
    <n v="150"/>
    <n v="57.1"/>
    <n v="6.79"/>
    <n v="36.1"/>
    <n v="1.55"/>
    <n v="21.1"/>
    <n v="34.4"/>
    <n v="2.76"/>
    <n v="31.833333333333339"/>
    <n v="150"/>
    <n v="71.375000000000014"/>
    <n v="16.975000000000001"/>
    <n v="90.25"/>
    <n v="77.5"/>
    <n v="150"/>
    <x v="1"/>
    <x v="3"/>
  </r>
  <r>
    <x v="2"/>
    <n v="87.6"/>
    <n v="163.6"/>
    <n v="27.4"/>
    <n v="1.66"/>
    <n v="31.3"/>
    <n v="2.0299999999999998"/>
    <n v="29.5"/>
    <n v="72.7"/>
    <n v="3.57"/>
    <n v="146"/>
    <n v="163.6"/>
    <n v="34.249999999999993"/>
    <n v="4.1500000000000004"/>
    <n v="78.25"/>
    <n v="101.5"/>
    <n v="164"/>
    <x v="1"/>
    <x v="3"/>
  </r>
  <r>
    <x v="3"/>
    <n v="72.599999999999994"/>
    <n v="127.2"/>
    <n v="58.2"/>
    <n v="5.27"/>
    <n v="4.5999999999999996"/>
    <n v="1.63"/>
    <n v="33.700000000000003"/>
    <n v="39.9"/>
    <n v="3.49"/>
    <n v="121"/>
    <n v="127.2"/>
    <n v="72.750000000000014"/>
    <n v="13.175000000000001"/>
    <n v="11.5"/>
    <n v="81.499999999999986"/>
    <n v="127"/>
    <x v="1"/>
    <x v="3"/>
  </r>
  <r>
    <x v="4"/>
    <n v="121.5"/>
    <n v="131.9"/>
    <n v="31.5"/>
    <n v="9.48"/>
    <n v="28.9"/>
    <n v="0.91"/>
    <n v="28"/>
    <n v="31.1"/>
    <n v="1.27"/>
    <n v="202.5"/>
    <n v="131.9"/>
    <n v="39.375"/>
    <n v="23.7"/>
    <n v="72.25"/>
    <n v="45.5"/>
    <n v="202"/>
    <x v="0"/>
    <x v="0"/>
  </r>
  <r>
    <x v="0"/>
    <n v="69.7"/>
    <n v="136.5"/>
    <n v="59.7"/>
    <n v="19.98"/>
    <n v="49"/>
    <n v="1.79"/>
    <n v="18.2"/>
    <n v="73.8"/>
    <n v="1.87"/>
    <n v="116.1666666666667"/>
    <n v="136.5"/>
    <n v="74.625"/>
    <n v="49.95"/>
    <n v="122.5"/>
    <n v="89.5"/>
    <n v="136"/>
    <x v="1"/>
    <x v="3"/>
  </r>
  <r>
    <x v="1"/>
    <n v="77.7"/>
    <n v="141.80000000000001"/>
    <n v="82.1"/>
    <n v="1.81"/>
    <n v="1"/>
    <n v="1.34"/>
    <n v="28.3"/>
    <n v="62.7"/>
    <n v="3.98"/>
    <n v="129.5"/>
    <n v="141.80000000000001"/>
    <n v="102.625"/>
    <n v="4.5250000000000004"/>
    <n v="2.5"/>
    <n v="67"/>
    <n v="142"/>
    <x v="1"/>
    <x v="3"/>
  </r>
  <r>
    <x v="2"/>
    <n v="69.5"/>
    <n v="81.900000000000006"/>
    <n v="2"/>
    <n v="6.47"/>
    <n v="62.4"/>
    <n v="0.92"/>
    <n v="25.2"/>
    <n v="67.599999999999994"/>
    <n v="1.28"/>
    <n v="115.8333333333333"/>
    <n v="81.900000000000006"/>
    <n v="2.5"/>
    <n v="16.175000000000001"/>
    <n v="156"/>
    <n v="46"/>
    <n v="156"/>
    <x v="1"/>
    <x v="2"/>
  </r>
  <r>
    <x v="3"/>
    <n v="78.7"/>
    <n v="218.2"/>
    <n v="41.5"/>
    <n v="2.35"/>
    <n v="38.299999999999997"/>
    <n v="0.05"/>
    <n v="27.4"/>
    <n v="68.099999999999994"/>
    <n v="4.51"/>
    <n v="131.16666666666671"/>
    <n v="218.2"/>
    <n v="51.875"/>
    <n v="5.875"/>
    <n v="95.749999999999986"/>
    <n v="2.5"/>
    <n v="218"/>
    <x v="0"/>
    <x v="3"/>
  </r>
  <r>
    <x v="4"/>
    <n v="59.6"/>
    <n v="159"/>
    <n v="30.6"/>
    <n v="6.84"/>
    <n v="2.1"/>
    <n v="1.19"/>
    <n v="22.9"/>
    <n v="65.400000000000006"/>
    <n v="2.25"/>
    <n v="99.333333333333329"/>
    <n v="159"/>
    <n v="38.25"/>
    <n v="17.100000000000001"/>
    <n v="5.25"/>
    <n v="59.5"/>
    <n v="159"/>
    <x v="1"/>
    <x v="3"/>
  </r>
  <r>
    <x v="0"/>
    <n v="71.900000000000006"/>
    <n v="115"/>
    <n v="44.1"/>
    <n v="9.66"/>
    <n v="47.2"/>
    <n v="1.91"/>
    <n v="24.2"/>
    <n v="53.7"/>
    <n v="2.2799999999999998"/>
    <n v="119.8333333333333"/>
    <n v="115"/>
    <n v="55.125"/>
    <n v="24.15"/>
    <n v="118"/>
    <n v="95.5"/>
    <n v="120"/>
    <x v="1"/>
    <x v="0"/>
  </r>
  <r>
    <x v="1"/>
    <n v="48.2"/>
    <n v="123"/>
    <n v="107"/>
    <n v="4.3"/>
    <n v="41.3"/>
    <n v="1.21"/>
    <n v="23.3"/>
    <n v="54"/>
    <n v="2.84"/>
    <n v="80.333333333333343"/>
    <n v="123"/>
    <n v="133.75"/>
    <n v="10.75"/>
    <n v="103.25"/>
    <n v="60.5"/>
    <n v="134"/>
    <x v="1"/>
    <x v="1"/>
  </r>
  <r>
    <x v="2"/>
    <n v="8.3000000000000007"/>
    <n v="173.1"/>
    <n v="54.8"/>
    <n v="1.7"/>
    <n v="1"/>
    <n v="0.57999999999999996"/>
    <n v="23.3"/>
    <n v="100"/>
    <n v="3.15"/>
    <n v="13.83333333333333"/>
    <n v="173.1"/>
    <n v="68.499999999999986"/>
    <n v="4.25"/>
    <n v="2.5"/>
    <n v="29"/>
    <n v="173"/>
    <x v="1"/>
    <x v="3"/>
  </r>
  <r>
    <x v="3"/>
    <n v="5.8"/>
    <n v="78.599999999999994"/>
    <n v="43.9"/>
    <n v="9.27"/>
    <n v="7.1"/>
    <n v="1.1200000000000001"/>
    <n v="20"/>
    <n v="40.1"/>
    <n v="2.81"/>
    <n v="9.6666666666666679"/>
    <n v="78.599999999999994"/>
    <n v="54.875"/>
    <n v="23.175000000000001"/>
    <n v="17.75"/>
    <n v="56.000000000000007"/>
    <n v="79"/>
    <x v="3"/>
    <x v="3"/>
  </r>
  <r>
    <x v="4"/>
    <n v="91.5"/>
    <n v="187.5"/>
    <n v="62.1"/>
    <n v="6.06"/>
    <n v="63.7"/>
    <n v="1.52"/>
    <n v="25.9"/>
    <n v="49"/>
    <n v="2.4"/>
    <n v="152.5"/>
    <n v="187.5"/>
    <n v="77.625"/>
    <n v="15.15"/>
    <n v="159.25"/>
    <n v="76"/>
    <n v="188"/>
    <x v="1"/>
    <x v="3"/>
  </r>
  <r>
    <x v="0"/>
    <n v="71.5"/>
    <n v="306.39999999999998"/>
    <n v="58.7"/>
    <n v="5.69"/>
    <n v="22.1"/>
    <n v="1.04"/>
    <n v="40.200000000000003"/>
    <n v="52.8"/>
    <n v="3.59"/>
    <n v="119.1666666666667"/>
    <n v="306.39999999999998"/>
    <n v="73.375000000000014"/>
    <n v="14.225"/>
    <n v="55.25"/>
    <n v="52.000000000000007"/>
    <n v="306"/>
    <x v="2"/>
    <x v="3"/>
  </r>
  <r>
    <x v="1"/>
    <n v="60.9"/>
    <n v="169.6"/>
    <n v="76"/>
    <n v="6.43"/>
    <n v="30"/>
    <n v="2.74"/>
    <n v="31.9"/>
    <n v="74.2"/>
    <n v="3.44"/>
    <n v="101.5"/>
    <n v="169.6"/>
    <n v="95"/>
    <n v="16.074999999999999"/>
    <n v="75"/>
    <n v="137"/>
    <n v="170"/>
    <x v="1"/>
    <x v="3"/>
  </r>
  <r>
    <x v="2"/>
    <n v="70.099999999999994"/>
    <n v="229"/>
    <n v="43.6"/>
    <n v="10.34"/>
    <n v="3.5"/>
    <n v="0.67"/>
    <n v="16.600000000000001"/>
    <n v="82.9"/>
    <n v="0.2"/>
    <n v="116.8333333333333"/>
    <n v="229"/>
    <n v="54.5"/>
    <n v="25.85"/>
    <n v="8.75"/>
    <n v="33.5"/>
    <n v="229"/>
    <x v="0"/>
    <x v="3"/>
  </r>
  <r>
    <x v="3"/>
    <n v="47.9"/>
    <n v="5"/>
    <n v="28.4"/>
    <n v="5.55"/>
    <n v="74.599999999999994"/>
    <n v="1.44"/>
    <n v="19.2"/>
    <n v="79.2"/>
    <n v="2.52"/>
    <n v="79.833333333333329"/>
    <n v="5"/>
    <n v="35.5"/>
    <n v="13.875"/>
    <n v="186.5"/>
    <n v="72"/>
    <n v="186"/>
    <x v="1"/>
    <x v="2"/>
  </r>
  <r>
    <x v="4"/>
    <n v="67.2"/>
    <n v="52.6"/>
    <n v="27.7"/>
    <n v="4.26"/>
    <n v="45.3"/>
    <n v="1.37"/>
    <n v="35.799999999999997"/>
    <n v="66.900000000000006"/>
    <n v="0.2"/>
    <n v="112"/>
    <n v="52.6"/>
    <n v="34.624999999999993"/>
    <n v="10.65"/>
    <n v="113.25"/>
    <n v="68.5"/>
    <n v="113"/>
    <x v="1"/>
    <x v="2"/>
  </r>
  <r>
    <x v="0"/>
    <n v="78.099999999999994"/>
    <n v="37.9"/>
    <n v="29.5"/>
    <n v="4.53"/>
    <n v="26.9"/>
    <n v="0.43"/>
    <n v="26.4"/>
    <n v="34.6"/>
    <n v="2.93"/>
    <n v="130.16666666666671"/>
    <n v="37.9"/>
    <n v="36.875"/>
    <n v="11.324999999999999"/>
    <n v="67.249999999999986"/>
    <n v="21.5"/>
    <n v="130"/>
    <x v="1"/>
    <x v="0"/>
  </r>
  <r>
    <x v="1"/>
    <n v="158.9"/>
    <n v="50.3"/>
    <n v="49.1"/>
    <n v="0.5"/>
    <n v="40.6"/>
    <n v="1.98"/>
    <n v="30"/>
    <n v="61.4"/>
    <n v="3.57"/>
    <n v="264.83333333333343"/>
    <n v="50.3"/>
    <n v="61.375"/>
    <n v="1.25"/>
    <n v="101.5"/>
    <n v="99"/>
    <n v="265"/>
    <x v="0"/>
    <x v="0"/>
  </r>
  <r>
    <x v="2"/>
    <n v="129.6"/>
    <n v="211.6"/>
    <n v="32.799999999999997"/>
    <n v="0.71"/>
    <n v="28.4"/>
    <n v="0.6"/>
    <n v="28.2"/>
    <n v="38.700000000000003"/>
    <n v="2.41"/>
    <n v="216"/>
    <n v="211.6"/>
    <n v="40.999999999999993"/>
    <n v="1.7749999999999999"/>
    <n v="71"/>
    <n v="30"/>
    <n v="216"/>
    <x v="0"/>
    <x v="0"/>
  </r>
  <r>
    <x v="3"/>
    <n v="85.1"/>
    <n v="114"/>
    <n v="26.1"/>
    <n v="13.87"/>
    <n v="1"/>
    <n v="1"/>
    <n v="24.7"/>
    <n v="60.3"/>
    <n v="2.72"/>
    <n v="141.83333333333329"/>
    <n v="114"/>
    <n v="32.625"/>
    <n v="34.674999999999997"/>
    <n v="2.5"/>
    <n v="50"/>
    <n v="142"/>
    <x v="1"/>
    <x v="0"/>
  </r>
  <r>
    <x v="4"/>
    <n v="86.1"/>
    <n v="129.69999999999999"/>
    <n v="41.4"/>
    <n v="6.56"/>
    <n v="27.2"/>
    <n v="1.84"/>
    <n v="20.5"/>
    <n v="75.2"/>
    <n v="3.02"/>
    <n v="143.5"/>
    <n v="129.69999999999999"/>
    <n v="51.75"/>
    <n v="16.399999999999999"/>
    <n v="68"/>
    <n v="92"/>
    <n v="144"/>
    <x v="1"/>
    <x v="0"/>
  </r>
  <r>
    <x v="0"/>
    <n v="51"/>
    <n v="180.7"/>
    <n v="35"/>
    <n v="12.87"/>
    <n v="52.1"/>
    <n v="0.97"/>
    <n v="28.7"/>
    <n v="69.8"/>
    <n v="3.89"/>
    <n v="85"/>
    <n v="180.7"/>
    <n v="43.75"/>
    <n v="32.174999999999997"/>
    <n v="130.25"/>
    <n v="48.5"/>
    <n v="181"/>
    <x v="1"/>
    <x v="3"/>
  </r>
  <r>
    <x v="1"/>
    <n v="111.2"/>
    <n v="186.8"/>
    <n v="28.1"/>
    <n v="25.3"/>
    <n v="6.1"/>
    <n v="2.21"/>
    <n v="28"/>
    <n v="38.9"/>
    <n v="2.35"/>
    <n v="185.33333333333329"/>
    <n v="186.8"/>
    <n v="35.125"/>
    <n v="63.25"/>
    <n v="15.25"/>
    <n v="110.5"/>
    <n v="187"/>
    <x v="1"/>
    <x v="3"/>
  </r>
  <r>
    <x v="2"/>
    <n v="54.8"/>
    <n v="188.4"/>
    <n v="29.2"/>
    <n v="6.36"/>
    <n v="1"/>
    <n v="2.13"/>
    <n v="17.5"/>
    <n v="65.900000000000006"/>
    <n v="2.38"/>
    <n v="91.333333333333329"/>
    <n v="188.4"/>
    <n v="36.5"/>
    <n v="15.9"/>
    <n v="2.5"/>
    <n v="106.5"/>
    <n v="188"/>
    <x v="1"/>
    <x v="3"/>
  </r>
  <r>
    <x v="3"/>
    <n v="57.1"/>
    <n v="168.6"/>
    <n v="78.400000000000006"/>
    <n v="9.26"/>
    <n v="56.4"/>
    <n v="1.4"/>
    <n v="32.1"/>
    <n v="51.7"/>
    <n v="3.79"/>
    <n v="95.166666666666657"/>
    <n v="168.6"/>
    <n v="98"/>
    <n v="23.15"/>
    <n v="141"/>
    <n v="69.999999999999986"/>
    <n v="169"/>
    <x v="1"/>
    <x v="3"/>
  </r>
  <r>
    <x v="4"/>
    <n v="102.6"/>
    <n v="203.4"/>
    <n v="35"/>
    <n v="7.87"/>
    <n v="50.6"/>
    <n v="0.42"/>
    <n v="36.200000000000003"/>
    <n v="59.8"/>
    <n v="3.34"/>
    <n v="171"/>
    <n v="203.4"/>
    <n v="43.75"/>
    <n v="19.675000000000001"/>
    <n v="126.5"/>
    <n v="21"/>
    <n v="203"/>
    <x v="0"/>
    <x v="3"/>
  </r>
  <r>
    <x v="0"/>
    <n v="49.1"/>
    <n v="46.4"/>
    <n v="37.9"/>
    <n v="10.46"/>
    <n v="65.400000000000006"/>
    <n v="1.49"/>
    <n v="27.4"/>
    <n v="53.9"/>
    <n v="3.1"/>
    <n v="81.833333333333343"/>
    <n v="46.4"/>
    <n v="47.375"/>
    <n v="26.15"/>
    <n v="163.5"/>
    <n v="74.5"/>
    <n v="164"/>
    <x v="1"/>
    <x v="2"/>
  </r>
  <r>
    <x v="1"/>
    <n v="130.6"/>
    <n v="202.9"/>
    <n v="76.5"/>
    <n v="11.84"/>
    <n v="3"/>
    <n v="0.72"/>
    <n v="28.2"/>
    <n v="59.8"/>
    <n v="3.03"/>
    <n v="217.66666666666671"/>
    <n v="202.9"/>
    <n v="95.625"/>
    <n v="29.6"/>
    <n v="7.5"/>
    <n v="36"/>
    <n v="218"/>
    <x v="0"/>
    <x v="0"/>
  </r>
  <r>
    <x v="2"/>
    <n v="104.8"/>
    <n v="155.4"/>
    <n v="66.7"/>
    <n v="8.0500000000000007"/>
    <n v="18.8"/>
    <n v="1.1100000000000001"/>
    <n v="19.399999999999999"/>
    <n v="88"/>
    <n v="3.45"/>
    <n v="174.66666666666671"/>
    <n v="155.4"/>
    <n v="83.375"/>
    <n v="20.125"/>
    <n v="47"/>
    <n v="55.500000000000007"/>
    <n v="175"/>
    <x v="1"/>
    <x v="0"/>
  </r>
  <r>
    <x v="3"/>
    <n v="75.599999999999994"/>
    <n v="194.2"/>
    <n v="4.5999999999999996"/>
    <n v="10.94"/>
    <n v="7.2"/>
    <n v="1.2"/>
    <n v="22.8"/>
    <n v="71.900000000000006"/>
    <n v="2.77"/>
    <n v="126"/>
    <n v="194.2"/>
    <n v="5.75"/>
    <n v="27.35"/>
    <n v="18"/>
    <n v="60"/>
    <n v="194"/>
    <x v="1"/>
    <x v="3"/>
  </r>
  <r>
    <x v="4"/>
    <n v="110.4"/>
    <n v="92.3"/>
    <n v="65.099999999999994"/>
    <n v="9.69"/>
    <n v="1"/>
    <n v="0.71"/>
    <n v="24"/>
    <n v="80"/>
    <n v="3.56"/>
    <n v="184"/>
    <n v="92.3"/>
    <n v="81.374999999999986"/>
    <n v="24.225000000000001"/>
    <n v="2.5"/>
    <n v="35.5"/>
    <n v="184"/>
    <x v="1"/>
    <x v="0"/>
  </r>
  <r>
    <x v="0"/>
    <n v="28.7"/>
    <n v="128.30000000000001"/>
    <n v="98.2"/>
    <n v="9.84"/>
    <n v="36.6"/>
    <n v="1.72"/>
    <n v="30.3"/>
    <n v="51.8"/>
    <n v="3.1"/>
    <n v="47.833333333333329"/>
    <n v="128.30000000000001"/>
    <n v="122.75"/>
    <n v="24.6"/>
    <n v="91.5"/>
    <n v="86"/>
    <n v="128"/>
    <x v="1"/>
    <x v="3"/>
  </r>
  <r>
    <x v="1"/>
    <n v="62.7"/>
    <n v="203.9"/>
    <n v="60.5"/>
    <n v="13.01"/>
    <n v="26.3"/>
    <n v="0.88"/>
    <n v="31.6"/>
    <n v="58.6"/>
    <n v="2.84"/>
    <n v="104.5"/>
    <n v="203.9"/>
    <n v="75.625"/>
    <n v="32.524999999999999"/>
    <n v="65.75"/>
    <n v="44"/>
    <n v="204"/>
    <x v="0"/>
    <x v="3"/>
  </r>
  <r>
    <x v="2"/>
    <n v="48.3"/>
    <n v="165.2"/>
    <n v="31.2"/>
    <n v="6.96"/>
    <n v="56.7"/>
    <n v="1.81"/>
    <n v="21.3"/>
    <n v="95.3"/>
    <n v="2.88"/>
    <n v="80.5"/>
    <n v="165.2"/>
    <n v="39"/>
    <n v="17.399999999999999"/>
    <n v="141.75"/>
    <n v="90.5"/>
    <n v="165"/>
    <x v="1"/>
    <x v="3"/>
  </r>
  <r>
    <x v="3"/>
    <n v="28.7"/>
    <n v="142.1"/>
    <n v="37.299999999999997"/>
    <n v="10.17"/>
    <n v="38.9"/>
    <n v="1.24"/>
    <n v="18.600000000000001"/>
    <n v="77.8"/>
    <n v="1.1100000000000001"/>
    <n v="47.833333333333329"/>
    <n v="142.1"/>
    <n v="46.625"/>
    <n v="25.425000000000001"/>
    <n v="97.25"/>
    <n v="62"/>
    <n v="142"/>
    <x v="1"/>
    <x v="3"/>
  </r>
  <r>
    <x v="4"/>
    <n v="29.4"/>
    <n v="156.19999999999999"/>
    <n v="84.8"/>
    <n v="6.86"/>
    <n v="63.3"/>
    <n v="2.0299999999999998"/>
    <n v="30.7"/>
    <n v="54.4"/>
    <n v="1.69"/>
    <n v="48.999999999999993"/>
    <n v="156.19999999999999"/>
    <n v="106"/>
    <n v="17.149999999999999"/>
    <n v="158.25"/>
    <n v="101.5"/>
    <n v="158"/>
    <x v="1"/>
    <x v="2"/>
  </r>
  <r>
    <x v="0"/>
    <n v="2"/>
    <n v="119.9"/>
    <n v="78.8"/>
    <n v="2.74"/>
    <n v="66.099999999999994"/>
    <n v="0.72"/>
    <n v="25.7"/>
    <n v="72.7"/>
    <n v="1.71"/>
    <n v="3.333333333333333"/>
    <n v="119.9"/>
    <n v="98.499999999999986"/>
    <n v="6.8500000000000014"/>
    <n v="165.25"/>
    <n v="36"/>
    <n v="165"/>
    <x v="1"/>
    <x v="2"/>
  </r>
  <r>
    <x v="1"/>
    <n v="81.400000000000006"/>
    <n v="118.9"/>
    <n v="73.900000000000006"/>
    <n v="11.47"/>
    <n v="51.8"/>
    <n v="2.67"/>
    <n v="29.6"/>
    <n v="47.6"/>
    <n v="2.4"/>
    <n v="135.66666666666671"/>
    <n v="118.9"/>
    <n v="92.375000000000014"/>
    <n v="28.675000000000001"/>
    <n v="129.5"/>
    <n v="133.5"/>
    <n v="136"/>
    <x v="1"/>
    <x v="0"/>
  </r>
  <r>
    <x v="2"/>
    <n v="54.8"/>
    <n v="118.6"/>
    <n v="90.7"/>
    <n v="9.36"/>
    <n v="1"/>
    <n v="0.83"/>
    <n v="11.5"/>
    <n v="54.1"/>
    <n v="0.2"/>
    <n v="91.333333333333329"/>
    <n v="118.6"/>
    <n v="113.375"/>
    <n v="23.4"/>
    <n v="2.5"/>
    <n v="41.499999999999993"/>
    <n v="119"/>
    <x v="1"/>
    <x v="3"/>
  </r>
  <r>
    <x v="3"/>
    <n v="33.9"/>
    <n v="28.8"/>
    <n v="52.7"/>
    <n v="8"/>
    <n v="47.6"/>
    <n v="1.1399999999999999"/>
    <n v="15.2"/>
    <n v="69.2"/>
    <n v="4.8099999999999996"/>
    <n v="56.499999999999993"/>
    <n v="28.8"/>
    <n v="65.875"/>
    <n v="20"/>
    <n v="119"/>
    <n v="56.999999999999993"/>
    <n v="119"/>
    <x v="1"/>
    <x v="2"/>
  </r>
  <r>
    <x v="4"/>
    <n v="79.5"/>
    <n v="103.9"/>
    <n v="18.100000000000001"/>
    <n v="3.81"/>
    <n v="56.5"/>
    <n v="2.0299999999999998"/>
    <n v="26.8"/>
    <n v="74.400000000000006"/>
    <n v="3.85"/>
    <n v="132.5"/>
    <n v="103.9"/>
    <n v="22.625"/>
    <n v="9.5250000000000004"/>
    <n v="141.25"/>
    <n v="101.5"/>
    <n v="141"/>
    <x v="1"/>
    <x v="2"/>
  </r>
  <r>
    <x v="0"/>
    <n v="86.5"/>
    <n v="92.6"/>
    <n v="55.8"/>
    <n v="4.32"/>
    <n v="46.5"/>
    <n v="1.61"/>
    <n v="36.799999999999997"/>
    <n v="36.4"/>
    <n v="3.08"/>
    <n v="144.16666666666671"/>
    <n v="92.6"/>
    <n v="69.749999999999986"/>
    <n v="10.8"/>
    <n v="116.25"/>
    <n v="80.5"/>
    <n v="144"/>
    <x v="1"/>
    <x v="0"/>
  </r>
  <r>
    <x v="1"/>
    <n v="130.5"/>
    <n v="206.9"/>
    <n v="77.099999999999994"/>
    <n v="13.67"/>
    <n v="90.6"/>
    <n v="0.68"/>
    <n v="15.3"/>
    <n v="59.9"/>
    <n v="0.2"/>
    <n v="217.5"/>
    <n v="206.9"/>
    <n v="96.374999999999986"/>
    <n v="34.174999999999997"/>
    <n v="226.5"/>
    <n v="34"/>
    <n v="226"/>
    <x v="0"/>
    <x v="2"/>
  </r>
  <r>
    <x v="2"/>
    <n v="92.1"/>
    <n v="183.6"/>
    <n v="34.5"/>
    <n v="5.84"/>
    <n v="36.299999999999997"/>
    <n v="1.17"/>
    <n v="25.9"/>
    <n v="70"/>
    <n v="2.29"/>
    <n v="153.5"/>
    <n v="183.6"/>
    <n v="43.125"/>
    <n v="14.6"/>
    <n v="90.75"/>
    <n v="58.5"/>
    <n v="184"/>
    <x v="1"/>
    <x v="3"/>
  </r>
  <r>
    <x v="3"/>
    <n v="88.3"/>
    <n v="146.80000000000001"/>
    <n v="32.9"/>
    <n v="14.68"/>
    <n v="6"/>
    <n v="1.1399999999999999"/>
    <n v="31.8"/>
    <n v="47"/>
    <n v="2.87"/>
    <n v="147.16666666666671"/>
    <n v="146.80000000000001"/>
    <n v="41.124999999999993"/>
    <n v="36.700000000000003"/>
    <n v="15"/>
    <n v="56.999999999999993"/>
    <n v="147"/>
    <x v="1"/>
    <x v="0"/>
  </r>
  <r>
    <x v="4"/>
    <n v="83.9"/>
    <n v="75.2"/>
    <n v="47.9"/>
    <n v="7.94"/>
    <n v="28.8"/>
    <n v="2.84"/>
    <n v="19.7"/>
    <n v="78.099999999999994"/>
    <n v="2.5299999999999998"/>
    <n v="139.83333333333329"/>
    <n v="75.2"/>
    <n v="59.875"/>
    <n v="19.850000000000001"/>
    <n v="72.000000000000014"/>
    <n v="142"/>
    <n v="142"/>
    <x v="1"/>
    <x v="4"/>
  </r>
  <r>
    <x v="0"/>
    <n v="31.5"/>
    <n v="145.1"/>
    <n v="66.7"/>
    <n v="14.49"/>
    <n v="90.9"/>
    <n v="3.41"/>
    <n v="26.8"/>
    <n v="48.1"/>
    <n v="3.04"/>
    <n v="52.5"/>
    <n v="145.1"/>
    <n v="83.375"/>
    <n v="36.225000000000001"/>
    <n v="227.25"/>
    <n v="170.5"/>
    <n v="227"/>
    <x v="0"/>
    <x v="2"/>
  </r>
  <r>
    <x v="1"/>
    <n v="65"/>
    <n v="219.4"/>
    <n v="23.8"/>
    <n v="24.8"/>
    <n v="76.8"/>
    <n v="0.24"/>
    <n v="20"/>
    <n v="74.7"/>
    <n v="3.91"/>
    <n v="108.3333333333333"/>
    <n v="219.4"/>
    <n v="29.75"/>
    <n v="62"/>
    <n v="192"/>
    <n v="12"/>
    <n v="219"/>
    <x v="0"/>
    <x v="3"/>
  </r>
  <r>
    <x v="2"/>
    <n v="20.7"/>
    <n v="154.6"/>
    <n v="5.8"/>
    <n v="7.18"/>
    <n v="64.400000000000006"/>
    <n v="0.83"/>
    <n v="14.5"/>
    <n v="62.6"/>
    <n v="1.77"/>
    <n v="34.499999999999993"/>
    <n v="154.6"/>
    <n v="7.2499999999999991"/>
    <n v="17.95"/>
    <n v="161"/>
    <n v="41.499999999999993"/>
    <n v="161"/>
    <x v="1"/>
    <x v="2"/>
  </r>
  <r>
    <x v="3"/>
    <n v="78.900000000000006"/>
    <n v="66.900000000000006"/>
    <n v="29.5"/>
    <n v="0.5"/>
    <n v="44.2"/>
    <n v="1.1000000000000001"/>
    <n v="16.7"/>
    <n v="63.5"/>
    <n v="3.73"/>
    <n v="131.5"/>
    <n v="66.900000000000006"/>
    <n v="36.875"/>
    <n v="1.25"/>
    <n v="110.5"/>
    <n v="55.000000000000007"/>
    <n v="132"/>
    <x v="1"/>
    <x v="0"/>
  </r>
  <r>
    <x v="4"/>
    <n v="58.9"/>
    <n v="149.69999999999999"/>
    <n v="55.5"/>
    <n v="2.1800000000000002"/>
    <n v="100.6"/>
    <n v="1.01"/>
    <n v="29.6"/>
    <n v="73.8"/>
    <n v="2.83"/>
    <n v="98.166666666666671"/>
    <n v="149.69999999999999"/>
    <n v="69.375"/>
    <n v="5.45"/>
    <n v="251.5"/>
    <n v="50.5"/>
    <n v="252"/>
    <x v="0"/>
    <x v="2"/>
  </r>
  <r>
    <x v="0"/>
    <n v="89.9"/>
    <n v="155"/>
    <n v="19.100000000000001"/>
    <n v="7.29"/>
    <n v="28.4"/>
    <n v="1.06"/>
    <n v="15.9"/>
    <n v="80.3"/>
    <n v="4.42"/>
    <n v="149.83333333333329"/>
    <n v="155"/>
    <n v="23.875"/>
    <n v="18.225000000000001"/>
    <n v="71"/>
    <n v="53.000000000000007"/>
    <n v="155"/>
    <x v="1"/>
    <x v="3"/>
  </r>
  <r>
    <x v="1"/>
    <n v="111.7"/>
    <n v="245.3"/>
    <n v="47.6"/>
    <n v="6.02"/>
    <n v="25.7"/>
    <n v="1.98"/>
    <n v="26.6"/>
    <n v="58.6"/>
    <n v="4.05"/>
    <n v="186.16666666666671"/>
    <n v="245.3"/>
    <n v="59.500000000000007"/>
    <n v="15.05"/>
    <n v="64.25"/>
    <n v="99"/>
    <n v="245"/>
    <x v="0"/>
    <x v="3"/>
  </r>
  <r>
    <x v="2"/>
    <n v="68.5"/>
    <n v="66.2"/>
    <n v="29.8"/>
    <n v="10.84"/>
    <n v="62.7"/>
    <n v="1.45"/>
    <n v="38.299999999999997"/>
    <n v="89.4"/>
    <n v="3.03"/>
    <n v="114.1666666666667"/>
    <n v="66.2"/>
    <n v="37.25"/>
    <n v="27.1"/>
    <n v="156.75"/>
    <n v="72.5"/>
    <n v="157"/>
    <x v="1"/>
    <x v="2"/>
  </r>
  <r>
    <x v="3"/>
    <n v="34.799999999999997"/>
    <n v="41.4"/>
    <n v="37.299999999999997"/>
    <n v="11.77"/>
    <n v="85.7"/>
    <n v="1.45"/>
    <n v="33.200000000000003"/>
    <n v="55.6"/>
    <n v="3.25"/>
    <n v="57.999999999999993"/>
    <n v="41.4"/>
    <n v="46.625"/>
    <n v="29.425000000000001"/>
    <n v="214.25"/>
    <n v="72.5"/>
    <n v="214"/>
    <x v="0"/>
    <x v="2"/>
  </r>
  <r>
    <x v="4"/>
    <n v="93.2"/>
    <n v="5"/>
    <n v="40.4"/>
    <n v="14.02"/>
    <n v="51.5"/>
    <n v="0.53"/>
    <n v="8"/>
    <n v="53.4"/>
    <n v="2.91"/>
    <n v="155.33333333333329"/>
    <n v="5"/>
    <n v="50.499999999999993"/>
    <n v="35.049999999999997"/>
    <n v="128.75"/>
    <n v="26.5"/>
    <n v="155"/>
    <x v="1"/>
    <x v="0"/>
  </r>
  <r>
    <x v="0"/>
    <n v="38.5"/>
    <n v="147.9"/>
    <n v="63.4"/>
    <n v="13.06"/>
    <n v="1"/>
    <n v="0.47"/>
    <n v="22.9"/>
    <n v="70.3"/>
    <n v="3.09"/>
    <n v="64.166666666666657"/>
    <n v="147.9"/>
    <n v="79.25"/>
    <n v="32.65"/>
    <n v="2.5"/>
    <n v="23.5"/>
    <n v="148"/>
    <x v="1"/>
    <x v="3"/>
  </r>
  <r>
    <x v="1"/>
    <n v="92.7"/>
    <n v="121.2"/>
    <n v="48.1"/>
    <n v="5.45"/>
    <n v="74"/>
    <n v="0.81"/>
    <n v="31"/>
    <n v="63.7"/>
    <n v="2.4500000000000002"/>
    <n v="154.5"/>
    <n v="121.2"/>
    <n v="60.125000000000007"/>
    <n v="13.625"/>
    <n v="185"/>
    <n v="40.5"/>
    <n v="185"/>
    <x v="1"/>
    <x v="2"/>
  </r>
  <r>
    <x v="2"/>
    <n v="38.299999999999997"/>
    <n v="36.700000000000003"/>
    <n v="30.4"/>
    <n v="6.03"/>
    <n v="1"/>
    <n v="1.03"/>
    <n v="31.5"/>
    <n v="70.2"/>
    <n v="1.9"/>
    <n v="63.833333333333329"/>
    <n v="36.700000000000003"/>
    <n v="38"/>
    <n v="15.074999999999999"/>
    <n v="2.5"/>
    <n v="51.500000000000007"/>
    <n v="64"/>
    <x v="3"/>
    <x v="0"/>
  </r>
  <r>
    <x v="3"/>
    <n v="61.4"/>
    <n v="86.6"/>
    <n v="48"/>
    <n v="15.7"/>
    <n v="64.2"/>
    <n v="1.51"/>
    <n v="21.5"/>
    <n v="73.5"/>
    <n v="0.48"/>
    <n v="102.3333333333333"/>
    <n v="86.6"/>
    <n v="60"/>
    <n v="39.25"/>
    <n v="160.5"/>
    <n v="75.5"/>
    <n v="160"/>
    <x v="1"/>
    <x v="2"/>
  </r>
  <r>
    <x v="4"/>
    <n v="57.7"/>
    <n v="170.5"/>
    <n v="65.8"/>
    <n v="12.48"/>
    <n v="52.1"/>
    <n v="1.19"/>
    <n v="28.8"/>
    <n v="42.8"/>
    <n v="1.99"/>
    <n v="96.166666666666671"/>
    <n v="170.5"/>
    <n v="82.249999999999986"/>
    <n v="31.2"/>
    <n v="130.25"/>
    <n v="59.5"/>
    <n v="170"/>
    <x v="1"/>
    <x v="3"/>
  </r>
  <r>
    <x v="0"/>
    <n v="71.099999999999994"/>
    <n v="150"/>
    <n v="9.8000000000000007"/>
    <n v="11.82"/>
    <n v="68.2"/>
    <n v="1.33"/>
    <n v="41.6"/>
    <n v="47.7"/>
    <n v="2.0699999999999998"/>
    <n v="118.5"/>
    <n v="150"/>
    <n v="12.25"/>
    <n v="29.55"/>
    <n v="170.5"/>
    <n v="66.5"/>
    <n v="170"/>
    <x v="1"/>
    <x v="2"/>
  </r>
  <r>
    <x v="1"/>
    <n v="60.2"/>
    <n v="144.30000000000001"/>
    <n v="48"/>
    <n v="1.21"/>
    <n v="32.9"/>
    <n v="1.43"/>
    <n v="33.6"/>
    <n v="99.6"/>
    <n v="4.0999999999999996"/>
    <n v="100.3333333333333"/>
    <n v="144.30000000000001"/>
    <n v="60"/>
    <n v="3.0249999999999999"/>
    <n v="82.249999999999986"/>
    <n v="71.5"/>
    <n v="144"/>
    <x v="1"/>
    <x v="3"/>
  </r>
  <r>
    <x v="2"/>
    <n v="34.9"/>
    <n v="74.3"/>
    <n v="39.700000000000003"/>
    <n v="16.079999999999998"/>
    <n v="34.1"/>
    <n v="0.38"/>
    <n v="21.5"/>
    <n v="73.599999999999994"/>
    <n v="3.33"/>
    <n v="58.166666666666657"/>
    <n v="74.3"/>
    <n v="49.625"/>
    <n v="40.200000000000003"/>
    <n v="85.25"/>
    <n v="19"/>
    <n v="85"/>
    <x v="3"/>
    <x v="2"/>
  </r>
  <r>
    <x v="3"/>
    <n v="54"/>
    <n v="161"/>
    <n v="2"/>
    <n v="8.52"/>
    <n v="61.5"/>
    <n v="0.7"/>
    <n v="19.100000000000001"/>
    <n v="26.4"/>
    <n v="4.41"/>
    <n v="90"/>
    <n v="161"/>
    <n v="2.5"/>
    <n v="21.3"/>
    <n v="153.75"/>
    <n v="34.999999999999993"/>
    <n v="161"/>
    <x v="1"/>
    <x v="3"/>
  </r>
  <r>
    <x v="4"/>
    <n v="42.2"/>
    <n v="147.9"/>
    <n v="62.8"/>
    <n v="17.12"/>
    <n v="39.799999999999997"/>
    <n v="0.96"/>
    <n v="26.2"/>
    <n v="83.1"/>
    <n v="2.8"/>
    <n v="70.333333333333343"/>
    <n v="147.9"/>
    <n v="78.5"/>
    <n v="42.8"/>
    <n v="99.499999999999986"/>
    <n v="48"/>
    <n v="148"/>
    <x v="1"/>
    <x v="3"/>
  </r>
  <r>
    <x v="0"/>
    <n v="36.1"/>
    <n v="31.7"/>
    <n v="23.7"/>
    <n v="14.17"/>
    <n v="36.799999999999997"/>
    <n v="0.96"/>
    <n v="20"/>
    <n v="61.5"/>
    <n v="2.21"/>
    <n v="60.166666666666657"/>
    <n v="31.7"/>
    <n v="29.625"/>
    <n v="35.424999999999997"/>
    <n v="92"/>
    <n v="48"/>
    <n v="92"/>
    <x v="3"/>
    <x v="2"/>
  </r>
  <r>
    <x v="1"/>
    <n v="64.8"/>
    <n v="251.2"/>
    <n v="94.7"/>
    <n v="0.5"/>
    <n v="60.2"/>
    <n v="0.92"/>
    <n v="23.3"/>
    <n v="65.599999999999994"/>
    <n v="2.2400000000000002"/>
    <n v="108"/>
    <n v="251.2"/>
    <n v="118.375"/>
    <n v="1.25"/>
    <n v="150.5"/>
    <n v="46"/>
    <n v="251"/>
    <x v="0"/>
    <x v="3"/>
  </r>
  <r>
    <x v="2"/>
    <n v="63.6"/>
    <n v="152.4"/>
    <n v="48.3"/>
    <n v="4.53"/>
    <n v="23.1"/>
    <n v="0.32"/>
    <n v="19"/>
    <n v="95.3"/>
    <n v="1.55"/>
    <n v="106"/>
    <n v="152.4"/>
    <n v="60.375"/>
    <n v="11.324999999999999"/>
    <n v="57.75"/>
    <n v="16"/>
    <n v="152"/>
    <x v="1"/>
    <x v="3"/>
  </r>
  <r>
    <x v="3"/>
    <n v="24.2"/>
    <n v="139.19999999999999"/>
    <n v="42.8"/>
    <n v="7.02"/>
    <n v="75.2"/>
    <n v="1.53"/>
    <n v="21.3"/>
    <n v="52.4"/>
    <n v="1.9"/>
    <n v="40.333333333333329"/>
    <n v="139.19999999999999"/>
    <n v="53.5"/>
    <n v="17.55"/>
    <n v="188"/>
    <n v="76.5"/>
    <n v="188"/>
    <x v="1"/>
    <x v="2"/>
  </r>
  <r>
    <x v="4"/>
    <n v="94.9"/>
    <n v="111.7"/>
    <n v="10.1"/>
    <n v="8.5299999999999994"/>
    <n v="1.7"/>
    <n v="2.76"/>
    <n v="18.2"/>
    <n v="57.1"/>
    <n v="3.31"/>
    <n v="158.16666666666671"/>
    <n v="111.7"/>
    <n v="12.625"/>
    <n v="21.324999999999999"/>
    <n v="4.25"/>
    <n v="138"/>
    <n v="158"/>
    <x v="1"/>
    <x v="0"/>
  </r>
  <r>
    <x v="0"/>
    <n v="59"/>
    <n v="118"/>
    <n v="61.5"/>
    <n v="17.98"/>
    <n v="68.099999999999994"/>
    <n v="2.4"/>
    <n v="17.7"/>
    <n v="65.7"/>
    <n v="2.69"/>
    <n v="98.333333333333329"/>
    <n v="118"/>
    <n v="76.875"/>
    <n v="44.95"/>
    <n v="170.25"/>
    <n v="120"/>
    <n v="170"/>
    <x v="1"/>
    <x v="2"/>
  </r>
  <r>
    <x v="1"/>
    <n v="88.2"/>
    <n v="253.2"/>
    <n v="50.7"/>
    <n v="7.47"/>
    <n v="66.7"/>
    <n v="0.17"/>
    <n v="23.3"/>
    <n v="57.6"/>
    <n v="1.4"/>
    <n v="147"/>
    <n v="253.2"/>
    <n v="63.375"/>
    <n v="18.675000000000001"/>
    <n v="166.75"/>
    <n v="8.5"/>
    <n v="253"/>
    <x v="0"/>
    <x v="3"/>
  </r>
  <r>
    <x v="2"/>
    <n v="87.1"/>
    <n v="53.5"/>
    <n v="40.200000000000003"/>
    <n v="8.99"/>
    <n v="70.099999999999994"/>
    <n v="1.1299999999999999"/>
    <n v="31.6"/>
    <n v="72.599999999999994"/>
    <n v="2.65"/>
    <n v="145.16666666666671"/>
    <n v="53.5"/>
    <n v="50.25"/>
    <n v="22.475000000000001"/>
    <n v="175.25"/>
    <n v="56.499999999999993"/>
    <n v="175"/>
    <x v="1"/>
    <x v="2"/>
  </r>
  <r>
    <x v="3"/>
    <n v="27.3"/>
    <n v="33.9"/>
    <n v="47.1"/>
    <n v="5.29"/>
    <n v="63"/>
    <n v="1.65"/>
    <n v="23.7"/>
    <n v="39.200000000000003"/>
    <n v="3.11"/>
    <n v="45.5"/>
    <n v="33.9"/>
    <n v="58.875000000000007"/>
    <n v="13.225"/>
    <n v="157.5"/>
    <n v="82.499999999999986"/>
    <n v="158"/>
    <x v="1"/>
    <x v="2"/>
  </r>
  <r>
    <x v="4"/>
    <n v="32.4"/>
    <n v="81.900000000000006"/>
    <n v="28"/>
    <n v="8.0399999999999991"/>
    <n v="76.2"/>
    <n v="1.32"/>
    <n v="21.9"/>
    <n v="32.5"/>
    <n v="3.66"/>
    <n v="54"/>
    <n v="81.900000000000006"/>
    <n v="35"/>
    <n v="20.100000000000001"/>
    <n v="190.5"/>
    <n v="66"/>
    <n v="190"/>
    <x v="1"/>
    <x v="2"/>
  </r>
  <r>
    <x v="0"/>
    <n v="42.1"/>
    <n v="146.1"/>
    <n v="43.6"/>
    <n v="14.02"/>
    <n v="41.5"/>
    <n v="1.34"/>
    <n v="28.4"/>
    <n v="97.9"/>
    <n v="3.57"/>
    <n v="70.166666666666671"/>
    <n v="146.1"/>
    <n v="54.5"/>
    <n v="35.049999999999997"/>
    <n v="103.75"/>
    <n v="67"/>
    <n v="146"/>
    <x v="1"/>
    <x v="3"/>
  </r>
  <r>
    <x v="1"/>
    <n v="71.7"/>
    <n v="150.19999999999999"/>
    <n v="43.1"/>
    <n v="4.0599999999999996"/>
    <n v="32.700000000000003"/>
    <n v="0.92"/>
    <n v="29.6"/>
    <n v="40.700000000000003"/>
    <n v="4.0999999999999996"/>
    <n v="119.5"/>
    <n v="150.19999999999999"/>
    <n v="53.875"/>
    <n v="10.15"/>
    <n v="81.75"/>
    <n v="46"/>
    <n v="150"/>
    <x v="1"/>
    <x v="3"/>
  </r>
  <r>
    <x v="2"/>
    <n v="78.400000000000006"/>
    <n v="115.2"/>
    <n v="42.8"/>
    <n v="4.95"/>
    <n v="44.4"/>
    <n v="1.76"/>
    <n v="20.100000000000001"/>
    <n v="32.4"/>
    <n v="3.34"/>
    <n v="130.66666666666671"/>
    <n v="115.2"/>
    <n v="53.5"/>
    <n v="12.375"/>
    <n v="111"/>
    <n v="88"/>
    <n v="131"/>
    <x v="1"/>
    <x v="0"/>
  </r>
  <r>
    <x v="3"/>
    <n v="69.7"/>
    <n v="52.8"/>
    <n v="30.3"/>
    <n v="3.7"/>
    <n v="21.9"/>
    <n v="1.01"/>
    <n v="23.1"/>
    <n v="48.3"/>
    <n v="1.59"/>
    <n v="116.1666666666667"/>
    <n v="52.8"/>
    <n v="37.875"/>
    <n v="9.2500000000000018"/>
    <n v="54.749999999999993"/>
    <n v="50.5"/>
    <n v="116"/>
    <x v="1"/>
    <x v="0"/>
  </r>
  <r>
    <x v="4"/>
    <n v="58.5"/>
    <n v="143.1"/>
    <n v="42.5"/>
    <n v="15.17"/>
    <n v="58"/>
    <n v="0.27"/>
    <n v="28.7"/>
    <n v="70.900000000000006"/>
    <n v="2.48"/>
    <n v="97.5"/>
    <n v="143.1"/>
    <n v="53.125"/>
    <n v="37.924999999999997"/>
    <n v="145"/>
    <n v="13.5"/>
    <n v="145"/>
    <x v="1"/>
    <x v="2"/>
  </r>
  <r>
    <x v="0"/>
    <n v="17.399999999999999"/>
    <n v="138.6"/>
    <n v="51.6"/>
    <n v="2.75"/>
    <n v="4.3"/>
    <n v="1.32"/>
    <n v="23.4"/>
    <n v="52.5"/>
    <n v="2.4"/>
    <n v="29"/>
    <n v="138.6"/>
    <n v="64.5"/>
    <n v="6.875"/>
    <n v="10.75"/>
    <n v="66"/>
    <n v="139"/>
    <x v="1"/>
    <x v="3"/>
  </r>
  <r>
    <x v="1"/>
    <n v="33.6"/>
    <n v="117.4"/>
    <n v="69.599999999999994"/>
    <n v="7.81"/>
    <n v="1"/>
    <n v="1.1499999999999999"/>
    <n v="17.5"/>
    <n v="64.8"/>
    <n v="2.88"/>
    <n v="56"/>
    <n v="117.4"/>
    <n v="87"/>
    <n v="19.524999999999999"/>
    <n v="2.5"/>
    <n v="57.499999999999993"/>
    <n v="117"/>
    <x v="1"/>
    <x v="3"/>
  </r>
  <r>
    <x v="2"/>
    <n v="9.6999999999999993"/>
    <n v="157.30000000000001"/>
    <n v="21.6"/>
    <n v="15.01"/>
    <n v="36.799999999999997"/>
    <n v="0.43"/>
    <n v="17"/>
    <n v="66.3"/>
    <n v="2.0299999999999998"/>
    <n v="16.166666666666661"/>
    <n v="157.30000000000001"/>
    <n v="27"/>
    <n v="37.525000000000013"/>
    <n v="92"/>
    <n v="21.5"/>
    <n v="157"/>
    <x v="1"/>
    <x v="3"/>
  </r>
  <r>
    <x v="3"/>
    <n v="57.1"/>
    <n v="216.8"/>
    <n v="31"/>
    <n v="8.3000000000000007"/>
    <n v="75.5"/>
    <n v="1.36"/>
    <n v="13.8"/>
    <n v="69.099999999999994"/>
    <n v="1.1000000000000001"/>
    <n v="95.166666666666657"/>
    <n v="216.8"/>
    <n v="38.75"/>
    <n v="20.75"/>
    <n v="188.75"/>
    <n v="68"/>
    <n v="217"/>
    <x v="0"/>
    <x v="3"/>
  </r>
  <r>
    <x v="4"/>
    <n v="112.4"/>
    <n v="77.7"/>
    <n v="114.8"/>
    <n v="16.87"/>
    <n v="22.1"/>
    <n v="1.33"/>
    <n v="30.3"/>
    <n v="74.099999999999994"/>
    <n v="3.53"/>
    <n v="187.33333333333329"/>
    <n v="77.7"/>
    <n v="143.5"/>
    <n v="42.174999999999997"/>
    <n v="55.25"/>
    <n v="66.5"/>
    <n v="187"/>
    <x v="1"/>
    <x v="0"/>
  </r>
  <r>
    <x v="0"/>
    <n v="112.2"/>
    <n v="129.5"/>
    <n v="43.3"/>
    <n v="7.21"/>
    <n v="70.7"/>
    <n v="1.63"/>
    <n v="27"/>
    <n v="74.3"/>
    <n v="0.2"/>
    <n v="187"/>
    <n v="129.5"/>
    <n v="54.125"/>
    <n v="18.024999999999999"/>
    <n v="176.75"/>
    <n v="81.499999999999986"/>
    <n v="187"/>
    <x v="1"/>
    <x v="0"/>
  </r>
  <r>
    <x v="1"/>
    <n v="86.6"/>
    <n v="166.4"/>
    <n v="98"/>
    <n v="0.5"/>
    <n v="98.7"/>
    <n v="1.56"/>
    <n v="28.4"/>
    <n v="90.2"/>
    <n v="3.17"/>
    <n v="144.33333333333329"/>
    <n v="166.4"/>
    <n v="122.5"/>
    <n v="1.25"/>
    <n v="246.75"/>
    <n v="78"/>
    <n v="247"/>
    <x v="0"/>
    <x v="2"/>
  </r>
  <r>
    <x v="2"/>
    <n v="68.400000000000006"/>
    <n v="127.8"/>
    <n v="33.6"/>
    <n v="7.46"/>
    <n v="21"/>
    <n v="1.1100000000000001"/>
    <n v="8.6"/>
    <n v="67.7"/>
    <n v="2.35"/>
    <n v="114"/>
    <n v="127.8"/>
    <n v="42"/>
    <n v="18.649999999999999"/>
    <n v="52.5"/>
    <n v="55.500000000000007"/>
    <n v="128"/>
    <x v="1"/>
    <x v="3"/>
  </r>
  <r>
    <x v="3"/>
    <n v="49.9"/>
    <n v="133.19999999999999"/>
    <n v="16.3"/>
    <n v="17.649999999999999"/>
    <n v="37.4"/>
    <n v="1.1100000000000001"/>
    <n v="18.2"/>
    <n v="60.4"/>
    <n v="4.16"/>
    <n v="83.166666666666671"/>
    <n v="133.19999999999999"/>
    <n v="20.375"/>
    <n v="44.125"/>
    <n v="93.5"/>
    <n v="55.500000000000007"/>
    <n v="133"/>
    <x v="1"/>
    <x v="3"/>
  </r>
  <r>
    <x v="4"/>
    <n v="100.2"/>
    <n v="188.4"/>
    <n v="61.5"/>
    <n v="6.83"/>
    <n v="4.0999999999999996"/>
    <n v="1.19"/>
    <n v="23.3"/>
    <n v="78.900000000000006"/>
    <n v="3.37"/>
    <n v="167"/>
    <n v="188.4"/>
    <n v="76.875"/>
    <n v="17.074999999999999"/>
    <n v="10.25"/>
    <n v="59.5"/>
    <n v="188"/>
    <x v="1"/>
    <x v="3"/>
  </r>
  <r>
    <x v="0"/>
    <n v="124.6"/>
    <n v="220.6"/>
    <n v="41.3"/>
    <n v="0.5"/>
    <n v="85.8"/>
    <n v="2.3199999999999998"/>
    <n v="15.4"/>
    <n v="87.2"/>
    <n v="2.96"/>
    <n v="207.66666666666671"/>
    <n v="220.6"/>
    <n v="51.625"/>
    <n v="1.25"/>
    <n v="214.5"/>
    <n v="116"/>
    <n v="221"/>
    <x v="0"/>
    <x v="3"/>
  </r>
  <r>
    <x v="1"/>
    <n v="81"/>
    <n v="271.10000000000002"/>
    <n v="89.9"/>
    <n v="14.07"/>
    <n v="64.8"/>
    <n v="1.96"/>
    <n v="22.2"/>
    <n v="59"/>
    <n v="1.42"/>
    <n v="135"/>
    <n v="271.10000000000002"/>
    <n v="112.375"/>
    <n v="35.174999999999997"/>
    <n v="162"/>
    <n v="98"/>
    <n v="271"/>
    <x v="0"/>
    <x v="3"/>
  </r>
  <r>
    <x v="2"/>
    <n v="47.5"/>
    <n v="93.1"/>
    <n v="30.7"/>
    <n v="8.25"/>
    <n v="30.3"/>
    <n v="1.43"/>
    <n v="13.6"/>
    <n v="58"/>
    <n v="2.66"/>
    <n v="79.166666666666657"/>
    <n v="93.1"/>
    <n v="38.375"/>
    <n v="20.625"/>
    <n v="75.75"/>
    <n v="71.5"/>
    <n v="93"/>
    <x v="3"/>
    <x v="3"/>
  </r>
  <r>
    <x v="3"/>
    <n v="50.7"/>
    <n v="109.7"/>
    <n v="13.3"/>
    <n v="9.7799999999999994"/>
    <n v="56.2"/>
    <n v="1.5"/>
    <n v="32.299999999999997"/>
    <n v="63.6"/>
    <n v="3.07"/>
    <n v="84.5"/>
    <n v="109.7"/>
    <n v="16.625"/>
    <n v="24.45"/>
    <n v="140.5"/>
    <n v="75"/>
    <n v="140"/>
    <x v="1"/>
    <x v="2"/>
  </r>
  <r>
    <x v="4"/>
    <n v="71.2"/>
    <n v="177.4"/>
    <n v="14.8"/>
    <n v="3.89"/>
    <n v="87.6"/>
    <n v="0.05"/>
    <n v="24"/>
    <n v="81.099999999999994"/>
    <n v="2.89"/>
    <n v="118.6666666666667"/>
    <n v="177.4"/>
    <n v="18.5"/>
    <n v="9.7250000000000014"/>
    <n v="219"/>
    <n v="2.5"/>
    <n v="219"/>
    <x v="0"/>
    <x v="2"/>
  </r>
  <r>
    <x v="0"/>
    <n v="55"/>
    <n v="146.9"/>
    <n v="43.6"/>
    <n v="9.3800000000000008"/>
    <n v="26.4"/>
    <n v="2.14"/>
    <n v="35"/>
    <n v="57.6"/>
    <n v="0.84"/>
    <n v="91.666666666666657"/>
    <n v="146.9"/>
    <n v="54.5"/>
    <n v="23.45"/>
    <n v="66"/>
    <n v="107"/>
    <n v="147"/>
    <x v="1"/>
    <x v="3"/>
  </r>
  <r>
    <x v="1"/>
    <n v="55.4"/>
    <n v="136.19999999999999"/>
    <n v="68.900000000000006"/>
    <n v="3.7"/>
    <n v="26"/>
    <n v="1.88"/>
    <n v="31.6"/>
    <n v="48.8"/>
    <n v="0.9"/>
    <n v="92.333333333333343"/>
    <n v="136.19999999999999"/>
    <n v="86.125"/>
    <n v="9.2500000000000018"/>
    <n v="65"/>
    <n v="94"/>
    <n v="136"/>
    <x v="1"/>
    <x v="3"/>
  </r>
  <r>
    <x v="2"/>
    <n v="150.6"/>
    <n v="158.6"/>
    <n v="37.700000000000003"/>
    <n v="11.73"/>
    <n v="35"/>
    <n v="1.63"/>
    <n v="26.1"/>
    <n v="61.6"/>
    <n v="2.36"/>
    <n v="251"/>
    <n v="158.6"/>
    <n v="47.125"/>
    <n v="29.324999999999999"/>
    <n v="87.5"/>
    <n v="81.499999999999986"/>
    <n v="251"/>
    <x v="0"/>
    <x v="0"/>
  </r>
  <r>
    <x v="3"/>
    <n v="16.600000000000001"/>
    <n v="236.3"/>
    <n v="26.2"/>
    <n v="1.2"/>
    <n v="34.700000000000003"/>
    <n v="0.62"/>
    <n v="24.6"/>
    <n v="72.400000000000006"/>
    <n v="3.69"/>
    <n v="27.666666666666671"/>
    <n v="236.3"/>
    <n v="32.75"/>
    <n v="3"/>
    <n v="86.750000000000014"/>
    <n v="31"/>
    <n v="236"/>
    <x v="0"/>
    <x v="3"/>
  </r>
  <r>
    <x v="4"/>
    <n v="92.9"/>
    <n v="111.8"/>
    <n v="50.6"/>
    <n v="11.04"/>
    <n v="1"/>
    <n v="1.7"/>
    <n v="14.8"/>
    <n v="96.7"/>
    <n v="2.5099999999999998"/>
    <n v="154.83333333333329"/>
    <n v="111.8"/>
    <n v="63.25"/>
    <n v="27.6"/>
    <n v="2.5"/>
    <n v="84.999999999999986"/>
    <n v="155"/>
    <x v="1"/>
    <x v="0"/>
  </r>
  <r>
    <x v="0"/>
    <n v="62.6"/>
    <n v="84.9"/>
    <n v="37.299999999999997"/>
    <n v="22.28"/>
    <n v="73"/>
    <n v="0.31"/>
    <n v="35.5"/>
    <n v="81.5"/>
    <n v="2.16"/>
    <n v="104.3333333333333"/>
    <n v="84.9"/>
    <n v="46.625"/>
    <n v="55.7"/>
    <n v="182.5"/>
    <n v="15.5"/>
    <n v="182"/>
    <x v="1"/>
    <x v="2"/>
  </r>
  <r>
    <x v="1"/>
    <n v="86.5"/>
    <n v="148.9"/>
    <n v="105.6"/>
    <n v="5.0199999999999996"/>
    <n v="54.6"/>
    <n v="1.18"/>
    <n v="15"/>
    <n v="99.4"/>
    <n v="1.08"/>
    <n v="144.16666666666671"/>
    <n v="148.9"/>
    <n v="132"/>
    <n v="12.55"/>
    <n v="136.5"/>
    <n v="59"/>
    <n v="149"/>
    <x v="1"/>
    <x v="3"/>
  </r>
  <r>
    <x v="2"/>
    <n v="63.3"/>
    <n v="14.8"/>
    <n v="35.200000000000003"/>
    <n v="9.6"/>
    <n v="18.399999999999999"/>
    <n v="1.47"/>
    <n v="23.1"/>
    <n v="80.900000000000006"/>
    <n v="4.13"/>
    <n v="105.5"/>
    <n v="14.8"/>
    <n v="44.000000000000007"/>
    <n v="24"/>
    <n v="46"/>
    <n v="73.5"/>
    <n v="106"/>
    <x v="1"/>
    <x v="0"/>
  </r>
  <r>
    <x v="3"/>
    <n v="42.4"/>
    <n v="124.6"/>
    <n v="48.7"/>
    <n v="11.1"/>
    <n v="40.4"/>
    <n v="1.31"/>
    <n v="23.3"/>
    <n v="62.1"/>
    <n v="4.0599999999999996"/>
    <n v="70.666666666666671"/>
    <n v="124.6"/>
    <n v="60.875000000000007"/>
    <n v="27.75"/>
    <n v="101"/>
    <n v="65.5"/>
    <n v="125"/>
    <x v="1"/>
    <x v="3"/>
  </r>
  <r>
    <x v="4"/>
    <n v="87.3"/>
    <n v="178.3"/>
    <n v="65.400000000000006"/>
    <n v="7.95"/>
    <n v="52.8"/>
    <n v="0.6"/>
    <n v="33.9"/>
    <n v="10"/>
    <n v="2.9"/>
    <n v="145.5"/>
    <n v="178.3"/>
    <n v="81.75"/>
    <n v="19.875"/>
    <n v="132"/>
    <n v="30"/>
    <n v="178"/>
    <x v="1"/>
    <x v="3"/>
  </r>
  <r>
    <x v="0"/>
    <n v="108.4"/>
    <n v="43.9"/>
    <n v="60.9"/>
    <n v="5.29"/>
    <n v="35.4"/>
    <n v="2.0299999999999998"/>
    <n v="26.4"/>
    <n v="23.4"/>
    <n v="1.33"/>
    <n v="180.66666666666671"/>
    <n v="43.9"/>
    <n v="76.125"/>
    <n v="13.225"/>
    <n v="88.5"/>
    <n v="101.5"/>
    <n v="181"/>
    <x v="1"/>
    <x v="0"/>
  </r>
  <r>
    <x v="1"/>
    <n v="111.6"/>
    <n v="183.7"/>
    <n v="100"/>
    <n v="20.52"/>
    <n v="39.299999999999997"/>
    <n v="3.38"/>
    <n v="25.2"/>
    <n v="42.7"/>
    <n v="1.74"/>
    <n v="186"/>
    <n v="183.7"/>
    <n v="125"/>
    <n v="51.3"/>
    <n v="98.249999999999986"/>
    <n v="169"/>
    <n v="186"/>
    <x v="1"/>
    <x v="0"/>
  </r>
  <r>
    <x v="2"/>
    <n v="2"/>
    <n v="205.6"/>
    <n v="73.099999999999994"/>
    <n v="2.78"/>
    <n v="32.6"/>
    <n v="1.19"/>
    <n v="18.3"/>
    <n v="28.4"/>
    <n v="2.25"/>
    <n v="3.333333333333333"/>
    <n v="205.6"/>
    <n v="91.375"/>
    <n v="6.9499999999999993"/>
    <n v="81.5"/>
    <n v="59.5"/>
    <n v="206"/>
    <x v="0"/>
    <x v="3"/>
  </r>
  <r>
    <x v="3"/>
    <n v="50.4"/>
    <n v="96.7"/>
    <n v="49.5"/>
    <n v="15.15"/>
    <n v="32.4"/>
    <n v="1.3"/>
    <n v="30.1"/>
    <n v="70"/>
    <n v="1.76"/>
    <n v="83.999999999999986"/>
    <n v="96.7"/>
    <n v="61.875"/>
    <n v="37.875"/>
    <n v="81"/>
    <n v="65"/>
    <n v="97"/>
    <x v="3"/>
    <x v="3"/>
  </r>
  <r>
    <x v="4"/>
    <n v="69.2"/>
    <n v="168.1"/>
    <n v="24.7"/>
    <n v="15.75"/>
    <n v="83.4"/>
    <n v="0.84"/>
    <n v="26.4"/>
    <n v="71.599999999999994"/>
    <n v="2.35"/>
    <n v="115.3333333333333"/>
    <n v="168.1"/>
    <n v="30.875"/>
    <n v="39.375"/>
    <n v="208.5"/>
    <n v="41.999999999999993"/>
    <n v="209"/>
    <x v="0"/>
    <x v="2"/>
  </r>
  <r>
    <x v="0"/>
    <n v="85.6"/>
    <n v="149.30000000000001"/>
    <n v="18"/>
    <n v="11.84"/>
    <n v="14.4"/>
    <n v="2.0299999999999998"/>
    <n v="20.3"/>
    <n v="57.1"/>
    <n v="4.1500000000000004"/>
    <n v="142.66666666666671"/>
    <n v="149.30000000000001"/>
    <n v="22.5"/>
    <n v="29.6"/>
    <n v="36.000000000000007"/>
    <n v="101.5"/>
    <n v="149"/>
    <x v="1"/>
    <x v="3"/>
  </r>
  <r>
    <x v="1"/>
    <n v="93.6"/>
    <n v="69"/>
    <n v="30.9"/>
    <n v="6.25"/>
    <n v="62.3"/>
    <n v="1.77"/>
    <n v="19.100000000000001"/>
    <n v="39"/>
    <n v="2.84"/>
    <n v="156"/>
    <n v="69"/>
    <n v="38.625"/>
    <n v="15.625"/>
    <n v="155.75"/>
    <n v="88.5"/>
    <n v="156"/>
    <x v="1"/>
    <x v="0"/>
  </r>
  <r>
    <x v="2"/>
    <n v="51.8"/>
    <n v="237"/>
    <n v="43.4"/>
    <n v="16.22"/>
    <n v="10.199999999999999"/>
    <n v="0.24"/>
    <n v="17.2"/>
    <n v="81.400000000000006"/>
    <n v="4.6100000000000003"/>
    <n v="86.333333333333329"/>
    <n v="237"/>
    <n v="54.25"/>
    <n v="40.549999999999997"/>
    <n v="25.5"/>
    <n v="12"/>
    <n v="237"/>
    <x v="0"/>
    <x v="3"/>
  </r>
  <r>
    <x v="3"/>
    <n v="36.5"/>
    <n v="92.4"/>
    <n v="21.6"/>
    <n v="0.5"/>
    <n v="58"/>
    <n v="1.33"/>
    <n v="25.1"/>
    <n v="34.799999999999997"/>
    <n v="4.47"/>
    <n v="60.833333333333343"/>
    <n v="92.4"/>
    <n v="27"/>
    <n v="1.25"/>
    <n v="145"/>
    <n v="66.5"/>
    <n v="145"/>
    <x v="1"/>
    <x v="2"/>
  </r>
  <r>
    <x v="4"/>
    <n v="49.4"/>
    <n v="167.2"/>
    <n v="17.5"/>
    <n v="7.75"/>
    <n v="52"/>
    <n v="1.54"/>
    <n v="26.1"/>
    <n v="68.900000000000006"/>
    <n v="1.64"/>
    <n v="82.333333333333329"/>
    <n v="167.2"/>
    <n v="21.875"/>
    <n v="19.375"/>
    <n v="130"/>
    <n v="77"/>
    <n v="167"/>
    <x v="1"/>
    <x v="3"/>
  </r>
  <r>
    <x v="0"/>
    <n v="75.8"/>
    <n v="145.80000000000001"/>
    <n v="57.1"/>
    <n v="9.6199999999999992"/>
    <n v="9.4"/>
    <n v="0.47"/>
    <n v="9.5"/>
    <n v="74.7"/>
    <n v="3.49"/>
    <n v="126.3333333333333"/>
    <n v="145.80000000000001"/>
    <n v="71.375000000000014"/>
    <n v="24.05"/>
    <n v="23.5"/>
    <n v="23.5"/>
    <n v="146"/>
    <x v="1"/>
    <x v="3"/>
  </r>
  <r>
    <x v="1"/>
    <n v="106.6"/>
    <n v="173"/>
    <n v="2.9"/>
    <n v="3.58"/>
    <n v="55.3"/>
    <n v="1.6"/>
    <n v="23.4"/>
    <n v="66.599999999999994"/>
    <n v="2.5099999999999998"/>
    <n v="177.66666666666671"/>
    <n v="173"/>
    <n v="3.625"/>
    <n v="8.9499999999999993"/>
    <n v="138.25"/>
    <n v="80"/>
    <n v="178"/>
    <x v="1"/>
    <x v="0"/>
  </r>
  <r>
    <x v="2"/>
    <n v="60.4"/>
    <n v="77.599999999999994"/>
    <n v="61.4"/>
    <n v="5.55"/>
    <n v="6.4"/>
    <n v="0.7"/>
    <n v="22.6"/>
    <n v="77.900000000000006"/>
    <n v="2.4500000000000002"/>
    <n v="100.6666666666667"/>
    <n v="77.599999999999994"/>
    <n v="76.75"/>
    <n v="13.875"/>
    <n v="16"/>
    <n v="34.999999999999993"/>
    <n v="101"/>
    <x v="1"/>
    <x v="0"/>
  </r>
  <r>
    <x v="3"/>
    <n v="54.4"/>
    <n v="45.1"/>
    <n v="60.7"/>
    <n v="4.74"/>
    <n v="37.5"/>
    <n v="2.09"/>
    <n v="28.6"/>
    <n v="30.7"/>
    <n v="0.38"/>
    <n v="90.666666666666657"/>
    <n v="45.1"/>
    <n v="75.875"/>
    <n v="11.85"/>
    <n v="93.75"/>
    <n v="104.5"/>
    <n v="104"/>
    <x v="1"/>
    <x v="4"/>
  </r>
  <r>
    <x v="4"/>
    <n v="63.9"/>
    <n v="52"/>
    <n v="63.8"/>
    <n v="9.0299999999999994"/>
    <n v="48.5"/>
    <n v="0.85"/>
    <n v="37.200000000000003"/>
    <n v="100"/>
    <n v="2.67"/>
    <n v="106.5"/>
    <n v="52"/>
    <n v="79.75"/>
    <n v="22.574999999999999"/>
    <n v="121.25"/>
    <n v="42.499999999999993"/>
    <n v="121"/>
    <x v="1"/>
    <x v="2"/>
  </r>
  <r>
    <x v="0"/>
    <n v="81.2"/>
    <n v="144.69999999999999"/>
    <n v="45.8"/>
    <n v="4.42"/>
    <n v="14.8"/>
    <n v="0.6"/>
    <n v="27.8"/>
    <n v="50.6"/>
    <n v="0.2"/>
    <n v="135.33333333333329"/>
    <n v="144.69999999999999"/>
    <n v="57.249999999999993"/>
    <n v="11.05"/>
    <n v="37.000000000000007"/>
    <n v="30"/>
    <n v="145"/>
    <x v="1"/>
    <x v="3"/>
  </r>
  <r>
    <x v="1"/>
    <n v="91.7"/>
    <n v="147.1"/>
    <n v="89.9"/>
    <n v="12.33"/>
    <n v="3.8"/>
    <n v="0.05"/>
    <n v="20"/>
    <n v="48.7"/>
    <n v="3.63"/>
    <n v="152.83333333333329"/>
    <n v="147.1"/>
    <n v="112.375"/>
    <n v="30.824999999999999"/>
    <n v="9.5"/>
    <n v="2.5"/>
    <n v="153"/>
    <x v="1"/>
    <x v="0"/>
  </r>
  <r>
    <x v="2"/>
    <n v="56.7"/>
    <n v="178.6"/>
    <n v="17.600000000000001"/>
    <n v="12.19"/>
    <n v="55.1"/>
    <n v="0.05"/>
    <n v="34.299999999999997"/>
    <n v="61.7"/>
    <n v="2.97"/>
    <n v="94.5"/>
    <n v="178.6"/>
    <n v="22"/>
    <n v="30.475000000000001"/>
    <n v="137.75"/>
    <n v="2.5"/>
    <n v="179"/>
    <x v="1"/>
    <x v="3"/>
  </r>
  <r>
    <x v="3"/>
    <n v="34.1"/>
    <n v="196.5"/>
    <n v="21.3"/>
    <n v="12.16"/>
    <n v="60.5"/>
    <n v="0.62"/>
    <n v="38.9"/>
    <n v="64.2"/>
    <n v="3.28"/>
    <n v="56.833333333333343"/>
    <n v="196.5"/>
    <n v="26.625"/>
    <n v="30.4"/>
    <n v="151.25"/>
    <n v="31"/>
    <n v="196"/>
    <x v="1"/>
    <x v="3"/>
  </r>
  <r>
    <x v="4"/>
    <n v="15.6"/>
    <n v="271.8"/>
    <n v="22.6"/>
    <n v="14.44"/>
    <n v="16.600000000000001"/>
    <n v="0.91"/>
    <n v="30.5"/>
    <n v="78.5"/>
    <n v="1.47"/>
    <n v="26"/>
    <n v="271.8"/>
    <n v="28.25"/>
    <n v="36.1"/>
    <n v="41.5"/>
    <n v="45.5"/>
    <n v="272"/>
    <x v="0"/>
    <x v="3"/>
  </r>
  <r>
    <x v="0"/>
    <n v="106.6"/>
    <n v="210.1"/>
    <n v="30.2"/>
    <n v="18.39"/>
    <n v="4.0999999999999996"/>
    <n v="0.95"/>
    <n v="28.4"/>
    <n v="44.6"/>
    <n v="2.82"/>
    <n v="177.66666666666671"/>
    <n v="210.1"/>
    <n v="37.75"/>
    <n v="45.975000000000001"/>
    <n v="10.25"/>
    <n v="47.5"/>
    <n v="210"/>
    <x v="0"/>
    <x v="3"/>
  </r>
  <r>
    <x v="1"/>
    <n v="84"/>
    <n v="136"/>
    <n v="77.099999999999994"/>
    <n v="8.57"/>
    <n v="57.2"/>
    <n v="2.36"/>
    <n v="30.5"/>
    <n v="74.099999999999994"/>
    <n v="1.1200000000000001"/>
    <n v="140"/>
    <n v="136"/>
    <n v="96.374999999999986"/>
    <n v="21.425000000000001"/>
    <n v="143"/>
    <n v="118"/>
    <n v="143"/>
    <x v="1"/>
    <x v="2"/>
  </r>
  <r>
    <x v="2"/>
    <n v="72"/>
    <n v="63.9"/>
    <n v="18.399999999999999"/>
    <n v="7.26"/>
    <n v="16.5"/>
    <n v="1.59"/>
    <n v="30.7"/>
    <n v="25.8"/>
    <n v="1.51"/>
    <n v="120"/>
    <n v="63.9"/>
    <n v="23"/>
    <n v="18.149999999999999"/>
    <n v="41.25"/>
    <n v="79.5"/>
    <n v="120"/>
    <x v="1"/>
    <x v="0"/>
  </r>
  <r>
    <x v="3"/>
    <n v="16.2"/>
    <n v="92.2"/>
    <n v="54.1"/>
    <n v="6.79"/>
    <n v="25.3"/>
    <n v="1.98"/>
    <n v="8.9"/>
    <n v="82.3"/>
    <n v="1.85"/>
    <n v="27"/>
    <n v="92.2"/>
    <n v="67.625"/>
    <n v="16.975000000000001"/>
    <n v="63.25"/>
    <n v="99"/>
    <n v="99"/>
    <x v="3"/>
    <x v="4"/>
  </r>
  <r>
    <x v="4"/>
    <n v="63.4"/>
    <n v="97.2"/>
    <n v="83.4"/>
    <n v="2.0299999999999998"/>
    <n v="44.3"/>
    <n v="1.67"/>
    <n v="13.7"/>
    <n v="43.4"/>
    <n v="2.82"/>
    <n v="105.6666666666667"/>
    <n v="97.2"/>
    <n v="104.25"/>
    <n v="5.0749999999999993"/>
    <n v="110.75"/>
    <n v="83.499999999999986"/>
    <n v="111"/>
    <x v="1"/>
    <x v="2"/>
  </r>
  <r>
    <x v="0"/>
    <n v="38.4"/>
    <n v="81.7"/>
    <n v="43.7"/>
    <n v="12.94"/>
    <n v="36.1"/>
    <n v="2.12"/>
    <n v="18"/>
    <n v="37.5"/>
    <n v="4.8099999999999996"/>
    <n v="64"/>
    <n v="81.7"/>
    <n v="54.625000000000007"/>
    <n v="32.349999999999987"/>
    <n v="90.25"/>
    <n v="106"/>
    <n v="106"/>
    <x v="1"/>
    <x v="4"/>
  </r>
  <r>
    <x v="1"/>
    <n v="50.3"/>
    <n v="51.7"/>
    <n v="12.7"/>
    <n v="16.72"/>
    <n v="39.299999999999997"/>
    <n v="1.31"/>
    <n v="23.9"/>
    <n v="78.2"/>
    <n v="2.2799999999999998"/>
    <n v="83.833333333333329"/>
    <n v="51.7"/>
    <n v="15.875"/>
    <n v="41.8"/>
    <n v="98.249999999999986"/>
    <n v="65.5"/>
    <n v="98"/>
    <x v="3"/>
    <x v="2"/>
  </r>
  <r>
    <x v="2"/>
    <n v="123.8"/>
    <n v="121.6"/>
    <n v="62.9"/>
    <n v="11.42"/>
    <n v="37.1"/>
    <n v="0.81"/>
    <n v="27.3"/>
    <n v="69.2"/>
    <n v="1.81"/>
    <n v="206.33333333333329"/>
    <n v="121.6"/>
    <n v="78.625"/>
    <n v="28.55"/>
    <n v="92.75"/>
    <n v="40.5"/>
    <n v="206"/>
    <x v="0"/>
    <x v="0"/>
  </r>
  <r>
    <x v="3"/>
    <n v="65"/>
    <n v="194.2"/>
    <n v="86.4"/>
    <n v="12.27"/>
    <n v="86.6"/>
    <n v="0.82"/>
    <n v="29.9"/>
    <n v="84.1"/>
    <n v="1.42"/>
    <n v="108.3333333333333"/>
    <n v="194.2"/>
    <n v="108"/>
    <n v="30.675000000000001"/>
    <n v="216.5"/>
    <n v="40.999999999999993"/>
    <n v="216"/>
    <x v="0"/>
    <x v="2"/>
  </r>
  <r>
    <x v="4"/>
    <n v="50"/>
    <n v="246.7"/>
    <n v="28"/>
    <n v="1.42"/>
    <n v="86"/>
    <n v="2.11"/>
    <n v="28"/>
    <n v="59.2"/>
    <n v="2.4700000000000002"/>
    <n v="83.333333333333329"/>
    <n v="246.7"/>
    <n v="35"/>
    <n v="3.55"/>
    <n v="215"/>
    <n v="105.5"/>
    <n v="247"/>
    <x v="0"/>
    <x v="3"/>
  </r>
  <r>
    <x v="0"/>
    <n v="78.7"/>
    <n v="247"/>
    <n v="57.2"/>
    <n v="21.66"/>
    <n v="20.2"/>
    <n v="1.37"/>
    <n v="22.4"/>
    <n v="40.5"/>
    <n v="2.3199999999999998"/>
    <n v="131.16666666666671"/>
    <n v="247"/>
    <n v="71.500000000000014"/>
    <n v="54.150000000000013"/>
    <n v="50.499999999999993"/>
    <n v="68.5"/>
    <n v="247"/>
    <x v="0"/>
    <x v="3"/>
  </r>
  <r>
    <x v="1"/>
    <n v="90.6"/>
    <n v="189.3"/>
    <n v="110.5"/>
    <n v="12.9"/>
    <n v="85.9"/>
    <n v="1.55"/>
    <n v="36.700000000000003"/>
    <n v="100"/>
    <n v="3.14"/>
    <n v="151"/>
    <n v="189.3"/>
    <n v="138.125"/>
    <n v="32.25"/>
    <n v="214.75"/>
    <n v="77.5"/>
    <n v="215"/>
    <x v="0"/>
    <x v="2"/>
  </r>
  <r>
    <x v="2"/>
    <n v="28.7"/>
    <n v="82.7"/>
    <n v="48.1"/>
    <n v="9.77"/>
    <n v="54.6"/>
    <n v="1.4"/>
    <n v="25"/>
    <n v="48.5"/>
    <n v="2.98"/>
    <n v="47.833333333333329"/>
    <n v="82.7"/>
    <n v="60.125000000000007"/>
    <n v="24.425000000000001"/>
    <n v="136.5"/>
    <n v="69.999999999999986"/>
    <n v="136"/>
    <x v="1"/>
    <x v="2"/>
  </r>
  <r>
    <x v="3"/>
    <n v="115.6"/>
    <n v="181.2"/>
    <n v="55.7"/>
    <n v="13.15"/>
    <n v="30.7"/>
    <n v="0.9"/>
    <n v="19.8"/>
    <n v="57.7"/>
    <n v="1.99"/>
    <n v="192.66666666666671"/>
    <n v="181.2"/>
    <n v="69.625"/>
    <n v="32.875"/>
    <n v="76.75"/>
    <n v="45"/>
    <n v="193"/>
    <x v="1"/>
    <x v="0"/>
  </r>
  <r>
    <x v="4"/>
    <n v="105.9"/>
    <n v="100.6"/>
    <n v="31.8"/>
    <n v="19.48"/>
    <n v="31.6"/>
    <n v="1.42"/>
    <n v="28.2"/>
    <n v="39.5"/>
    <n v="4.4800000000000004"/>
    <n v="176.5"/>
    <n v="100.6"/>
    <n v="39.75"/>
    <n v="48.7"/>
    <n v="79"/>
    <n v="71"/>
    <n v="177"/>
    <x v="1"/>
    <x v="0"/>
  </r>
  <r>
    <x v="0"/>
    <n v="91"/>
    <n v="245.5"/>
    <n v="36.1"/>
    <n v="9.77"/>
    <n v="47.1"/>
    <n v="1.56"/>
    <n v="14.8"/>
    <n v="62"/>
    <n v="0.79"/>
    <n v="151.66666666666671"/>
    <n v="245.5"/>
    <n v="45.125"/>
    <n v="24.425000000000001"/>
    <n v="117.75"/>
    <n v="78"/>
    <n v="246"/>
    <x v="0"/>
    <x v="3"/>
  </r>
  <r>
    <x v="1"/>
    <n v="88.4"/>
    <n v="5"/>
    <n v="10"/>
    <n v="15.12"/>
    <n v="32.9"/>
    <n v="0.76"/>
    <n v="33.9"/>
    <n v="65.900000000000006"/>
    <n v="3.55"/>
    <n v="147.33333333333329"/>
    <n v="5"/>
    <n v="12.5"/>
    <n v="37.799999999999997"/>
    <n v="82.249999999999986"/>
    <n v="38"/>
    <n v="147"/>
    <x v="1"/>
    <x v="0"/>
  </r>
  <r>
    <x v="2"/>
    <n v="52.3"/>
    <n v="266.7"/>
    <n v="31.3"/>
    <n v="15.89"/>
    <n v="36.5"/>
    <n v="0.2"/>
    <n v="28.4"/>
    <n v="65.7"/>
    <n v="1.24"/>
    <n v="87.166666666666657"/>
    <n v="266.7"/>
    <n v="39.125"/>
    <n v="39.725000000000001"/>
    <n v="91.25"/>
    <n v="10"/>
    <n v="267"/>
    <x v="0"/>
    <x v="3"/>
  </r>
  <r>
    <x v="3"/>
    <n v="32.299999999999997"/>
    <n v="118.5"/>
    <n v="52"/>
    <n v="0.5"/>
    <n v="66.3"/>
    <n v="0.9"/>
    <n v="15.7"/>
    <n v="76.900000000000006"/>
    <n v="2.4700000000000002"/>
    <n v="53.833333333333329"/>
    <n v="118.5"/>
    <n v="65"/>
    <n v="1.25"/>
    <n v="165.75"/>
    <n v="45"/>
    <n v="166"/>
    <x v="1"/>
    <x v="2"/>
  </r>
  <r>
    <x v="4"/>
    <n v="106.1"/>
    <n v="160.9"/>
    <n v="49.5"/>
    <n v="7.96"/>
    <n v="57.3"/>
    <n v="1.05"/>
    <n v="19"/>
    <n v="71"/>
    <n v="2.83"/>
    <n v="176.83333333333329"/>
    <n v="160.9"/>
    <n v="61.875"/>
    <n v="19.899999999999999"/>
    <n v="143.25"/>
    <n v="52.500000000000007"/>
    <n v="177"/>
    <x v="1"/>
    <x v="0"/>
  </r>
  <r>
    <x v="0"/>
    <n v="70.2"/>
    <n v="213.2"/>
    <n v="49.1"/>
    <n v="9.2899999999999991"/>
    <n v="28.8"/>
    <n v="1.68"/>
    <n v="27.4"/>
    <n v="76.2"/>
    <n v="1.81"/>
    <n v="117"/>
    <n v="213.2"/>
    <n v="61.375"/>
    <n v="23.225000000000001"/>
    <n v="72.000000000000014"/>
    <n v="83.999999999999986"/>
    <n v="213"/>
    <x v="0"/>
    <x v="3"/>
  </r>
  <r>
    <x v="1"/>
    <n v="57.8"/>
    <n v="209.4"/>
    <n v="62.6"/>
    <n v="4.34"/>
    <n v="90.8"/>
    <n v="0.23"/>
    <n v="30.5"/>
    <n v="37.200000000000003"/>
    <n v="4.76"/>
    <n v="96.333333333333329"/>
    <n v="209.4"/>
    <n v="78.25"/>
    <n v="10.85"/>
    <n v="227"/>
    <n v="11.5"/>
    <n v="227"/>
    <x v="0"/>
    <x v="2"/>
  </r>
  <r>
    <x v="2"/>
    <n v="13"/>
    <n v="179.7"/>
    <n v="41.2"/>
    <n v="5.86"/>
    <n v="42.4"/>
    <n v="1.5"/>
    <n v="18.7"/>
    <n v="45.3"/>
    <n v="3.28"/>
    <n v="21.666666666666671"/>
    <n v="179.7"/>
    <n v="51.500000000000007"/>
    <n v="14.65"/>
    <n v="106"/>
    <n v="75"/>
    <n v="180"/>
    <x v="1"/>
    <x v="3"/>
  </r>
  <r>
    <x v="3"/>
    <n v="8.8000000000000007"/>
    <n v="84.9"/>
    <n v="105.8"/>
    <n v="3.16"/>
    <n v="68.7"/>
    <n v="0.85"/>
    <n v="28.6"/>
    <n v="71.8"/>
    <n v="3.85"/>
    <n v="14.66666666666667"/>
    <n v="84.9"/>
    <n v="132.25"/>
    <n v="7.9"/>
    <n v="171.75"/>
    <n v="42.499999999999993"/>
    <n v="172"/>
    <x v="1"/>
    <x v="2"/>
  </r>
  <r>
    <x v="4"/>
    <n v="59.4"/>
    <n v="263.3"/>
    <n v="36.5"/>
    <n v="10.09"/>
    <n v="50.7"/>
    <n v="0.57999999999999996"/>
    <n v="23"/>
    <n v="62.9"/>
    <n v="2.48"/>
    <n v="98.999999999999986"/>
    <n v="263.3"/>
    <n v="45.625"/>
    <n v="25.225000000000001"/>
    <n v="126.75"/>
    <n v="29"/>
    <n v="263"/>
    <x v="0"/>
    <x v="3"/>
  </r>
  <r>
    <x v="0"/>
    <n v="153.19999999999999"/>
    <n v="80.099999999999994"/>
    <n v="78.900000000000006"/>
    <n v="14.12"/>
    <n v="45.6"/>
    <n v="0.78"/>
    <n v="19.600000000000001"/>
    <n v="50.7"/>
    <n v="0.36"/>
    <n v="255.33333333333329"/>
    <n v="80.099999999999994"/>
    <n v="98.625"/>
    <n v="35.299999999999997"/>
    <n v="114"/>
    <n v="39"/>
    <n v="255"/>
    <x v="0"/>
    <x v="0"/>
  </r>
  <r>
    <x v="1"/>
    <n v="37.4"/>
    <n v="38.799999999999997"/>
    <n v="89.9"/>
    <n v="13.87"/>
    <n v="74.599999999999994"/>
    <n v="1.94"/>
    <n v="26.2"/>
    <n v="86.3"/>
    <n v="1.77"/>
    <n v="62.333333333333329"/>
    <n v="38.799999999999997"/>
    <n v="112.375"/>
    <n v="34.674999999999997"/>
    <n v="186.5"/>
    <n v="97"/>
    <n v="186"/>
    <x v="1"/>
    <x v="2"/>
  </r>
  <r>
    <x v="2"/>
    <n v="60"/>
    <n v="156.6"/>
    <n v="17.600000000000001"/>
    <n v="22.31"/>
    <n v="38.700000000000003"/>
    <n v="1.22"/>
    <n v="33.799999999999997"/>
    <n v="76.5"/>
    <n v="2.5499999999999998"/>
    <n v="100"/>
    <n v="156.6"/>
    <n v="22"/>
    <n v="55.774999999999999"/>
    <n v="96.75"/>
    <n v="61"/>
    <n v="157"/>
    <x v="1"/>
    <x v="3"/>
  </r>
  <r>
    <x v="3"/>
    <n v="63.9"/>
    <n v="29.8"/>
    <n v="33.9"/>
    <n v="10.59"/>
    <n v="51.1"/>
    <n v="1.93"/>
    <n v="24.2"/>
    <n v="35"/>
    <n v="3.77"/>
    <n v="106.5"/>
    <n v="29.8"/>
    <n v="42.374999999999993"/>
    <n v="26.475000000000001"/>
    <n v="127.75"/>
    <n v="96.5"/>
    <n v="128"/>
    <x v="1"/>
    <x v="2"/>
  </r>
  <r>
    <x v="4"/>
    <n v="113.4"/>
    <n v="191.3"/>
    <n v="45.9"/>
    <n v="14.54"/>
    <n v="138.30000000000001"/>
    <n v="1.4"/>
    <n v="15.8"/>
    <n v="49.4"/>
    <n v="3.75"/>
    <n v="189"/>
    <n v="191.3"/>
    <n v="57.374999999999993"/>
    <n v="36.35"/>
    <n v="345.75"/>
    <n v="69.999999999999986"/>
    <n v="346"/>
    <x v="2"/>
    <x v="2"/>
  </r>
  <r>
    <x v="0"/>
    <n v="13.6"/>
    <n v="149.69999999999999"/>
    <n v="60.5"/>
    <n v="18.03"/>
    <n v="83.7"/>
    <n v="1.98"/>
    <n v="9.9"/>
    <n v="76.599999999999994"/>
    <n v="3.35"/>
    <n v="22.666666666666661"/>
    <n v="149.69999999999999"/>
    <n v="75.625"/>
    <n v="45.075000000000003"/>
    <n v="209.25"/>
    <n v="99"/>
    <n v="209"/>
    <x v="0"/>
    <x v="2"/>
  </r>
  <r>
    <x v="1"/>
    <n v="84.6"/>
    <n v="20.2"/>
    <n v="36.799999999999997"/>
    <n v="2.71"/>
    <n v="1"/>
    <n v="1.5"/>
    <n v="19.399999999999999"/>
    <n v="100"/>
    <n v="2.2999999999999998"/>
    <n v="141"/>
    <n v="20.2"/>
    <n v="46"/>
    <n v="6.7749999999999986"/>
    <n v="2.5"/>
    <n v="75"/>
    <n v="141"/>
    <x v="1"/>
    <x v="0"/>
  </r>
  <r>
    <x v="2"/>
    <n v="93.9"/>
    <n v="24.6"/>
    <n v="32.700000000000003"/>
    <n v="8.06"/>
    <n v="16.399999999999999"/>
    <n v="0.9"/>
    <n v="23.5"/>
    <n v="55.8"/>
    <n v="4.7300000000000004"/>
    <n v="156.5"/>
    <n v="24.6"/>
    <n v="40.875"/>
    <n v="20.149999999999999"/>
    <n v="40.999999999999993"/>
    <n v="45"/>
    <n v="156"/>
    <x v="1"/>
    <x v="0"/>
  </r>
  <r>
    <x v="3"/>
    <n v="71.3"/>
    <n v="148.80000000000001"/>
    <n v="55.8"/>
    <n v="11.06"/>
    <n v="37.9"/>
    <n v="1.01"/>
    <n v="26.2"/>
    <n v="80.8"/>
    <n v="3.85"/>
    <n v="118.8333333333333"/>
    <n v="148.80000000000001"/>
    <n v="69.749999999999986"/>
    <n v="27.65"/>
    <n v="94.75"/>
    <n v="50.5"/>
    <n v="149"/>
    <x v="1"/>
    <x v="3"/>
  </r>
  <r>
    <x v="4"/>
    <n v="58.1"/>
    <n v="182.7"/>
    <n v="45.2"/>
    <n v="8.99"/>
    <n v="31"/>
    <n v="1.2"/>
    <n v="34.4"/>
    <n v="61.7"/>
    <n v="3.16"/>
    <n v="96.833333333333343"/>
    <n v="182.7"/>
    <n v="56.5"/>
    <n v="22.475000000000001"/>
    <n v="77.5"/>
    <n v="60"/>
    <n v="183"/>
    <x v="1"/>
    <x v="3"/>
  </r>
  <r>
    <x v="0"/>
    <n v="19.100000000000001"/>
    <n v="116.7"/>
    <n v="46.2"/>
    <n v="4.43"/>
    <n v="46.6"/>
    <n v="1.08"/>
    <n v="25.6"/>
    <n v="62.2"/>
    <n v="1.35"/>
    <n v="31.833333333333339"/>
    <n v="116.7"/>
    <n v="57.75"/>
    <n v="11.074999999999999"/>
    <n v="116.5"/>
    <n v="54.000000000000007"/>
    <n v="117"/>
    <x v="1"/>
    <x v="3"/>
  </r>
  <r>
    <x v="1"/>
    <n v="60"/>
    <n v="155.80000000000001"/>
    <n v="85.9"/>
    <n v="11.6"/>
    <n v="29.3"/>
    <n v="1.8"/>
    <n v="37"/>
    <n v="76.5"/>
    <n v="3.16"/>
    <n v="100"/>
    <n v="155.80000000000001"/>
    <n v="107.375"/>
    <n v="29"/>
    <n v="73.25"/>
    <n v="90"/>
    <n v="156"/>
    <x v="1"/>
    <x v="3"/>
  </r>
  <r>
    <x v="2"/>
    <n v="77.7"/>
    <n v="196.1"/>
    <n v="63.2"/>
    <n v="10.29"/>
    <n v="63.4"/>
    <n v="0.52"/>
    <n v="14.5"/>
    <n v="62.8"/>
    <n v="2.58"/>
    <n v="129.5"/>
    <n v="196.1"/>
    <n v="79"/>
    <n v="25.725000000000001"/>
    <n v="158.5"/>
    <n v="26"/>
    <n v="196"/>
    <x v="1"/>
    <x v="3"/>
  </r>
  <r>
    <x v="3"/>
    <n v="43.7"/>
    <n v="169.6"/>
    <n v="7.7"/>
    <n v="5.33"/>
    <n v="27.9"/>
    <n v="0.22"/>
    <n v="35.5"/>
    <n v="35.5"/>
    <n v="1.79"/>
    <n v="72.833333333333329"/>
    <n v="169.6"/>
    <n v="9.625"/>
    <n v="13.324999999999999"/>
    <n v="69.749999999999986"/>
    <n v="11"/>
    <n v="170"/>
    <x v="1"/>
    <x v="3"/>
  </r>
  <r>
    <x v="4"/>
    <n v="96"/>
    <n v="174.6"/>
    <n v="25.1"/>
    <n v="12.55"/>
    <n v="52"/>
    <n v="2.86"/>
    <n v="27.8"/>
    <n v="57.5"/>
    <n v="1.97"/>
    <n v="160"/>
    <n v="174.6"/>
    <n v="31.375"/>
    <n v="31.375"/>
    <n v="130"/>
    <n v="143"/>
    <n v="175"/>
    <x v="1"/>
    <x v="3"/>
  </r>
  <r>
    <x v="0"/>
    <n v="43.3"/>
    <n v="81"/>
    <n v="83.3"/>
    <n v="9.3000000000000007"/>
    <n v="62.3"/>
    <n v="2.42"/>
    <n v="8.5"/>
    <n v="83"/>
    <n v="2.57"/>
    <n v="72.166666666666657"/>
    <n v="81"/>
    <n v="104.125"/>
    <n v="23.25"/>
    <n v="155.75"/>
    <n v="121"/>
    <n v="156"/>
    <x v="1"/>
    <x v="2"/>
  </r>
  <r>
    <x v="1"/>
    <n v="91.3"/>
    <n v="87.9"/>
    <n v="37.4"/>
    <n v="13.06"/>
    <n v="124.5"/>
    <n v="2.25"/>
    <n v="33.9"/>
    <n v="56.5"/>
    <n v="1.78"/>
    <n v="152.16666666666671"/>
    <n v="87.9"/>
    <n v="46.75"/>
    <n v="32.65"/>
    <n v="311.25"/>
    <n v="112.5"/>
    <n v="311"/>
    <x v="2"/>
    <x v="2"/>
  </r>
  <r>
    <x v="2"/>
    <n v="34.700000000000003"/>
    <n v="86.2"/>
    <n v="3.7"/>
    <n v="4.16"/>
    <n v="24.7"/>
    <n v="1.04"/>
    <n v="25.9"/>
    <n v="66.5"/>
    <n v="2.48"/>
    <n v="57.833333333333343"/>
    <n v="86.2"/>
    <n v="4.6250000000000009"/>
    <n v="10.4"/>
    <n v="61.75"/>
    <n v="52.000000000000007"/>
    <n v="86"/>
    <x v="3"/>
    <x v="3"/>
  </r>
  <r>
    <x v="3"/>
    <n v="42.6"/>
    <n v="5"/>
    <n v="33.5"/>
    <n v="3.14"/>
    <n v="51.7"/>
    <n v="1.75"/>
    <n v="31.6"/>
    <n v="73.599999999999994"/>
    <n v="2.34"/>
    <n v="71.000000000000014"/>
    <n v="5"/>
    <n v="41.875"/>
    <n v="7.8500000000000014"/>
    <n v="129.25"/>
    <n v="87.5"/>
    <n v="129"/>
    <x v="1"/>
    <x v="2"/>
  </r>
  <r>
    <x v="4"/>
    <n v="48.8"/>
    <n v="82.7"/>
    <n v="16.3"/>
    <n v="14.26"/>
    <n v="39.200000000000003"/>
    <n v="0.5"/>
    <n v="19.2"/>
    <n v="44.4"/>
    <n v="3.05"/>
    <n v="81.333333333333329"/>
    <n v="82.7"/>
    <n v="20.375"/>
    <n v="35.65"/>
    <n v="98"/>
    <n v="25"/>
    <n v="98"/>
    <x v="3"/>
    <x v="2"/>
  </r>
  <r>
    <x v="0"/>
    <n v="105.8"/>
    <n v="114"/>
    <n v="2"/>
    <n v="8.11"/>
    <n v="41.5"/>
    <n v="1.22"/>
    <n v="20.6"/>
    <n v="63.9"/>
    <n v="2.58"/>
    <n v="176.33333333333329"/>
    <n v="114"/>
    <n v="2.5"/>
    <n v="20.274999999999999"/>
    <n v="103.75"/>
    <n v="61"/>
    <n v="176"/>
    <x v="1"/>
    <x v="0"/>
  </r>
  <r>
    <x v="1"/>
    <n v="74.099999999999994"/>
    <n v="180.9"/>
    <n v="45.5"/>
    <n v="6.96"/>
    <n v="93.1"/>
    <n v="1.92"/>
    <n v="30.8"/>
    <n v="82.1"/>
    <n v="3.13"/>
    <n v="123.5"/>
    <n v="180.9"/>
    <n v="56.875"/>
    <n v="17.399999999999999"/>
    <n v="232.75"/>
    <n v="96"/>
    <n v="233"/>
    <x v="0"/>
    <x v="2"/>
  </r>
  <r>
    <x v="2"/>
    <n v="83.5"/>
    <n v="24"/>
    <n v="46.6"/>
    <n v="6.73"/>
    <n v="77.8"/>
    <n v="1.67"/>
    <n v="20.6"/>
    <n v="66.7"/>
    <n v="2.7"/>
    <n v="139.16666666666671"/>
    <n v="24"/>
    <n v="58.25"/>
    <n v="16.824999999999999"/>
    <n v="194.5"/>
    <n v="83.499999999999986"/>
    <n v="194"/>
    <x v="1"/>
    <x v="2"/>
  </r>
  <r>
    <x v="3"/>
    <n v="73.599999999999994"/>
    <n v="58.9"/>
    <n v="52.2"/>
    <n v="6.86"/>
    <n v="47.1"/>
    <n v="0.77"/>
    <n v="20.9"/>
    <n v="81.099999999999994"/>
    <n v="1.24"/>
    <n v="122.6666666666667"/>
    <n v="58.9"/>
    <n v="65.25"/>
    <n v="17.149999999999999"/>
    <n v="117.75"/>
    <n v="38.5"/>
    <n v="123"/>
    <x v="1"/>
    <x v="0"/>
  </r>
  <r>
    <x v="4"/>
    <n v="33.700000000000003"/>
    <n v="128.6"/>
    <n v="32.5"/>
    <n v="3.93"/>
    <n v="46.9"/>
    <n v="0.33"/>
    <n v="17.899999999999999"/>
    <n v="97"/>
    <n v="3.55"/>
    <n v="56.166666666666671"/>
    <n v="128.6"/>
    <n v="40.625"/>
    <n v="9.8250000000000011"/>
    <n v="117.25"/>
    <n v="16.5"/>
    <n v="129"/>
    <x v="1"/>
    <x v="3"/>
  </r>
  <r>
    <x v="0"/>
    <n v="43.2"/>
    <n v="166.9"/>
    <n v="64.8"/>
    <n v="14.92"/>
    <n v="42.3"/>
    <n v="2.0499999999999998"/>
    <n v="10.7"/>
    <n v="41"/>
    <n v="2.7"/>
    <n v="72.000000000000014"/>
    <n v="166.9"/>
    <n v="81"/>
    <n v="37.299999999999997"/>
    <n v="105.75"/>
    <n v="102.5"/>
    <n v="167"/>
    <x v="1"/>
    <x v="3"/>
  </r>
  <r>
    <x v="1"/>
    <n v="87.4"/>
    <n v="81.599999999999994"/>
    <n v="62.7"/>
    <n v="6.1"/>
    <n v="41.3"/>
    <n v="2.27"/>
    <n v="31.4"/>
    <n v="42.1"/>
    <n v="1.23"/>
    <n v="145.66666666666671"/>
    <n v="81.599999999999994"/>
    <n v="78.375"/>
    <n v="15.25"/>
    <n v="103.25"/>
    <n v="113.5"/>
    <n v="146"/>
    <x v="1"/>
    <x v="0"/>
  </r>
  <r>
    <x v="2"/>
    <n v="45.3"/>
    <n v="112.5"/>
    <n v="30.2"/>
    <n v="12.54"/>
    <n v="46.3"/>
    <n v="1.37"/>
    <n v="16.100000000000001"/>
    <n v="81"/>
    <n v="0.2"/>
    <n v="75.5"/>
    <n v="112.5"/>
    <n v="37.75"/>
    <n v="31.349999999999991"/>
    <n v="115.75"/>
    <n v="68.5"/>
    <n v="116"/>
    <x v="1"/>
    <x v="2"/>
  </r>
  <r>
    <x v="3"/>
    <n v="85"/>
    <n v="176.1"/>
    <n v="36.4"/>
    <n v="14.36"/>
    <n v="38.4"/>
    <n v="1.24"/>
    <n v="27.4"/>
    <n v="100"/>
    <n v="4.1100000000000003"/>
    <n v="141.66666666666671"/>
    <n v="176.1"/>
    <n v="45.5"/>
    <n v="35.9"/>
    <n v="96"/>
    <n v="62"/>
    <n v="176"/>
    <x v="1"/>
    <x v="3"/>
  </r>
  <r>
    <x v="4"/>
    <n v="89.1"/>
    <n v="71.8"/>
    <n v="52.7"/>
    <n v="4.33"/>
    <n v="66.599999999999994"/>
    <n v="1.41"/>
    <n v="17.100000000000001"/>
    <n v="61.5"/>
    <n v="1.98"/>
    <n v="148.5"/>
    <n v="71.8"/>
    <n v="65.875"/>
    <n v="10.824999999999999"/>
    <n v="166.5"/>
    <n v="70.5"/>
    <n v="166"/>
    <x v="1"/>
    <x v="2"/>
  </r>
  <r>
    <x v="0"/>
    <n v="74.2"/>
    <n v="78.7"/>
    <n v="52.4"/>
    <n v="13.52"/>
    <n v="44.5"/>
    <n v="1.1100000000000001"/>
    <n v="26.4"/>
    <n v="72.5"/>
    <n v="1.17"/>
    <n v="123.6666666666667"/>
    <n v="78.7"/>
    <n v="65.5"/>
    <n v="33.799999999999997"/>
    <n v="111.25"/>
    <n v="55.500000000000007"/>
    <n v="124"/>
    <x v="1"/>
    <x v="0"/>
  </r>
  <r>
    <x v="1"/>
    <n v="84.8"/>
    <n v="248.8"/>
    <n v="70.599999999999994"/>
    <n v="10.36"/>
    <n v="70"/>
    <n v="1.84"/>
    <n v="30.3"/>
    <n v="23.6"/>
    <n v="0.64"/>
    <n v="141.33333333333329"/>
    <n v="248.8"/>
    <n v="88.25"/>
    <n v="25.9"/>
    <n v="175"/>
    <n v="92"/>
    <n v="249"/>
    <x v="0"/>
    <x v="3"/>
  </r>
  <r>
    <x v="2"/>
    <n v="85.6"/>
    <n v="28.2"/>
    <n v="50.4"/>
    <n v="5.93"/>
    <n v="14.3"/>
    <n v="1.34"/>
    <n v="26.4"/>
    <n v="98"/>
    <n v="1.75"/>
    <n v="142.66666666666671"/>
    <n v="28.2"/>
    <n v="63"/>
    <n v="14.824999999999999"/>
    <n v="35.750000000000007"/>
    <n v="67"/>
    <n v="143"/>
    <x v="1"/>
    <x v="0"/>
  </r>
  <r>
    <x v="3"/>
    <n v="103.2"/>
    <n v="141.1"/>
    <n v="31.8"/>
    <n v="12"/>
    <n v="54.1"/>
    <n v="1.22"/>
    <n v="26.9"/>
    <n v="49.3"/>
    <n v="1.51"/>
    <n v="172"/>
    <n v="141.1"/>
    <n v="39.75"/>
    <n v="30"/>
    <n v="135.25"/>
    <n v="61"/>
    <n v="172"/>
    <x v="1"/>
    <x v="0"/>
  </r>
  <r>
    <x v="4"/>
    <n v="91.1"/>
    <n v="117.2"/>
    <n v="47.7"/>
    <n v="10.34"/>
    <n v="51.3"/>
    <n v="0.38"/>
    <n v="34"/>
    <n v="62.2"/>
    <n v="2.76"/>
    <n v="151.83333333333329"/>
    <n v="117.2"/>
    <n v="59.625000000000007"/>
    <n v="25.85"/>
    <n v="128.25"/>
    <n v="19"/>
    <n v="152"/>
    <x v="1"/>
    <x v="0"/>
  </r>
  <r>
    <x v="0"/>
    <n v="83.9"/>
    <n v="154.30000000000001"/>
    <n v="69.400000000000006"/>
    <n v="12.29"/>
    <n v="66.599999999999994"/>
    <n v="2.31"/>
    <n v="31.2"/>
    <n v="57.1"/>
    <n v="1.1499999999999999"/>
    <n v="139.83333333333329"/>
    <n v="154.30000000000001"/>
    <n v="86.750000000000014"/>
    <n v="30.725000000000001"/>
    <n v="166.5"/>
    <n v="115.5"/>
    <n v="166"/>
    <x v="1"/>
    <x v="2"/>
  </r>
  <r>
    <x v="1"/>
    <n v="137.5"/>
    <n v="132.19999999999999"/>
    <n v="44.4"/>
    <n v="0.5"/>
    <n v="60.6"/>
    <n v="1.61"/>
    <n v="14.4"/>
    <n v="68.2"/>
    <n v="1.9"/>
    <n v="229.16666666666671"/>
    <n v="132.19999999999999"/>
    <n v="55.5"/>
    <n v="1.25"/>
    <n v="151.5"/>
    <n v="80.5"/>
    <n v="229"/>
    <x v="0"/>
    <x v="0"/>
  </r>
  <r>
    <x v="2"/>
    <n v="133.69999999999999"/>
    <n v="81.5"/>
    <n v="34.5"/>
    <n v="3.44"/>
    <n v="68.3"/>
    <n v="0.93"/>
    <n v="19.899999999999999"/>
    <n v="72.7"/>
    <n v="0.84"/>
    <n v="222.83333333333329"/>
    <n v="81.5"/>
    <n v="43.125"/>
    <n v="8.6"/>
    <n v="170.75"/>
    <n v="46.5"/>
    <n v="223"/>
    <x v="0"/>
    <x v="0"/>
  </r>
  <r>
    <x v="3"/>
    <n v="78.8"/>
    <n v="226.9"/>
    <n v="56.3"/>
    <n v="11.19"/>
    <n v="61.8"/>
    <n v="2.23"/>
    <n v="33.5"/>
    <n v="67.900000000000006"/>
    <n v="3.58"/>
    <n v="131.33333333333329"/>
    <n v="226.9"/>
    <n v="70.375"/>
    <n v="27.975000000000001"/>
    <n v="154.5"/>
    <n v="111.5"/>
    <n v="227"/>
    <x v="0"/>
    <x v="3"/>
  </r>
  <r>
    <x v="4"/>
    <n v="36.799999999999997"/>
    <n v="183.2"/>
    <n v="27.4"/>
    <n v="6.78"/>
    <n v="1"/>
    <n v="1.58"/>
    <n v="20.5"/>
    <n v="80"/>
    <n v="3.47"/>
    <n v="61.333333333333329"/>
    <n v="183.2"/>
    <n v="34.249999999999993"/>
    <n v="16.95"/>
    <n v="2.5"/>
    <n v="79"/>
    <n v="183"/>
    <x v="1"/>
    <x v="3"/>
  </r>
  <r>
    <x v="0"/>
    <n v="107.8"/>
    <n v="63.2"/>
    <n v="75.599999999999994"/>
    <n v="21.31"/>
    <n v="68"/>
    <n v="1.93"/>
    <n v="26.2"/>
    <n v="50.6"/>
    <n v="3.41"/>
    <n v="179.66666666666671"/>
    <n v="63.2"/>
    <n v="94.499999999999986"/>
    <n v="53.274999999999999"/>
    <n v="170"/>
    <n v="96.5"/>
    <n v="180"/>
    <x v="1"/>
    <x v="0"/>
  </r>
  <r>
    <x v="1"/>
    <n v="18.5"/>
    <n v="118.7"/>
    <n v="12"/>
    <n v="5.6"/>
    <n v="70.099999999999994"/>
    <n v="1.88"/>
    <n v="25.4"/>
    <n v="63.1"/>
    <n v="0.24"/>
    <n v="30.833333333333339"/>
    <n v="118.7"/>
    <n v="15"/>
    <n v="14"/>
    <n v="175.25"/>
    <n v="94"/>
    <n v="175"/>
    <x v="1"/>
    <x v="2"/>
  </r>
  <r>
    <x v="2"/>
    <n v="46.4"/>
    <n v="75.2"/>
    <n v="30.2"/>
    <n v="10.45"/>
    <n v="17.600000000000001"/>
    <n v="0.8"/>
    <n v="10.4"/>
    <n v="54.7"/>
    <n v="1.19"/>
    <n v="77.333333333333343"/>
    <n v="75.2"/>
    <n v="37.75"/>
    <n v="26.125"/>
    <n v="44.000000000000007"/>
    <n v="40"/>
    <n v="77"/>
    <x v="3"/>
    <x v="0"/>
  </r>
  <r>
    <x v="3"/>
    <n v="62.4"/>
    <n v="62.9"/>
    <n v="47.1"/>
    <n v="7.28"/>
    <n v="81.8"/>
    <n v="1.5"/>
    <n v="12.1"/>
    <n v="37.200000000000003"/>
    <n v="2.57"/>
    <n v="104"/>
    <n v="62.9"/>
    <n v="58.875000000000007"/>
    <n v="18.2"/>
    <n v="204.5"/>
    <n v="75"/>
    <n v="204"/>
    <x v="0"/>
    <x v="2"/>
  </r>
  <r>
    <x v="4"/>
    <n v="35.299999999999997"/>
    <n v="5"/>
    <n v="79.2"/>
    <n v="12.76"/>
    <n v="58.3"/>
    <n v="0.92"/>
    <n v="28"/>
    <n v="47.3"/>
    <n v="3.25"/>
    <n v="58.833333333333329"/>
    <n v="5"/>
    <n v="99"/>
    <n v="31.9"/>
    <n v="145.75"/>
    <n v="46"/>
    <n v="146"/>
    <x v="1"/>
    <x v="2"/>
  </r>
  <r>
    <x v="0"/>
    <n v="37.200000000000003"/>
    <n v="242.6"/>
    <n v="15.6"/>
    <n v="16.29"/>
    <n v="47.1"/>
    <n v="1.04"/>
    <n v="26.2"/>
    <n v="73.2"/>
    <n v="4.1399999999999997"/>
    <n v="62.000000000000007"/>
    <n v="242.6"/>
    <n v="19.5"/>
    <n v="40.724999999999987"/>
    <n v="117.75"/>
    <n v="52.000000000000007"/>
    <n v="243"/>
    <x v="0"/>
    <x v="3"/>
  </r>
  <r>
    <x v="1"/>
    <n v="86.7"/>
    <n v="83.2"/>
    <n v="57.6"/>
    <n v="21.35"/>
    <n v="92.1"/>
    <n v="2.1800000000000002"/>
    <n v="30.6"/>
    <n v="72.599999999999994"/>
    <n v="3.89"/>
    <n v="144.5"/>
    <n v="83.2"/>
    <n v="72.000000000000014"/>
    <n v="53.375000000000007"/>
    <n v="230.25"/>
    <n v="109"/>
    <n v="230"/>
    <x v="0"/>
    <x v="2"/>
  </r>
  <r>
    <x v="2"/>
    <n v="44"/>
    <n v="36.799999999999997"/>
    <n v="44.1"/>
    <n v="3.72"/>
    <n v="12.9"/>
    <n v="0.73"/>
    <n v="42.4"/>
    <n v="62.5"/>
    <n v="2.93"/>
    <n v="73.333333333333329"/>
    <n v="36.799999999999997"/>
    <n v="55.125"/>
    <n v="9.3000000000000007"/>
    <n v="32.25"/>
    <n v="36.5"/>
    <n v="73"/>
    <x v="3"/>
    <x v="0"/>
  </r>
  <r>
    <x v="3"/>
    <n v="23.3"/>
    <n v="9.4"/>
    <n v="28.6"/>
    <n v="15.19"/>
    <n v="48.4"/>
    <n v="1.56"/>
    <n v="30.2"/>
    <n v="49.4"/>
    <n v="4.17"/>
    <n v="38.833333333333343"/>
    <n v="9.4"/>
    <n v="35.750000000000007"/>
    <n v="37.975000000000001"/>
    <n v="121"/>
    <n v="78"/>
    <n v="121"/>
    <x v="1"/>
    <x v="2"/>
  </r>
  <r>
    <x v="4"/>
    <n v="45.1"/>
    <n v="224.8"/>
    <n v="59.2"/>
    <n v="0.5"/>
    <n v="23.4"/>
    <n v="0.14000000000000001"/>
    <n v="33.1"/>
    <n v="59.6"/>
    <n v="0.33"/>
    <n v="75.166666666666671"/>
    <n v="224.8"/>
    <n v="74.000000000000014"/>
    <n v="1.25"/>
    <n v="58.5"/>
    <n v="7.0000000000000009"/>
    <n v="225"/>
    <x v="0"/>
    <x v="3"/>
  </r>
  <r>
    <x v="0"/>
    <n v="82"/>
    <n v="100.9"/>
    <n v="17.600000000000001"/>
    <n v="18.850000000000001"/>
    <n v="49.1"/>
    <n v="1.18"/>
    <n v="22.2"/>
    <n v="32.799999999999997"/>
    <n v="0.93"/>
    <n v="136.66666666666671"/>
    <n v="100.9"/>
    <n v="22"/>
    <n v="47.125"/>
    <n v="122.75"/>
    <n v="59"/>
    <n v="137"/>
    <x v="1"/>
    <x v="0"/>
  </r>
  <r>
    <x v="1"/>
    <n v="123.2"/>
    <n v="114.5"/>
    <n v="56.8"/>
    <n v="0.5"/>
    <n v="8.8000000000000007"/>
    <n v="1.96"/>
    <n v="27.6"/>
    <n v="91.6"/>
    <n v="4.1100000000000003"/>
    <n v="205.33333333333329"/>
    <n v="114.5"/>
    <n v="71"/>
    <n v="1.25"/>
    <n v="22"/>
    <n v="98"/>
    <n v="205"/>
    <x v="0"/>
    <x v="0"/>
  </r>
  <r>
    <x v="2"/>
    <n v="50.4"/>
    <n v="141"/>
    <n v="36.700000000000003"/>
    <n v="17.36"/>
    <n v="65.3"/>
    <n v="1.24"/>
    <n v="26.4"/>
    <n v="86"/>
    <n v="3.2"/>
    <n v="83.999999999999986"/>
    <n v="141"/>
    <n v="45.875000000000007"/>
    <n v="43.4"/>
    <n v="163.25"/>
    <n v="62"/>
    <n v="163"/>
    <x v="1"/>
    <x v="2"/>
  </r>
  <r>
    <x v="3"/>
    <n v="106.8"/>
    <n v="5"/>
    <n v="54.2"/>
    <n v="5.42"/>
    <n v="83.9"/>
    <n v="2.13"/>
    <n v="25.2"/>
    <n v="87.6"/>
    <n v="4.6399999999999997"/>
    <n v="178"/>
    <n v="5"/>
    <n v="67.75"/>
    <n v="13.55"/>
    <n v="209.75"/>
    <n v="106.5"/>
    <n v="210"/>
    <x v="0"/>
    <x v="2"/>
  </r>
  <r>
    <x v="4"/>
    <n v="68.5"/>
    <n v="295.10000000000002"/>
    <n v="48.8"/>
    <n v="7.62"/>
    <n v="67.8"/>
    <n v="1.0900000000000001"/>
    <n v="25.6"/>
    <n v="85.4"/>
    <n v="3.02"/>
    <n v="114.1666666666667"/>
    <n v="295.10000000000002"/>
    <n v="61"/>
    <n v="19.05"/>
    <n v="169.5"/>
    <n v="54.500000000000007"/>
    <n v="295"/>
    <x v="0"/>
    <x v="3"/>
  </r>
  <r>
    <x v="0"/>
    <n v="10.5"/>
    <n v="163.30000000000001"/>
    <n v="35.700000000000003"/>
    <n v="14.18"/>
    <n v="66"/>
    <n v="2.4"/>
    <n v="31.4"/>
    <n v="79.599999999999994"/>
    <n v="1.7"/>
    <n v="17.5"/>
    <n v="163.30000000000001"/>
    <n v="44.625000000000007"/>
    <n v="35.450000000000003"/>
    <n v="165"/>
    <n v="120"/>
    <n v="165"/>
    <x v="1"/>
    <x v="2"/>
  </r>
  <r>
    <x v="1"/>
    <n v="105.1"/>
    <n v="297.60000000000002"/>
    <n v="39"/>
    <n v="21.25"/>
    <n v="32.799999999999997"/>
    <n v="0.86"/>
    <n v="27.1"/>
    <n v="72.900000000000006"/>
    <n v="3.59"/>
    <n v="175.16666666666671"/>
    <n v="297.60000000000002"/>
    <n v="48.75"/>
    <n v="53.125"/>
    <n v="81.999999999999986"/>
    <n v="43"/>
    <n v="298"/>
    <x v="0"/>
    <x v="3"/>
  </r>
  <r>
    <x v="2"/>
    <n v="29.6"/>
    <n v="138.80000000000001"/>
    <n v="29.7"/>
    <n v="0.53"/>
    <n v="15.9"/>
    <n v="0.71"/>
    <n v="28.7"/>
    <n v="80.7"/>
    <n v="0.73"/>
    <n v="49.333333333333343"/>
    <n v="138.80000000000001"/>
    <n v="37.125"/>
    <n v="1.325"/>
    <n v="39.75"/>
    <n v="35.5"/>
    <n v="139"/>
    <x v="1"/>
    <x v="3"/>
  </r>
  <r>
    <x v="3"/>
    <n v="70.599999999999994"/>
    <n v="49.4"/>
    <n v="57.6"/>
    <n v="4.8899999999999997"/>
    <n v="13.7"/>
    <n v="1.68"/>
    <n v="20.9"/>
    <n v="54.3"/>
    <n v="0.2"/>
    <n v="117.6666666666667"/>
    <n v="49.4"/>
    <n v="72.000000000000014"/>
    <n v="12.225"/>
    <n v="34.249999999999993"/>
    <n v="83.999999999999986"/>
    <n v="118"/>
    <x v="1"/>
    <x v="0"/>
  </r>
  <r>
    <x v="4"/>
    <n v="97.2"/>
    <n v="186.2"/>
    <n v="49.6"/>
    <n v="0.5"/>
    <n v="77.3"/>
    <n v="0.88"/>
    <n v="21.8"/>
    <n v="100"/>
    <n v="2.16"/>
    <n v="162"/>
    <n v="186.2"/>
    <n v="62"/>
    <n v="1.25"/>
    <n v="193.25"/>
    <n v="44"/>
    <n v="193"/>
    <x v="1"/>
    <x v="2"/>
  </r>
  <r>
    <x v="0"/>
    <n v="151.4"/>
    <n v="282.89999999999998"/>
    <n v="97.2"/>
    <n v="17.309999999999999"/>
    <n v="51.1"/>
    <n v="2.5099999999999998"/>
    <n v="24.6"/>
    <n v="87.2"/>
    <n v="0.92"/>
    <n v="252.33333333333329"/>
    <n v="282.89999999999998"/>
    <n v="121.5"/>
    <n v="43.274999999999991"/>
    <n v="127.75"/>
    <n v="125.5"/>
    <n v="283"/>
    <x v="0"/>
    <x v="3"/>
  </r>
  <r>
    <x v="1"/>
    <n v="181.3"/>
    <n v="338.7"/>
    <n v="117.9"/>
    <n v="27.17"/>
    <n v="42.4"/>
    <n v="0.16"/>
    <n v="24.5"/>
    <n v="42.2"/>
    <n v="1.62"/>
    <n v="302.16666666666669"/>
    <n v="338.7"/>
    <n v="147.375"/>
    <n v="67.924999999999997"/>
    <n v="106"/>
    <n v="8"/>
    <n v="339"/>
    <x v="2"/>
    <x v="3"/>
  </r>
  <r>
    <x v="2"/>
    <n v="34.5"/>
    <n v="138.9"/>
    <n v="50.3"/>
    <n v="0.5"/>
    <n v="49.2"/>
    <n v="3.85"/>
    <n v="29.2"/>
    <n v="56.3"/>
    <n v="2.4300000000000002"/>
    <n v="57.5"/>
    <n v="138.9"/>
    <n v="62.875"/>
    <n v="1.25"/>
    <n v="123"/>
    <n v="192.5"/>
    <n v="192"/>
    <x v="1"/>
    <x v="4"/>
  </r>
  <r>
    <x v="3"/>
    <n v="75.8"/>
    <n v="200.6"/>
    <n v="70.8"/>
    <n v="6.07"/>
    <n v="73.900000000000006"/>
    <n v="0.49"/>
    <n v="30"/>
    <n v="58.2"/>
    <n v="4.78"/>
    <n v="126.3333333333333"/>
    <n v="200.6"/>
    <n v="88.5"/>
    <n v="15.175000000000001"/>
    <n v="184.75"/>
    <n v="24.5"/>
    <n v="201"/>
    <x v="0"/>
    <x v="3"/>
  </r>
  <r>
    <x v="4"/>
    <n v="123.6"/>
    <n v="173.2"/>
    <n v="70.5"/>
    <n v="14.43"/>
    <n v="11.3"/>
    <n v="1.3"/>
    <n v="12.5"/>
    <n v="43.4"/>
    <n v="3.11"/>
    <n v="206"/>
    <n v="173.2"/>
    <n v="88.125"/>
    <n v="36.075000000000003"/>
    <n v="28.25"/>
    <n v="65"/>
    <n v="206"/>
    <x v="0"/>
    <x v="0"/>
  </r>
  <r>
    <x v="0"/>
    <n v="127"/>
    <n v="5"/>
    <n v="77.8"/>
    <n v="19.899999999999999"/>
    <n v="37.200000000000003"/>
    <n v="1.51"/>
    <n v="22.1"/>
    <n v="50.3"/>
    <n v="1.74"/>
    <n v="211.66666666666671"/>
    <n v="5"/>
    <n v="97.25"/>
    <n v="49.749999999999993"/>
    <n v="93.000000000000014"/>
    <n v="75.5"/>
    <n v="212"/>
    <x v="0"/>
    <x v="0"/>
  </r>
  <r>
    <x v="1"/>
    <n v="130.4"/>
    <n v="516.9"/>
    <n v="60.3"/>
    <n v="12.82"/>
    <n v="43.5"/>
    <n v="1.58"/>
    <n v="32.700000000000003"/>
    <n v="17.3"/>
    <n v="1.86"/>
    <n v="217.33333333333329"/>
    <n v="500"/>
    <n v="75.375"/>
    <n v="32.049999999999997"/>
    <n v="108.75"/>
    <n v="79"/>
    <n v="500"/>
    <x v="2"/>
    <x v="3"/>
  </r>
  <r>
    <x v="2"/>
    <n v="128.5"/>
    <n v="155.6"/>
    <n v="43.4"/>
    <n v="15.51"/>
    <n v="53.6"/>
    <n v="2.02"/>
    <n v="19.399999999999999"/>
    <n v="68.2"/>
    <n v="2.02"/>
    <n v="214.16666666666671"/>
    <n v="155.6"/>
    <n v="54.25"/>
    <n v="38.774999999999999"/>
    <n v="134"/>
    <n v="101"/>
    <n v="214"/>
    <x v="0"/>
    <x v="0"/>
  </r>
  <r>
    <x v="3"/>
    <n v="131.80000000000001"/>
    <n v="334.4"/>
    <n v="2"/>
    <n v="13.69"/>
    <n v="1"/>
    <n v="4.26"/>
    <n v="21.7"/>
    <n v="73.400000000000006"/>
    <n v="2.46"/>
    <n v="219.66666666666671"/>
    <n v="334.4"/>
    <n v="2.5"/>
    <n v="34.225000000000001"/>
    <n v="2.5"/>
    <n v="213"/>
    <n v="334"/>
    <x v="2"/>
    <x v="3"/>
  </r>
  <r>
    <x v="4"/>
    <n v="63.2"/>
    <n v="113.8"/>
    <n v="135"/>
    <n v="22.49"/>
    <n v="87.7"/>
    <n v="2.17"/>
    <n v="27"/>
    <n v="55.2"/>
    <n v="2.66"/>
    <n v="105.3333333333333"/>
    <n v="113.8"/>
    <n v="168.75"/>
    <n v="56.224999999999987"/>
    <n v="219.25"/>
    <n v="108.5"/>
    <n v="219"/>
    <x v="0"/>
    <x v="2"/>
  </r>
  <r>
    <x v="0"/>
    <n v="52.9"/>
    <n v="230.1"/>
    <n v="53.8"/>
    <n v="18.79"/>
    <n v="45.8"/>
    <n v="2.5299999999999998"/>
    <n v="36.700000000000003"/>
    <n v="59.3"/>
    <n v="3.41"/>
    <n v="88.166666666666671"/>
    <n v="230.1"/>
    <n v="67.249999999999986"/>
    <n v="46.974999999999987"/>
    <n v="114.5"/>
    <n v="126.5"/>
    <n v="230"/>
    <x v="0"/>
    <x v="3"/>
  </r>
  <r>
    <x v="1"/>
    <n v="243.1"/>
    <n v="396.8"/>
    <n v="136.1"/>
    <n v="12.93"/>
    <n v="51.5"/>
    <n v="0.82"/>
    <n v="28.5"/>
    <n v="64.900000000000006"/>
    <n v="2.5299999999999998"/>
    <n v="405.16666666666669"/>
    <n v="396.8"/>
    <n v="170.125"/>
    <n v="32.325000000000003"/>
    <n v="128.75"/>
    <n v="40.999999999999993"/>
    <n v="405"/>
    <x v="2"/>
    <x v="0"/>
  </r>
  <r>
    <x v="2"/>
    <n v="138"/>
    <n v="72.3"/>
    <n v="118.1"/>
    <n v="19.010000000000002"/>
    <n v="32.700000000000003"/>
    <n v="1.69"/>
    <n v="28.4"/>
    <n v="87.4"/>
    <n v="2.62"/>
    <n v="230"/>
    <n v="72.3"/>
    <n v="147.625"/>
    <n v="47.525000000000013"/>
    <n v="81.75"/>
    <n v="84.499999999999986"/>
    <n v="230"/>
    <x v="0"/>
    <x v="0"/>
  </r>
  <r>
    <x v="3"/>
    <n v="102.9"/>
    <n v="193.7"/>
    <n v="129"/>
    <n v="9.85"/>
    <n v="35.299999999999997"/>
    <n v="3.32"/>
    <n v="26"/>
    <n v="80.5"/>
    <n v="1.41"/>
    <n v="171.5"/>
    <n v="193.7"/>
    <n v="161.25"/>
    <n v="24.625"/>
    <n v="88.25"/>
    <n v="166"/>
    <n v="194"/>
    <x v="1"/>
    <x v="3"/>
  </r>
  <r>
    <x v="4"/>
    <n v="94.8"/>
    <n v="368"/>
    <n v="55.4"/>
    <n v="12.75"/>
    <n v="46"/>
    <n v="1.07"/>
    <n v="22.1"/>
    <n v="62"/>
    <n v="3.06"/>
    <n v="158"/>
    <n v="368"/>
    <n v="69.249999999999986"/>
    <n v="31.875"/>
    <n v="115"/>
    <n v="53.500000000000007"/>
    <n v="368"/>
    <x v="2"/>
    <x v="3"/>
  </r>
  <r>
    <x v="0"/>
    <n v="181.1"/>
    <n v="391"/>
    <n v="51.3"/>
    <n v="15.74"/>
    <n v="58.8"/>
    <n v="3.88"/>
    <n v="30"/>
    <n v="65.2"/>
    <n v="3.3"/>
    <n v="301.83333333333331"/>
    <n v="391"/>
    <n v="64.125"/>
    <n v="39.35"/>
    <n v="147"/>
    <n v="194"/>
    <n v="391"/>
    <x v="2"/>
    <x v="3"/>
  </r>
  <r>
    <x v="1"/>
    <n v="160.4"/>
    <n v="128.69999999999999"/>
    <n v="97.7"/>
    <n v="30.59"/>
    <n v="39.200000000000003"/>
    <n v="2.56"/>
    <n v="23.3"/>
    <n v="18.399999999999999"/>
    <n v="2.52"/>
    <n v="267.33333333333343"/>
    <n v="128.69999999999999"/>
    <n v="122.125"/>
    <n v="76.474999999999994"/>
    <n v="98"/>
    <n v="128"/>
    <n v="267"/>
    <x v="0"/>
    <x v="0"/>
  </r>
  <r>
    <x v="2"/>
    <n v="105"/>
    <n v="135.69999999999999"/>
    <n v="33.299999999999997"/>
    <n v="5.47"/>
    <n v="50.5"/>
    <n v="3.62"/>
    <n v="34.700000000000003"/>
    <n v="35.799999999999997"/>
    <n v="3.53"/>
    <n v="175"/>
    <n v="135.69999999999999"/>
    <n v="41.624999999999993"/>
    <n v="13.675000000000001"/>
    <n v="126.25"/>
    <n v="181"/>
    <n v="181"/>
    <x v="1"/>
    <x v="4"/>
  </r>
  <r>
    <x v="3"/>
    <n v="64.2"/>
    <n v="136.1"/>
    <n v="57.2"/>
    <n v="18.45"/>
    <n v="57.6"/>
    <n v="1.83"/>
    <n v="24.4"/>
    <n v="68.400000000000006"/>
    <n v="3.18"/>
    <n v="107"/>
    <n v="136.1"/>
    <n v="71.500000000000014"/>
    <n v="46.125"/>
    <n v="144"/>
    <n v="91.5"/>
    <n v="144"/>
    <x v="1"/>
    <x v="2"/>
  </r>
  <r>
    <x v="4"/>
    <n v="167.7"/>
    <n v="75.599999999999994"/>
    <n v="79.900000000000006"/>
    <n v="4.68"/>
    <n v="38.299999999999997"/>
    <n v="1.87"/>
    <n v="24.7"/>
    <n v="45.6"/>
    <n v="1.22"/>
    <n v="279.49999999999989"/>
    <n v="75.599999999999994"/>
    <n v="99.875"/>
    <n v="11.7"/>
    <n v="95.749999999999986"/>
    <n v="93.5"/>
    <n v="279"/>
    <x v="0"/>
    <x v="0"/>
  </r>
  <r>
    <x v="0"/>
    <n v="2"/>
    <n v="206.3"/>
    <n v="66.900000000000006"/>
    <n v="8.5"/>
    <n v="75.599999999999994"/>
    <n v="1.26"/>
    <n v="34.9"/>
    <n v="89.2"/>
    <n v="0.2"/>
    <n v="3.333333333333333"/>
    <n v="206.3"/>
    <n v="83.625"/>
    <n v="21.25"/>
    <n v="189"/>
    <n v="63"/>
    <n v="206"/>
    <x v="0"/>
    <x v="3"/>
  </r>
  <r>
    <x v="1"/>
    <n v="125.5"/>
    <n v="192"/>
    <n v="2"/>
    <n v="1.55"/>
    <n v="66.8"/>
    <n v="4.82"/>
    <n v="31.3"/>
    <n v="65.8"/>
    <n v="2.4700000000000002"/>
    <n v="209.16666666666671"/>
    <n v="192"/>
    <n v="2.5"/>
    <n v="3.875"/>
    <n v="167"/>
    <n v="241"/>
    <n v="241"/>
    <x v="0"/>
    <x v="4"/>
  </r>
  <r>
    <x v="2"/>
    <n v="167.9"/>
    <n v="378.3"/>
    <n v="50.6"/>
    <n v="0.5"/>
    <n v="1"/>
    <n v="3.03"/>
    <n v="24.7"/>
    <n v="63.3"/>
    <n v="0.35"/>
    <n v="279.83333333333331"/>
    <n v="378.3"/>
    <n v="63.25"/>
    <n v="1.25"/>
    <n v="2.5"/>
    <n v="151.5"/>
    <n v="378"/>
    <x v="2"/>
    <x v="3"/>
  </r>
  <r>
    <x v="3"/>
    <n v="59.8"/>
    <n v="163.6"/>
    <n v="78.7"/>
    <n v="9.61"/>
    <n v="12.7"/>
    <n v="1.17"/>
    <n v="33.5"/>
    <n v="64.400000000000006"/>
    <n v="3.23"/>
    <n v="99.666666666666671"/>
    <n v="163.6"/>
    <n v="98.375"/>
    <n v="24.024999999999999"/>
    <n v="31.75"/>
    <n v="58.5"/>
    <n v="164"/>
    <x v="1"/>
    <x v="3"/>
  </r>
  <r>
    <x v="4"/>
    <n v="58.1"/>
    <n v="5"/>
    <n v="60.8"/>
    <n v="6.45"/>
    <n v="48.2"/>
    <n v="5.58"/>
    <n v="29.9"/>
    <n v="100"/>
    <n v="3.68"/>
    <n v="96.833333333333343"/>
    <n v="5"/>
    <n v="76"/>
    <n v="16.125"/>
    <n v="120.5"/>
    <n v="279"/>
    <n v="279"/>
    <x v="0"/>
    <x v="4"/>
  </r>
  <r>
    <x v="0"/>
    <n v="75.599999999999994"/>
    <n v="259.2"/>
    <n v="148.30000000000001"/>
    <n v="31.55"/>
    <n v="26.5"/>
    <n v="2.4900000000000002"/>
    <n v="15"/>
    <n v="74.8"/>
    <n v="4.3600000000000003"/>
    <n v="126"/>
    <n v="259.2"/>
    <n v="185.375"/>
    <n v="78.875"/>
    <n v="66.25"/>
    <n v="124.5"/>
    <n v="259"/>
    <x v="0"/>
    <x v="3"/>
  </r>
  <r>
    <x v="1"/>
    <n v="122.4"/>
    <n v="159.9"/>
    <n v="104.4"/>
    <n v="20.170000000000002"/>
    <n v="47.3"/>
    <n v="2.61"/>
    <n v="23.8"/>
    <n v="77.900000000000006"/>
    <n v="3.38"/>
    <n v="204"/>
    <n v="159.9"/>
    <n v="130.5"/>
    <n v="50.424999999999997"/>
    <n v="118.25"/>
    <n v="130.5"/>
    <n v="204"/>
    <x v="0"/>
    <x v="0"/>
  </r>
  <r>
    <x v="2"/>
    <n v="46.4"/>
    <n v="90.2"/>
    <n v="60.7"/>
    <n v="17.760000000000002"/>
    <n v="37.4"/>
    <n v="1.24"/>
    <n v="26.8"/>
    <n v="54"/>
    <n v="3.56"/>
    <n v="77.333333333333343"/>
    <n v="90.2"/>
    <n v="75.875"/>
    <n v="44.4"/>
    <n v="93.5"/>
    <n v="62"/>
    <n v="94"/>
    <x v="3"/>
    <x v="2"/>
  </r>
  <r>
    <x v="3"/>
    <n v="112"/>
    <n v="161.69999999999999"/>
    <n v="79.400000000000006"/>
    <n v="23.32"/>
    <n v="23.2"/>
    <n v="2.31"/>
    <n v="24.5"/>
    <n v="67.7"/>
    <n v="1.71"/>
    <n v="186.66666666666671"/>
    <n v="161.69999999999999"/>
    <n v="99.25"/>
    <n v="58.3"/>
    <n v="57.999999999999993"/>
    <n v="115.5"/>
    <n v="187"/>
    <x v="1"/>
    <x v="0"/>
  </r>
  <r>
    <x v="4"/>
    <n v="111.4"/>
    <n v="328.2"/>
    <n v="46.2"/>
    <n v="2.38"/>
    <n v="7.6"/>
    <n v="0.88"/>
    <n v="29.2"/>
    <n v="34.700000000000003"/>
    <n v="2.64"/>
    <n v="185.66666666666671"/>
    <n v="328.2"/>
    <n v="57.75"/>
    <n v="5.9499999999999993"/>
    <n v="19"/>
    <n v="44"/>
    <n v="328"/>
    <x v="2"/>
    <x v="3"/>
  </r>
  <r>
    <x v="0"/>
    <n v="144.5"/>
    <n v="266.8"/>
    <n v="68.599999999999994"/>
    <n v="16.48"/>
    <n v="44.2"/>
    <n v="1.96"/>
    <n v="23.5"/>
    <n v="100"/>
    <n v="3.47"/>
    <n v="240.83333333333329"/>
    <n v="266.8"/>
    <n v="85.75"/>
    <n v="41.2"/>
    <n v="110.5"/>
    <n v="98"/>
    <n v="267"/>
    <x v="0"/>
    <x v="3"/>
  </r>
  <r>
    <x v="1"/>
    <n v="268.8"/>
    <n v="180.4"/>
    <n v="86.6"/>
    <n v="2.68"/>
    <n v="22.2"/>
    <n v="4.68"/>
    <n v="21.3"/>
    <n v="94.5"/>
    <n v="1.01"/>
    <n v="448"/>
    <n v="180.4"/>
    <n v="108.25"/>
    <n v="6.7"/>
    <n v="55.5"/>
    <n v="234"/>
    <n v="448"/>
    <x v="2"/>
    <x v="0"/>
  </r>
  <r>
    <x v="2"/>
    <n v="43.2"/>
    <n v="151.30000000000001"/>
    <n v="66.5"/>
    <n v="19.18"/>
    <n v="43.8"/>
    <n v="1.44"/>
    <n v="24.1"/>
    <n v="54.3"/>
    <n v="1.4"/>
    <n v="72.000000000000014"/>
    <n v="151.30000000000001"/>
    <n v="83.125"/>
    <n v="47.95"/>
    <n v="109.5"/>
    <n v="72"/>
    <n v="151"/>
    <x v="1"/>
    <x v="3"/>
  </r>
  <r>
    <x v="3"/>
    <n v="53.4"/>
    <n v="290.7"/>
    <n v="13.5"/>
    <n v="25.74"/>
    <n v="28.3"/>
    <n v="1.18"/>
    <n v="30.2"/>
    <n v="86.7"/>
    <n v="3.84"/>
    <n v="89"/>
    <n v="290.7"/>
    <n v="16.875"/>
    <n v="64.349999999999994"/>
    <n v="70.750000000000014"/>
    <n v="59"/>
    <n v="291"/>
    <x v="0"/>
    <x v="3"/>
  </r>
  <r>
    <x v="4"/>
    <n v="132.1"/>
    <n v="326"/>
    <n v="18.8"/>
    <n v="9.49"/>
    <n v="17"/>
    <n v="3.41"/>
    <n v="22.3"/>
    <n v="75.2"/>
    <n v="3.64"/>
    <n v="220.16666666666671"/>
    <n v="326"/>
    <n v="23.5"/>
    <n v="23.725000000000001"/>
    <n v="42.5"/>
    <n v="170.5"/>
    <n v="326"/>
    <x v="2"/>
    <x v="3"/>
  </r>
  <r>
    <x v="0"/>
    <n v="62.8"/>
    <n v="156"/>
    <n v="130.4"/>
    <n v="7.59"/>
    <n v="44.6"/>
    <n v="1.34"/>
    <n v="22.8"/>
    <n v="59.2"/>
    <n v="1.56"/>
    <n v="104.6666666666667"/>
    <n v="156"/>
    <n v="163"/>
    <n v="18.975000000000001"/>
    <n v="111.5"/>
    <n v="67"/>
    <n v="163"/>
    <x v="1"/>
    <x v="1"/>
  </r>
  <r>
    <x v="1"/>
    <n v="62.4"/>
    <n v="274.39999999999998"/>
    <n v="56.2"/>
    <n v="7.89"/>
    <n v="18.600000000000001"/>
    <n v="2.31"/>
    <n v="31.6"/>
    <n v="87.1"/>
    <n v="1.63"/>
    <n v="104"/>
    <n v="274.39999999999998"/>
    <n v="70.25"/>
    <n v="19.725000000000001"/>
    <n v="46.500000000000007"/>
    <n v="115.5"/>
    <n v="274"/>
    <x v="0"/>
    <x v="3"/>
  </r>
  <r>
    <x v="2"/>
    <n v="189.3"/>
    <n v="90.8"/>
    <n v="101.3"/>
    <n v="6.68"/>
    <n v="15.6"/>
    <n v="1.1399999999999999"/>
    <n v="24.6"/>
    <n v="70.400000000000006"/>
    <n v="3.3"/>
    <n v="315.5"/>
    <n v="90.8"/>
    <n v="126.625"/>
    <n v="16.7"/>
    <n v="39"/>
    <n v="56.999999999999993"/>
    <n v="316"/>
    <x v="2"/>
    <x v="0"/>
  </r>
  <r>
    <x v="3"/>
    <n v="50.7"/>
    <n v="97"/>
    <n v="42.7"/>
    <n v="11.91"/>
    <n v="31.3"/>
    <n v="1.01"/>
    <n v="26.9"/>
    <n v="100"/>
    <n v="1.89"/>
    <n v="84.5"/>
    <n v="97"/>
    <n v="53.375000000000007"/>
    <n v="29.774999999999999"/>
    <n v="78.25"/>
    <n v="50.5"/>
    <n v="97"/>
    <x v="3"/>
    <x v="3"/>
  </r>
  <r>
    <x v="4"/>
    <n v="82.7"/>
    <n v="270.3"/>
    <n v="59.5"/>
    <n v="19.97"/>
    <n v="21.8"/>
    <n v="4.05"/>
    <n v="27.4"/>
    <n v="48.8"/>
    <n v="2.29"/>
    <n v="137.83333333333329"/>
    <n v="270.3"/>
    <n v="74.375"/>
    <n v="49.924999999999997"/>
    <n v="54.5"/>
    <n v="202.5"/>
    <n v="270"/>
    <x v="0"/>
    <x v="3"/>
  </r>
  <r>
    <x v="0"/>
    <n v="82"/>
    <n v="372.4"/>
    <n v="36.1"/>
    <n v="8.57"/>
    <n v="26.9"/>
    <n v="2.19"/>
    <n v="23.1"/>
    <n v="33.200000000000003"/>
    <n v="2.02"/>
    <n v="136.66666666666671"/>
    <n v="372.4"/>
    <n v="45.125"/>
    <n v="21.425000000000001"/>
    <n v="67.249999999999986"/>
    <n v="109.5"/>
    <n v="372"/>
    <x v="2"/>
    <x v="3"/>
  </r>
  <r>
    <x v="1"/>
    <n v="114"/>
    <n v="164.6"/>
    <n v="117.5"/>
    <n v="25.19"/>
    <n v="42.8"/>
    <n v="2.68"/>
    <n v="9.9"/>
    <n v="52.4"/>
    <n v="3.71"/>
    <n v="190"/>
    <n v="164.6"/>
    <n v="146.875"/>
    <n v="62.975000000000001"/>
    <n v="107"/>
    <n v="134"/>
    <n v="190"/>
    <x v="1"/>
    <x v="0"/>
  </r>
  <r>
    <x v="2"/>
    <n v="71.900000000000006"/>
    <n v="115.2"/>
    <n v="137.6"/>
    <n v="25.98"/>
    <n v="44.2"/>
    <n v="2.86"/>
    <n v="9.4"/>
    <n v="45.8"/>
    <n v="1.94"/>
    <n v="119.8333333333333"/>
    <n v="115.2"/>
    <n v="172"/>
    <n v="64.95"/>
    <n v="110.5"/>
    <n v="143"/>
    <n v="172"/>
    <x v="1"/>
    <x v="1"/>
  </r>
  <r>
    <x v="3"/>
    <n v="84.7"/>
    <n v="145"/>
    <n v="2"/>
    <n v="15.89"/>
    <n v="48.2"/>
    <n v="3.46"/>
    <n v="19.5"/>
    <n v="44.3"/>
    <n v="0.2"/>
    <n v="141.16666666666671"/>
    <n v="145"/>
    <n v="2.5"/>
    <n v="39.725000000000001"/>
    <n v="120.5"/>
    <n v="173"/>
    <n v="173"/>
    <x v="1"/>
    <x v="4"/>
  </r>
  <r>
    <x v="4"/>
    <n v="90.1"/>
    <n v="306.39999999999998"/>
    <n v="57.7"/>
    <n v="32.94"/>
    <n v="33.200000000000003"/>
    <n v="2.27"/>
    <n v="15.5"/>
    <n v="65.2"/>
    <n v="0.62"/>
    <n v="150.16666666666671"/>
    <n v="306.39999999999998"/>
    <n v="72.125000000000014"/>
    <n v="82.35"/>
    <n v="83"/>
    <n v="113.5"/>
    <n v="306"/>
    <x v="2"/>
    <x v="3"/>
  </r>
  <r>
    <x v="0"/>
    <n v="148.69999999999999"/>
    <n v="300.8"/>
    <n v="132.80000000000001"/>
    <n v="5.34"/>
    <n v="45.6"/>
    <n v="2.83"/>
    <n v="28.1"/>
    <n v="44.4"/>
    <n v="0.2"/>
    <n v="247.83333333333329"/>
    <n v="300.8"/>
    <n v="166"/>
    <n v="13.35"/>
    <n v="114"/>
    <n v="141.5"/>
    <n v="301"/>
    <x v="2"/>
    <x v="3"/>
  </r>
  <r>
    <x v="1"/>
    <n v="140.80000000000001"/>
    <n v="221.7"/>
    <n v="67.3"/>
    <n v="23.64"/>
    <n v="43.7"/>
    <n v="0.82"/>
    <n v="11.5"/>
    <n v="39.700000000000003"/>
    <n v="5.37"/>
    <n v="234.66666666666671"/>
    <n v="221.7"/>
    <n v="84.124999999999986"/>
    <n v="59.1"/>
    <n v="109.25"/>
    <n v="40.999999999999993"/>
    <n v="235"/>
    <x v="0"/>
    <x v="0"/>
  </r>
  <r>
    <x v="2"/>
    <n v="124.2"/>
    <n v="199.6"/>
    <n v="62.9"/>
    <n v="10.28"/>
    <n v="59.1"/>
    <n v="1.38"/>
    <n v="29"/>
    <n v="53.7"/>
    <n v="4.83"/>
    <n v="207"/>
    <n v="199.6"/>
    <n v="78.625"/>
    <n v="25.7"/>
    <n v="147.75"/>
    <n v="68.999999999999986"/>
    <n v="207"/>
    <x v="0"/>
    <x v="0"/>
  </r>
  <r>
    <x v="3"/>
    <n v="131.6"/>
    <n v="311.60000000000002"/>
    <n v="53.3"/>
    <n v="21.27"/>
    <n v="29"/>
    <n v="2.0299999999999998"/>
    <n v="36.4"/>
    <n v="41.2"/>
    <n v="2.74"/>
    <n v="219.33333333333329"/>
    <n v="311.60000000000002"/>
    <n v="66.624999999999986"/>
    <n v="53.174999999999997"/>
    <n v="72.5"/>
    <n v="101.5"/>
    <n v="312"/>
    <x v="2"/>
    <x v="3"/>
  </r>
  <r>
    <x v="4"/>
    <n v="128.69999999999999"/>
    <n v="266.10000000000002"/>
    <n v="63.3"/>
    <n v="32.44"/>
    <n v="7.6"/>
    <n v="3.65"/>
    <n v="33.5"/>
    <n v="94.2"/>
    <n v="1.0900000000000001"/>
    <n v="214.5"/>
    <n v="266.10000000000002"/>
    <n v="79.125"/>
    <n v="81.099999999999994"/>
    <n v="19"/>
    <n v="182.5"/>
    <n v="266"/>
    <x v="0"/>
    <x v="3"/>
  </r>
  <r>
    <x v="0"/>
    <n v="62.4"/>
    <n v="385.5"/>
    <n v="13.7"/>
    <n v="0.5"/>
    <n v="28.8"/>
    <n v="2.42"/>
    <n v="36.1"/>
    <n v="56.7"/>
    <n v="1.77"/>
    <n v="104"/>
    <n v="385.5"/>
    <n v="17.125"/>
    <n v="1.25"/>
    <n v="72.000000000000014"/>
    <n v="121"/>
    <n v="386"/>
    <x v="2"/>
    <x v="3"/>
  </r>
  <r>
    <x v="1"/>
    <n v="138.69999999999999"/>
    <n v="296.39999999999998"/>
    <n v="107.6"/>
    <n v="14.22"/>
    <n v="1"/>
    <n v="1.3"/>
    <n v="34.9"/>
    <n v="63.4"/>
    <n v="2.11"/>
    <n v="231.16666666666671"/>
    <n v="296.39999999999998"/>
    <n v="134.5"/>
    <n v="35.549999999999997"/>
    <n v="2.5"/>
    <n v="65"/>
    <n v="296"/>
    <x v="0"/>
    <x v="3"/>
  </r>
  <r>
    <x v="2"/>
    <n v="142.19999999999999"/>
    <n v="79.3"/>
    <n v="61.5"/>
    <n v="13.21"/>
    <n v="24.8"/>
    <n v="1.92"/>
    <n v="23.7"/>
    <n v="34.799999999999997"/>
    <n v="2.72"/>
    <n v="237"/>
    <n v="79.3"/>
    <n v="76.875"/>
    <n v="33.024999999999999"/>
    <n v="62"/>
    <n v="96"/>
    <n v="237"/>
    <x v="0"/>
    <x v="0"/>
  </r>
  <r>
    <x v="3"/>
    <n v="32.200000000000003"/>
    <n v="207.9"/>
    <n v="116"/>
    <n v="10.55"/>
    <n v="9.6"/>
    <n v="1.8"/>
    <n v="19.2"/>
    <n v="70.7"/>
    <n v="2.3199999999999998"/>
    <n v="53.666666666666671"/>
    <n v="207.9"/>
    <n v="145"/>
    <n v="26.375"/>
    <n v="24"/>
    <n v="90"/>
    <n v="208"/>
    <x v="0"/>
    <x v="3"/>
  </r>
  <r>
    <x v="4"/>
    <n v="195.9"/>
    <n v="334"/>
    <n v="73.8"/>
    <n v="20.38"/>
    <n v="29.9"/>
    <n v="2.15"/>
    <n v="22.5"/>
    <n v="73.8"/>
    <n v="4.72"/>
    <n v="326.5"/>
    <n v="334"/>
    <n v="92.25"/>
    <n v="50.95"/>
    <n v="74.75"/>
    <n v="107.5"/>
    <n v="334"/>
    <x v="2"/>
    <x v="3"/>
  </r>
  <r>
    <x v="0"/>
    <n v="154.5"/>
    <n v="322.60000000000002"/>
    <n v="116.8"/>
    <n v="19.79"/>
    <n v="11.9"/>
    <n v="4.09"/>
    <n v="37.6"/>
    <n v="55.8"/>
    <n v="2.06"/>
    <n v="257.5"/>
    <n v="322.60000000000002"/>
    <n v="146"/>
    <n v="49.475000000000001"/>
    <n v="29.75"/>
    <n v="204.5"/>
    <n v="323"/>
    <x v="2"/>
    <x v="3"/>
  </r>
  <r>
    <x v="1"/>
    <n v="156.69999999999999"/>
    <n v="306.10000000000002"/>
    <n v="81.900000000000006"/>
    <n v="3.5"/>
    <n v="53.6"/>
    <n v="3.06"/>
    <n v="30.1"/>
    <n v="66.3"/>
    <n v="2.17"/>
    <n v="261.16666666666669"/>
    <n v="306.10000000000002"/>
    <n v="102.375"/>
    <n v="8.75"/>
    <n v="134"/>
    <n v="153"/>
    <n v="306"/>
    <x v="2"/>
    <x v="3"/>
  </r>
  <r>
    <x v="2"/>
    <n v="136.5"/>
    <n v="188.4"/>
    <n v="54.3"/>
    <n v="10.79"/>
    <n v="1"/>
    <n v="1.66"/>
    <n v="29.8"/>
    <n v="66.099999999999994"/>
    <n v="4.32"/>
    <n v="227.5"/>
    <n v="188.4"/>
    <n v="67.874999999999986"/>
    <n v="26.975000000000001"/>
    <n v="2.5"/>
    <n v="82.999999999999986"/>
    <n v="228"/>
    <x v="0"/>
    <x v="0"/>
  </r>
  <r>
    <x v="3"/>
    <n v="83.4"/>
    <n v="238.8"/>
    <n v="97.4"/>
    <n v="31.54"/>
    <n v="39.299999999999997"/>
    <n v="0.92"/>
    <n v="30.9"/>
    <n v="93.6"/>
    <n v="2.11"/>
    <n v="139"/>
    <n v="238.8"/>
    <n v="121.75"/>
    <n v="78.850000000000009"/>
    <n v="98.249999999999986"/>
    <n v="46"/>
    <n v="239"/>
    <x v="0"/>
    <x v="3"/>
  </r>
  <r>
    <x v="4"/>
    <n v="150"/>
    <n v="341"/>
    <n v="115"/>
    <n v="15.18"/>
    <n v="22.3"/>
    <n v="2.0299999999999998"/>
    <n v="28.2"/>
    <n v="76.3"/>
    <n v="3.4"/>
    <n v="250"/>
    <n v="341"/>
    <n v="143.75"/>
    <n v="37.950000000000003"/>
    <n v="55.75"/>
    <n v="101.5"/>
    <n v="341"/>
    <x v="2"/>
    <x v="3"/>
  </r>
  <r>
    <x v="0"/>
    <n v="89.4"/>
    <n v="282.10000000000002"/>
    <n v="114.5"/>
    <n v="18.21"/>
    <n v="19.8"/>
    <n v="2.0099999999999998"/>
    <n v="31.6"/>
    <n v="35.1"/>
    <n v="0.2"/>
    <n v="149"/>
    <n v="282.10000000000002"/>
    <n v="143.125"/>
    <n v="45.525000000000013"/>
    <n v="49.5"/>
    <n v="100.5"/>
    <n v="282"/>
    <x v="0"/>
    <x v="3"/>
  </r>
  <r>
    <x v="1"/>
    <n v="210.5"/>
    <n v="301.39999999999998"/>
    <n v="114.3"/>
    <n v="5.23"/>
    <n v="65.7"/>
    <n v="2.73"/>
    <n v="13.9"/>
    <n v="85.6"/>
    <n v="2.69"/>
    <n v="350.83333333333331"/>
    <n v="301.39999999999998"/>
    <n v="142.875"/>
    <n v="13.074999999999999"/>
    <n v="164.25"/>
    <n v="136.5"/>
    <n v="351"/>
    <x v="2"/>
    <x v="0"/>
  </r>
  <r>
    <x v="2"/>
    <n v="73.099999999999994"/>
    <n v="147.9"/>
    <n v="7.1"/>
    <n v="16.670000000000002"/>
    <n v="39.799999999999997"/>
    <n v="1.65"/>
    <n v="33.9"/>
    <n v="35.1"/>
    <n v="1.78"/>
    <n v="121.8333333333333"/>
    <n v="147.9"/>
    <n v="8.875"/>
    <n v="41.674999999999997"/>
    <n v="99.499999999999986"/>
    <n v="82.499999999999986"/>
    <n v="148"/>
    <x v="1"/>
    <x v="3"/>
  </r>
  <r>
    <x v="3"/>
    <n v="55.2"/>
    <n v="165.2"/>
    <n v="74.2"/>
    <n v="16.239999999999998"/>
    <n v="28.2"/>
    <n v="1.08"/>
    <n v="36.799999999999997"/>
    <n v="100"/>
    <n v="2.67"/>
    <n v="92"/>
    <n v="165.2"/>
    <n v="92.75"/>
    <n v="40.599999999999987"/>
    <n v="70.5"/>
    <n v="54.000000000000007"/>
    <n v="165"/>
    <x v="1"/>
    <x v="3"/>
  </r>
  <r>
    <x v="4"/>
    <n v="65.599999999999994"/>
    <n v="367"/>
    <n v="28.3"/>
    <n v="11.13"/>
    <n v="22.4"/>
    <n v="0.89"/>
    <n v="23"/>
    <n v="44.4"/>
    <n v="3.02"/>
    <n v="109.3333333333333"/>
    <n v="367"/>
    <n v="35.375000000000007"/>
    <n v="27.824999999999999"/>
    <n v="55.999999999999993"/>
    <n v="44.5"/>
    <n v="367"/>
    <x v="2"/>
    <x v="3"/>
  </r>
  <r>
    <x v="0"/>
    <n v="111.9"/>
    <n v="152.19999999999999"/>
    <n v="69.2"/>
    <n v="12.6"/>
    <n v="62.4"/>
    <n v="2.04"/>
    <n v="30.8"/>
    <n v="70.5"/>
    <n v="3.19"/>
    <n v="186.5"/>
    <n v="152.19999999999999"/>
    <n v="86.500000000000014"/>
    <n v="31.5"/>
    <n v="156"/>
    <n v="102"/>
    <n v="186"/>
    <x v="1"/>
    <x v="0"/>
  </r>
  <r>
    <x v="1"/>
    <n v="203.3"/>
    <n v="105.7"/>
    <n v="71.099999999999994"/>
    <n v="33.630000000000003"/>
    <n v="37.799999999999997"/>
    <n v="0.05"/>
    <n v="23.6"/>
    <n v="62.4"/>
    <n v="0.2"/>
    <n v="338.83333333333343"/>
    <n v="105.7"/>
    <n v="88.875"/>
    <n v="84.075000000000017"/>
    <n v="94.499999999999986"/>
    <n v="2.5"/>
    <n v="339"/>
    <x v="2"/>
    <x v="0"/>
  </r>
  <r>
    <x v="2"/>
    <n v="152"/>
    <n v="117.3"/>
    <n v="78.400000000000006"/>
    <n v="10.44"/>
    <n v="6.7"/>
    <n v="0.85"/>
    <n v="18.5"/>
    <n v="79.5"/>
    <n v="2.3199999999999998"/>
    <n v="253.33333333333329"/>
    <n v="117.3"/>
    <n v="98"/>
    <n v="26.1"/>
    <n v="16.75"/>
    <n v="42.499999999999993"/>
    <n v="253"/>
    <x v="0"/>
    <x v="0"/>
  </r>
  <r>
    <x v="3"/>
    <n v="71"/>
    <n v="102.3"/>
    <n v="110.3"/>
    <n v="24.51"/>
    <n v="62.7"/>
    <n v="2.39"/>
    <n v="27"/>
    <n v="38.1"/>
    <n v="2.21"/>
    <n v="118.3333333333333"/>
    <n v="102.3"/>
    <n v="137.875"/>
    <n v="61.275000000000013"/>
    <n v="156.75"/>
    <n v="119.5"/>
    <n v="157"/>
    <x v="1"/>
    <x v="2"/>
  </r>
  <r>
    <x v="4"/>
    <n v="69.5"/>
    <n v="18.399999999999999"/>
    <n v="116.4"/>
    <n v="7.96"/>
    <n v="69.2"/>
    <n v="3.04"/>
    <n v="28.9"/>
    <n v="71"/>
    <n v="2.2599999999999998"/>
    <n v="115.8333333333333"/>
    <n v="18.399999999999999"/>
    <n v="145.5"/>
    <n v="19.899999999999999"/>
    <n v="173"/>
    <n v="152"/>
    <n v="173"/>
    <x v="1"/>
    <x v="2"/>
  </r>
  <r>
    <x v="0"/>
    <n v="213"/>
    <n v="225.6"/>
    <n v="93.9"/>
    <n v="8.75"/>
    <n v="17.3"/>
    <n v="2.73"/>
    <n v="26.5"/>
    <n v="45.8"/>
    <n v="0.77"/>
    <n v="355"/>
    <n v="225.6"/>
    <n v="117.375"/>
    <n v="21.875"/>
    <n v="43.250000000000007"/>
    <n v="136.5"/>
    <n v="355"/>
    <x v="2"/>
    <x v="0"/>
  </r>
  <r>
    <x v="1"/>
    <n v="43.8"/>
    <n v="383.5"/>
    <n v="65.5"/>
    <n v="12.61"/>
    <n v="85.8"/>
    <n v="1.05"/>
    <n v="19.899999999999999"/>
    <n v="46.2"/>
    <n v="4.4400000000000004"/>
    <n v="73"/>
    <n v="383.5"/>
    <n v="81.875"/>
    <n v="31.524999999999999"/>
    <n v="214.5"/>
    <n v="52.500000000000007"/>
    <n v="384"/>
    <x v="2"/>
    <x v="3"/>
  </r>
  <r>
    <x v="2"/>
    <n v="182.1"/>
    <n v="250.9"/>
    <n v="92.2"/>
    <n v="7.75"/>
    <n v="75.8"/>
    <n v="2.0699999999999998"/>
    <n v="31"/>
    <n v="58.1"/>
    <n v="2.1800000000000002"/>
    <n v="303.5"/>
    <n v="250.9"/>
    <n v="115.25"/>
    <n v="19.375"/>
    <n v="189.5"/>
    <n v="103.5"/>
    <n v="304"/>
    <x v="2"/>
    <x v="0"/>
  </r>
  <r>
    <x v="3"/>
    <n v="175.8"/>
    <n v="243.8"/>
    <n v="118.4"/>
    <n v="14.84"/>
    <n v="16.899999999999999"/>
    <n v="1.36"/>
    <n v="25.7"/>
    <n v="48.7"/>
    <n v="1.17"/>
    <n v="293.00000000000011"/>
    <n v="243.8"/>
    <n v="148"/>
    <n v="37.1"/>
    <n v="42.249999999999993"/>
    <n v="68"/>
    <n v="293"/>
    <x v="0"/>
    <x v="0"/>
  </r>
  <r>
    <x v="4"/>
    <n v="169"/>
    <n v="153.69999999999999"/>
    <n v="84.1"/>
    <n v="16.690000000000001"/>
    <n v="25"/>
    <n v="3.64"/>
    <n v="17.2"/>
    <n v="64.7"/>
    <n v="3.3"/>
    <n v="281.66666666666669"/>
    <n v="153.69999999999999"/>
    <n v="105.125"/>
    <n v="41.725000000000009"/>
    <n v="62.5"/>
    <n v="182"/>
    <n v="282"/>
    <x v="0"/>
    <x v="0"/>
  </r>
  <r>
    <x v="0"/>
    <n v="107.4"/>
    <n v="77.599999999999994"/>
    <n v="114.8"/>
    <n v="21.56"/>
    <n v="23.9"/>
    <n v="2.99"/>
    <n v="27.6"/>
    <n v="36.9"/>
    <n v="1.48"/>
    <n v="179"/>
    <n v="77.599999999999994"/>
    <n v="143.5"/>
    <n v="53.9"/>
    <n v="59.75"/>
    <n v="149.5"/>
    <n v="179"/>
    <x v="1"/>
    <x v="0"/>
  </r>
  <r>
    <x v="1"/>
    <n v="188.3"/>
    <n v="277.10000000000002"/>
    <n v="67.400000000000006"/>
    <n v="7.42"/>
    <n v="30.5"/>
    <n v="1.87"/>
    <n v="19.100000000000001"/>
    <n v="28.6"/>
    <n v="3.87"/>
    <n v="313.83333333333343"/>
    <n v="277.10000000000002"/>
    <n v="84.25"/>
    <n v="18.55"/>
    <n v="76.25"/>
    <n v="93.5"/>
    <n v="314"/>
    <x v="2"/>
    <x v="0"/>
  </r>
  <r>
    <x v="2"/>
    <n v="135.5"/>
    <n v="66.3"/>
    <n v="72.5"/>
    <n v="5.3"/>
    <n v="28.6"/>
    <n v="1.51"/>
    <n v="22"/>
    <n v="96.1"/>
    <n v="1.97"/>
    <n v="225.83333333333329"/>
    <n v="66.3"/>
    <n v="90.625"/>
    <n v="13.25"/>
    <n v="71.500000000000014"/>
    <n v="75.5"/>
    <n v="226"/>
    <x v="0"/>
    <x v="0"/>
  </r>
  <r>
    <x v="3"/>
    <n v="57.2"/>
    <n v="118.8"/>
    <n v="105.4"/>
    <n v="0.5"/>
    <n v="18.8"/>
    <n v="3.31"/>
    <n v="26.7"/>
    <n v="63.5"/>
    <n v="5.0599999999999996"/>
    <n v="95.333333333333343"/>
    <n v="118.8"/>
    <n v="131.75"/>
    <n v="1.25"/>
    <n v="47"/>
    <n v="165.5"/>
    <n v="166"/>
    <x v="1"/>
    <x v="4"/>
  </r>
  <r>
    <x v="4"/>
    <n v="118.6"/>
    <n v="136.4"/>
    <n v="69.3"/>
    <n v="4.09"/>
    <n v="70.7"/>
    <n v="2.72"/>
    <n v="32.9"/>
    <n v="81.8"/>
    <n v="2.5"/>
    <n v="197.66666666666671"/>
    <n v="136.4"/>
    <n v="86.625"/>
    <n v="10.225"/>
    <n v="176.75"/>
    <n v="136"/>
    <n v="198"/>
    <x v="1"/>
    <x v="0"/>
  </r>
  <r>
    <x v="0"/>
    <n v="58.2"/>
    <n v="215.1"/>
    <n v="50.7"/>
    <n v="16.239999999999998"/>
    <n v="70.7"/>
    <n v="2.02"/>
    <n v="26"/>
    <n v="58.3"/>
    <n v="3.46"/>
    <n v="97"/>
    <n v="215.1"/>
    <n v="63.375"/>
    <n v="40.599999999999987"/>
    <n v="176.75"/>
    <n v="101"/>
    <n v="215"/>
    <x v="0"/>
    <x v="3"/>
  </r>
  <r>
    <x v="1"/>
    <n v="79.900000000000006"/>
    <n v="5"/>
    <n v="108.8"/>
    <n v="25.88"/>
    <n v="57.6"/>
    <n v="1.63"/>
    <n v="17.100000000000001"/>
    <n v="68.900000000000006"/>
    <n v="2.67"/>
    <n v="133.16666666666671"/>
    <n v="5"/>
    <n v="136"/>
    <n v="64.699999999999989"/>
    <n v="144"/>
    <n v="81.499999999999986"/>
    <n v="144"/>
    <x v="1"/>
    <x v="2"/>
  </r>
  <r>
    <x v="2"/>
    <n v="85.5"/>
    <n v="348.6"/>
    <n v="39.6"/>
    <n v="25.65"/>
    <n v="34.9"/>
    <n v="0.15"/>
    <n v="23.7"/>
    <n v="77.3"/>
    <n v="2.06"/>
    <n v="142.5"/>
    <n v="348.6"/>
    <n v="49.5"/>
    <n v="64.125"/>
    <n v="87.25"/>
    <n v="7.5"/>
    <n v="349"/>
    <x v="2"/>
    <x v="3"/>
  </r>
  <r>
    <x v="3"/>
    <n v="25.2"/>
    <n v="176.2"/>
    <n v="44.6"/>
    <n v="16.73"/>
    <n v="53.4"/>
    <n v="0.91"/>
    <n v="20.100000000000001"/>
    <n v="73.599999999999994"/>
    <n v="1.47"/>
    <n v="41.999999999999993"/>
    <n v="176.2"/>
    <n v="55.75"/>
    <n v="41.825000000000003"/>
    <n v="133.5"/>
    <n v="45.5"/>
    <n v="176"/>
    <x v="1"/>
    <x v="3"/>
  </r>
  <r>
    <x v="4"/>
    <n v="48.5"/>
    <n v="86.7"/>
    <n v="91.6"/>
    <n v="16.8"/>
    <n v="22.7"/>
    <n v="2.12"/>
    <n v="35.700000000000003"/>
    <n v="42.5"/>
    <n v="0.66"/>
    <n v="80.833333333333329"/>
    <n v="86.7"/>
    <n v="114.5"/>
    <n v="42"/>
    <n v="56.749999999999993"/>
    <n v="106"/>
    <n v="114"/>
    <x v="1"/>
    <x v="1"/>
  </r>
  <r>
    <x v="0"/>
    <n v="135.5"/>
    <n v="208.6"/>
    <n v="56.7"/>
    <n v="20.72"/>
    <n v="63.1"/>
    <n v="0.05"/>
    <n v="20.399999999999999"/>
    <n v="100"/>
    <n v="3.2"/>
    <n v="225.83333333333329"/>
    <n v="208.6"/>
    <n v="70.875000000000014"/>
    <n v="51.8"/>
    <n v="157.75"/>
    <n v="2.5"/>
    <n v="226"/>
    <x v="0"/>
    <x v="0"/>
  </r>
  <r>
    <x v="1"/>
    <n v="160.6"/>
    <n v="380.7"/>
    <n v="90.7"/>
    <n v="23.97"/>
    <n v="65.2"/>
    <n v="3.05"/>
    <n v="22.7"/>
    <n v="63.1"/>
    <n v="1.79"/>
    <n v="267.66666666666669"/>
    <n v="380.7"/>
    <n v="113.375"/>
    <n v="59.924999999999997"/>
    <n v="163"/>
    <n v="152.5"/>
    <n v="381"/>
    <x v="2"/>
    <x v="3"/>
  </r>
  <r>
    <x v="2"/>
    <n v="91.8"/>
    <n v="75.8"/>
    <n v="44.4"/>
    <n v="10.01"/>
    <n v="14"/>
    <n v="1.36"/>
    <n v="23.9"/>
    <n v="67.2"/>
    <n v="3.64"/>
    <n v="153"/>
    <n v="75.8"/>
    <n v="55.5"/>
    <n v="25.024999999999999"/>
    <n v="35"/>
    <n v="68"/>
    <n v="153"/>
    <x v="1"/>
    <x v="0"/>
  </r>
  <r>
    <x v="3"/>
    <n v="73.7"/>
    <n v="320.2"/>
    <n v="102"/>
    <n v="16.829999999999998"/>
    <n v="39.5"/>
    <n v="2.23"/>
    <n v="33.299999999999997"/>
    <n v="82"/>
    <n v="4.0999999999999996"/>
    <n v="122.8333333333333"/>
    <n v="320.2"/>
    <n v="127.5"/>
    <n v="42.075000000000003"/>
    <n v="98.75"/>
    <n v="111.5"/>
    <n v="320"/>
    <x v="2"/>
    <x v="3"/>
  </r>
  <r>
    <x v="4"/>
    <n v="107.8"/>
    <n v="269.8"/>
    <n v="126.5"/>
    <n v="8.59"/>
    <n v="31.7"/>
    <n v="2.13"/>
    <n v="31.3"/>
    <n v="76.5"/>
    <n v="2.72"/>
    <n v="179.66666666666671"/>
    <n v="269.8"/>
    <n v="158.125"/>
    <n v="21.475000000000001"/>
    <n v="79.25"/>
    <n v="106.5"/>
    <n v="270"/>
    <x v="0"/>
    <x v="3"/>
  </r>
  <r>
    <x v="0"/>
    <n v="27.1"/>
    <n v="248"/>
    <n v="49"/>
    <n v="1.01"/>
    <n v="8.6999999999999993"/>
    <n v="2.57"/>
    <n v="34.5"/>
    <n v="60.7"/>
    <n v="2.75"/>
    <n v="45.166666666666657"/>
    <n v="248"/>
    <n v="61.25"/>
    <n v="2.5249999999999999"/>
    <n v="21.75"/>
    <n v="128.5"/>
    <n v="248"/>
    <x v="0"/>
    <x v="3"/>
  </r>
  <r>
    <x v="1"/>
    <n v="191"/>
    <n v="54.7"/>
    <n v="110.8"/>
    <n v="15.88"/>
    <n v="60.9"/>
    <n v="1.82"/>
    <n v="19.3"/>
    <n v="62.5"/>
    <n v="4.4800000000000004"/>
    <n v="318.33333333333343"/>
    <n v="54.7"/>
    <n v="138.5"/>
    <n v="39.700000000000003"/>
    <n v="152.25"/>
    <n v="91"/>
    <n v="318"/>
    <x v="2"/>
    <x v="0"/>
  </r>
  <r>
    <x v="2"/>
    <n v="130.5"/>
    <n v="136.1"/>
    <n v="27.6"/>
    <n v="0.5"/>
    <n v="62.3"/>
    <n v="0.95"/>
    <n v="22.7"/>
    <n v="83.8"/>
    <n v="0.56000000000000005"/>
    <n v="217.5"/>
    <n v="136.1"/>
    <n v="34.5"/>
    <n v="1.25"/>
    <n v="155.75"/>
    <n v="47.5"/>
    <n v="218"/>
    <x v="0"/>
    <x v="0"/>
  </r>
  <r>
    <x v="3"/>
    <n v="167.6"/>
    <n v="167.7"/>
    <n v="35.200000000000003"/>
    <n v="10.82"/>
    <n v="19.7"/>
    <n v="2.34"/>
    <n v="20.5"/>
    <n v="25.6"/>
    <n v="2.2400000000000002"/>
    <n v="279.33333333333331"/>
    <n v="167.7"/>
    <n v="44.000000000000007"/>
    <n v="27.05"/>
    <n v="49.249999999999993"/>
    <n v="117"/>
    <n v="279"/>
    <x v="0"/>
    <x v="0"/>
  </r>
  <r>
    <x v="4"/>
    <n v="34"/>
    <n v="232.8"/>
    <n v="37.4"/>
    <n v="9.7899999999999991"/>
    <n v="44.1"/>
    <n v="1.89"/>
    <n v="26.8"/>
    <n v="72.2"/>
    <n v="1.61"/>
    <n v="56.666666666666657"/>
    <n v="232.8"/>
    <n v="46.75"/>
    <n v="24.475000000000001"/>
    <n v="110.25"/>
    <n v="94.5"/>
    <n v="233"/>
    <x v="0"/>
    <x v="3"/>
  </r>
  <r>
    <x v="0"/>
    <n v="106.8"/>
    <n v="5"/>
    <n v="91.9"/>
    <n v="11.95"/>
    <n v="16"/>
    <n v="2.56"/>
    <n v="33.200000000000003"/>
    <n v="51.4"/>
    <n v="1.37"/>
    <n v="178"/>
    <n v="5"/>
    <n v="114.875"/>
    <n v="29.875"/>
    <n v="40"/>
    <n v="128"/>
    <n v="178"/>
    <x v="1"/>
    <x v="0"/>
  </r>
  <r>
    <x v="1"/>
    <n v="129.9"/>
    <n v="79.7"/>
    <n v="63.6"/>
    <n v="28.22"/>
    <n v="46.7"/>
    <n v="0.14000000000000001"/>
    <n v="12.4"/>
    <n v="62.9"/>
    <n v="3.53"/>
    <n v="216.5"/>
    <n v="79.7"/>
    <n v="79.5"/>
    <n v="70.55"/>
    <n v="116.75"/>
    <n v="7.0000000000000009"/>
    <n v="216"/>
    <x v="0"/>
    <x v="0"/>
  </r>
  <r>
    <x v="2"/>
    <n v="17.399999999999999"/>
    <n v="223.4"/>
    <n v="108.8"/>
    <n v="26.51"/>
    <n v="41.3"/>
    <n v="2.29"/>
    <n v="10.1"/>
    <n v="97.8"/>
    <n v="1.81"/>
    <n v="29"/>
    <n v="223.4"/>
    <n v="136"/>
    <n v="66.275000000000006"/>
    <n v="103.25"/>
    <n v="114.5"/>
    <n v="223"/>
    <x v="0"/>
    <x v="3"/>
  </r>
  <r>
    <x v="3"/>
    <n v="51.2"/>
    <n v="167.5"/>
    <n v="120.4"/>
    <n v="30.46"/>
    <n v="38.799999999999997"/>
    <n v="2.88"/>
    <n v="25.3"/>
    <n v="41.3"/>
    <n v="4.2699999999999996"/>
    <n v="85.333333333333343"/>
    <n v="167.5"/>
    <n v="150.5"/>
    <n v="76.149999999999991"/>
    <n v="96.999999999999986"/>
    <n v="144"/>
    <n v="168"/>
    <x v="1"/>
    <x v="3"/>
  </r>
  <r>
    <x v="4"/>
    <n v="72.8"/>
    <n v="373.4"/>
    <n v="124.9"/>
    <n v="19.48"/>
    <n v="84.9"/>
    <n v="4.47"/>
    <n v="23.8"/>
    <n v="45.4"/>
    <n v="0.76"/>
    <n v="121.3333333333333"/>
    <n v="373.4"/>
    <n v="156.125"/>
    <n v="48.7"/>
    <n v="212.25"/>
    <n v="223.5"/>
    <n v="373"/>
    <x v="2"/>
    <x v="3"/>
  </r>
  <r>
    <x v="0"/>
    <n v="234.3"/>
    <n v="172.3"/>
    <n v="124.6"/>
    <n v="7.9"/>
    <n v="81.2"/>
    <n v="1.44"/>
    <n v="16.7"/>
    <n v="56.2"/>
    <n v="1.86"/>
    <n v="390.5"/>
    <n v="172.3"/>
    <n v="155.75"/>
    <n v="19.75"/>
    <n v="203"/>
    <n v="72"/>
    <n v="390"/>
    <x v="2"/>
    <x v="0"/>
  </r>
  <r>
    <x v="1"/>
    <n v="155.80000000000001"/>
    <n v="233.8"/>
    <n v="115.1"/>
    <n v="13.09"/>
    <n v="26.3"/>
    <n v="1.7"/>
    <n v="39.299999999999997"/>
    <n v="64.099999999999994"/>
    <n v="0.2"/>
    <n v="259.66666666666669"/>
    <n v="233.8"/>
    <n v="143.875"/>
    <n v="32.724999999999987"/>
    <n v="65.75"/>
    <n v="84.999999999999986"/>
    <n v="260"/>
    <x v="0"/>
    <x v="0"/>
  </r>
  <r>
    <x v="2"/>
    <n v="67.5"/>
    <n v="191.2"/>
    <n v="124.5"/>
    <n v="19.98"/>
    <n v="14.5"/>
    <n v="4.03"/>
    <n v="24.8"/>
    <n v="82.4"/>
    <n v="1.1100000000000001"/>
    <n v="112.5"/>
    <n v="191.2"/>
    <n v="155.625"/>
    <n v="49.95"/>
    <n v="36.25"/>
    <n v="201.5"/>
    <n v="202"/>
    <x v="0"/>
    <x v="4"/>
  </r>
  <r>
    <x v="3"/>
    <n v="2"/>
    <n v="56.8"/>
    <n v="2"/>
    <n v="29.7"/>
    <n v="40.799999999999997"/>
    <n v="1.03"/>
    <n v="28.2"/>
    <n v="63.4"/>
    <n v="3.25"/>
    <n v="3.333333333333333"/>
    <n v="56.8"/>
    <n v="2.5"/>
    <n v="74.25"/>
    <n v="102"/>
    <n v="51.500000000000007"/>
    <n v="102"/>
    <x v="1"/>
    <x v="2"/>
  </r>
  <r>
    <x v="4"/>
    <n v="169.5"/>
    <n v="180.6"/>
    <n v="48.2"/>
    <n v="21.36"/>
    <n v="59.5"/>
    <n v="2.2200000000000002"/>
    <n v="40.200000000000003"/>
    <n v="52.1"/>
    <n v="1.92"/>
    <n v="282.5"/>
    <n v="180.6"/>
    <n v="60.250000000000007"/>
    <n v="53.4"/>
    <n v="148.75"/>
    <n v="111"/>
    <n v="282"/>
    <x v="0"/>
    <x v="0"/>
  </r>
  <r>
    <x v="0"/>
    <n v="133.5"/>
    <n v="146.30000000000001"/>
    <n v="101"/>
    <n v="7.06"/>
    <n v="31"/>
    <n v="4.3"/>
    <n v="22.2"/>
    <n v="45.6"/>
    <n v="3.9"/>
    <n v="222.5"/>
    <n v="146.30000000000001"/>
    <n v="126.25"/>
    <n v="17.649999999999999"/>
    <n v="77.5"/>
    <n v="215"/>
    <n v="222"/>
    <x v="0"/>
    <x v="0"/>
  </r>
  <r>
    <x v="1"/>
    <n v="56.9"/>
    <n v="156.80000000000001"/>
    <n v="113.1"/>
    <n v="25.38"/>
    <n v="79.3"/>
    <n v="1.5"/>
    <n v="29.2"/>
    <n v="51.6"/>
    <n v="1.77"/>
    <n v="94.833333333333329"/>
    <n v="156.80000000000001"/>
    <n v="141.375"/>
    <n v="63.45"/>
    <n v="198.25"/>
    <n v="75"/>
    <n v="198"/>
    <x v="1"/>
    <x v="2"/>
  </r>
  <r>
    <x v="2"/>
    <n v="146.1"/>
    <n v="132.30000000000001"/>
    <n v="76.900000000000006"/>
    <n v="13.34"/>
    <n v="11.3"/>
    <n v="2.71"/>
    <n v="28.9"/>
    <n v="24.2"/>
    <n v="2.83"/>
    <n v="243.5"/>
    <n v="132.30000000000001"/>
    <n v="96.125"/>
    <n v="33.349999999999987"/>
    <n v="28.25"/>
    <n v="135.5"/>
    <n v="244"/>
    <x v="0"/>
    <x v="0"/>
  </r>
  <r>
    <x v="3"/>
    <n v="58.9"/>
    <n v="297.3"/>
    <n v="25.7"/>
    <n v="9.9499999999999993"/>
    <n v="44.1"/>
    <n v="1.97"/>
    <n v="30.3"/>
    <n v="32.700000000000003"/>
    <n v="4.4800000000000004"/>
    <n v="98.166666666666671"/>
    <n v="297.3"/>
    <n v="32.125"/>
    <n v="24.875"/>
    <n v="110.25"/>
    <n v="98.5"/>
    <n v="297"/>
    <x v="0"/>
    <x v="3"/>
  </r>
  <r>
    <x v="4"/>
    <n v="133.30000000000001"/>
    <n v="354.8"/>
    <n v="110"/>
    <n v="13.98"/>
    <n v="7.8"/>
    <n v="1.52"/>
    <n v="36.1"/>
    <n v="84.9"/>
    <n v="2.2599999999999998"/>
    <n v="222.16666666666671"/>
    <n v="354.8"/>
    <n v="137.5"/>
    <n v="34.950000000000003"/>
    <n v="19.5"/>
    <n v="76"/>
    <n v="355"/>
    <x v="2"/>
    <x v="3"/>
  </r>
  <r>
    <x v="0"/>
    <n v="2"/>
    <n v="197.3"/>
    <n v="72.2"/>
    <n v="12.42"/>
    <n v="55.1"/>
    <n v="3.18"/>
    <n v="31.9"/>
    <n v="68"/>
    <n v="0.34"/>
    <n v="3.333333333333333"/>
    <n v="197.3"/>
    <n v="90.25"/>
    <n v="31.05"/>
    <n v="137.75"/>
    <n v="159"/>
    <n v="197"/>
    <x v="1"/>
    <x v="3"/>
  </r>
  <r>
    <x v="1"/>
    <n v="99.5"/>
    <n v="516.5"/>
    <n v="105"/>
    <n v="19.68"/>
    <n v="55.1"/>
    <n v="2.9"/>
    <n v="8.3000000000000007"/>
    <n v="55.7"/>
    <n v="2.4500000000000002"/>
    <n v="165.83333333333329"/>
    <n v="500"/>
    <n v="131.25"/>
    <n v="49.2"/>
    <n v="137.75"/>
    <n v="145"/>
    <n v="500"/>
    <x v="2"/>
    <x v="3"/>
  </r>
  <r>
    <x v="2"/>
    <n v="149.6"/>
    <n v="186.7"/>
    <n v="18.3"/>
    <n v="15.43"/>
    <n v="17"/>
    <n v="0.71"/>
    <n v="19.2"/>
    <n v="69.8"/>
    <n v="4.01"/>
    <n v="249.33333333333329"/>
    <n v="186.7"/>
    <n v="22.875"/>
    <n v="38.575000000000003"/>
    <n v="42.5"/>
    <n v="35.5"/>
    <n v="249"/>
    <x v="0"/>
    <x v="0"/>
  </r>
  <r>
    <x v="3"/>
    <n v="119.2"/>
    <n v="252.7"/>
    <n v="87.1"/>
    <n v="13.61"/>
    <n v="51.7"/>
    <n v="0.05"/>
    <n v="25.8"/>
    <n v="41.2"/>
    <n v="3.9"/>
    <n v="198.66666666666671"/>
    <n v="252.7"/>
    <n v="108.875"/>
    <n v="34.024999999999999"/>
    <n v="129.25"/>
    <n v="2.5"/>
    <n v="253"/>
    <x v="0"/>
    <x v="3"/>
  </r>
  <r>
    <x v="4"/>
    <n v="97.8"/>
    <n v="214.5"/>
    <n v="26.2"/>
    <n v="23.03"/>
    <n v="55.1"/>
    <n v="2.7"/>
    <n v="19.3"/>
    <n v="46.1"/>
    <n v="3.27"/>
    <n v="163"/>
    <n v="214.5"/>
    <n v="32.75"/>
    <n v="57.575000000000003"/>
    <n v="137.75"/>
    <n v="135"/>
    <n v="214"/>
    <x v="0"/>
    <x v="3"/>
  </r>
  <r>
    <x v="0"/>
    <n v="72.099999999999994"/>
    <n v="268.8"/>
    <n v="3.3"/>
    <n v="10.23"/>
    <n v="87.9"/>
    <n v="2.69"/>
    <n v="26.2"/>
    <n v="95.7"/>
    <n v="0.2"/>
    <n v="120.1666666666667"/>
    <n v="268.8"/>
    <n v="4.125"/>
    <n v="25.574999999999999"/>
    <n v="219.75"/>
    <n v="134.5"/>
    <n v="269"/>
    <x v="0"/>
    <x v="3"/>
  </r>
  <r>
    <x v="1"/>
    <n v="71.099999999999994"/>
    <n v="191.9"/>
    <n v="124.3"/>
    <n v="24.76"/>
    <n v="20.6"/>
    <n v="3.6"/>
    <n v="22.2"/>
    <n v="81.8"/>
    <n v="1.26"/>
    <n v="118.5"/>
    <n v="191.9"/>
    <n v="155.375"/>
    <n v="61.900000000000013"/>
    <n v="51.500000000000007"/>
    <n v="180"/>
    <n v="192"/>
    <x v="1"/>
    <x v="3"/>
  </r>
  <r>
    <x v="2"/>
    <n v="85.6"/>
    <n v="137.69999999999999"/>
    <n v="100.5"/>
    <n v="8.19"/>
    <n v="33.299999999999997"/>
    <n v="2.29"/>
    <n v="28.8"/>
    <n v="76"/>
    <n v="2.75"/>
    <n v="142.66666666666671"/>
    <n v="137.69999999999999"/>
    <n v="125.625"/>
    <n v="20.475000000000001"/>
    <n v="83.249999999999986"/>
    <n v="114.5"/>
    <n v="143"/>
    <x v="1"/>
    <x v="0"/>
  </r>
  <r>
    <x v="3"/>
    <n v="75.900000000000006"/>
    <n v="158.4"/>
    <n v="72.8"/>
    <n v="14.8"/>
    <n v="32.700000000000003"/>
    <n v="1.94"/>
    <n v="14.4"/>
    <n v="72"/>
    <n v="2.72"/>
    <n v="126.5"/>
    <n v="158.4"/>
    <n v="91"/>
    <n v="37.000000000000007"/>
    <n v="81.75"/>
    <n v="97"/>
    <n v="158"/>
    <x v="1"/>
    <x v="3"/>
  </r>
  <r>
    <x v="4"/>
    <n v="158.5"/>
    <n v="211.2"/>
    <n v="18"/>
    <n v="10.93"/>
    <n v="34.700000000000003"/>
    <n v="2.9"/>
    <n v="10.5"/>
    <n v="60.7"/>
    <n v="3.62"/>
    <n v="264.16666666666669"/>
    <n v="211.2"/>
    <n v="22.5"/>
    <n v="27.324999999999999"/>
    <n v="86.750000000000014"/>
    <n v="145"/>
    <n v="264"/>
    <x v="0"/>
    <x v="0"/>
  </r>
  <r>
    <x v="0"/>
    <n v="73.900000000000006"/>
    <n v="229"/>
    <n v="59.7"/>
    <n v="8.01"/>
    <n v="30.8"/>
    <n v="1.42"/>
    <n v="29.8"/>
    <n v="46.8"/>
    <n v="1.42"/>
    <n v="123.1666666666667"/>
    <n v="229"/>
    <n v="74.625"/>
    <n v="20.024999999999999"/>
    <n v="77"/>
    <n v="71"/>
    <n v="229"/>
    <x v="0"/>
    <x v="3"/>
  </r>
  <r>
    <x v="1"/>
    <n v="226.1"/>
    <n v="355.3"/>
    <n v="15.5"/>
    <n v="8.35"/>
    <n v="51.8"/>
    <n v="2.79"/>
    <n v="14.6"/>
    <n v="80.900000000000006"/>
    <n v="3.49"/>
    <n v="376.83333333333331"/>
    <n v="355.3"/>
    <n v="19.375"/>
    <n v="20.875"/>
    <n v="129.5"/>
    <n v="139.5"/>
    <n v="377"/>
    <x v="2"/>
    <x v="0"/>
  </r>
  <r>
    <x v="2"/>
    <n v="113.2"/>
    <n v="306.10000000000002"/>
    <n v="82.1"/>
    <n v="15.57"/>
    <n v="67.5"/>
    <n v="2.83"/>
    <n v="19.100000000000001"/>
    <n v="71.400000000000006"/>
    <n v="1.7"/>
    <n v="188.66666666666671"/>
    <n v="306.10000000000002"/>
    <n v="102.625"/>
    <n v="38.924999999999997"/>
    <n v="168.75"/>
    <n v="141.5"/>
    <n v="306"/>
    <x v="2"/>
    <x v="3"/>
  </r>
  <r>
    <x v="3"/>
    <n v="120.2"/>
    <n v="237.8"/>
    <n v="27.7"/>
    <n v="11.83"/>
    <n v="42"/>
    <n v="1.5"/>
    <n v="27.2"/>
    <n v="74.5"/>
    <n v="2.46"/>
    <n v="200.33333333333329"/>
    <n v="237.8"/>
    <n v="34.624999999999993"/>
    <n v="29.574999999999999"/>
    <n v="105"/>
    <n v="75"/>
    <n v="238"/>
    <x v="0"/>
    <x v="3"/>
  </r>
  <r>
    <x v="4"/>
    <n v="117.5"/>
    <n v="357.3"/>
    <n v="95.9"/>
    <n v="15.85"/>
    <n v="15.9"/>
    <n v="2.82"/>
    <n v="27.3"/>
    <n v="83.1"/>
    <n v="3.06"/>
    <n v="195.83333333333329"/>
    <n v="357.3"/>
    <n v="119.875"/>
    <n v="39.625"/>
    <n v="39.75"/>
    <n v="141"/>
    <n v="357"/>
    <x v="2"/>
    <x v="3"/>
  </r>
  <r>
    <x v="0"/>
    <n v="10.1"/>
    <n v="33.1"/>
    <n v="109.9"/>
    <n v="9.4700000000000006"/>
    <n v="52.7"/>
    <n v="2.33"/>
    <n v="23.8"/>
    <n v="58.3"/>
    <n v="1.46"/>
    <n v="16.833333333333329"/>
    <n v="33.1"/>
    <n v="137.375"/>
    <n v="23.675000000000001"/>
    <n v="131.75"/>
    <n v="116.5"/>
    <n v="137"/>
    <x v="1"/>
    <x v="1"/>
  </r>
  <r>
    <x v="1"/>
    <n v="119.1"/>
    <n v="169.9"/>
    <n v="75.099999999999994"/>
    <n v="12.76"/>
    <n v="38.6"/>
    <n v="3.51"/>
    <n v="24.1"/>
    <n v="78.400000000000006"/>
    <n v="4.3499999999999996"/>
    <n v="198.5"/>
    <n v="169.9"/>
    <n v="93.874999999999986"/>
    <n v="31.9"/>
    <n v="96.5"/>
    <n v="175.5"/>
    <n v="198"/>
    <x v="1"/>
    <x v="0"/>
  </r>
  <r>
    <x v="2"/>
    <n v="130.19999999999999"/>
    <n v="231.1"/>
    <n v="78.3"/>
    <n v="18.739999999999998"/>
    <n v="36.1"/>
    <n v="2.72"/>
    <n v="29.3"/>
    <n v="53.5"/>
    <n v="3.58"/>
    <n v="217"/>
    <n v="231.1"/>
    <n v="97.874999999999986"/>
    <n v="46.849999999999987"/>
    <n v="90.25"/>
    <n v="136"/>
    <n v="231"/>
    <x v="0"/>
    <x v="3"/>
  </r>
  <r>
    <x v="3"/>
    <n v="100.4"/>
    <n v="181.8"/>
    <n v="56.8"/>
    <n v="14.13"/>
    <n v="58.4"/>
    <n v="2.77"/>
    <n v="27.5"/>
    <n v="70.8"/>
    <n v="4.03"/>
    <n v="167.33333333333329"/>
    <n v="181.8"/>
    <n v="71"/>
    <n v="35.325000000000003"/>
    <n v="146"/>
    <n v="138.5"/>
    <n v="182"/>
    <x v="1"/>
    <x v="3"/>
  </r>
  <r>
    <x v="4"/>
    <n v="97.7"/>
    <n v="93.4"/>
    <n v="125"/>
    <n v="9.42"/>
    <n v="22.5"/>
    <n v="0.22"/>
    <n v="29"/>
    <n v="30.8"/>
    <n v="2.1"/>
    <n v="162.83333333333329"/>
    <n v="93.4"/>
    <n v="156.25"/>
    <n v="23.55"/>
    <n v="56.25"/>
    <n v="11"/>
    <n v="163"/>
    <x v="1"/>
    <x v="0"/>
  </r>
  <r>
    <x v="0"/>
    <n v="142.9"/>
    <n v="300.5"/>
    <n v="58.8"/>
    <n v="13.49"/>
    <n v="18.8"/>
    <n v="1.6"/>
    <n v="26.9"/>
    <n v="51"/>
    <n v="2.21"/>
    <n v="238.16666666666671"/>
    <n v="300.5"/>
    <n v="73.5"/>
    <n v="33.725000000000001"/>
    <n v="47"/>
    <n v="80"/>
    <n v="300"/>
    <x v="0"/>
    <x v="3"/>
  </r>
  <r>
    <x v="1"/>
    <n v="32.1"/>
    <n v="376"/>
    <n v="110.4"/>
    <n v="23.93"/>
    <n v="81.3"/>
    <n v="1.41"/>
    <n v="22.5"/>
    <n v="25.9"/>
    <n v="6.27"/>
    <n v="53.5"/>
    <n v="376"/>
    <n v="138"/>
    <n v="59.825000000000003"/>
    <n v="203.25"/>
    <n v="70.5"/>
    <n v="376"/>
    <x v="2"/>
    <x v="3"/>
  </r>
  <r>
    <x v="2"/>
    <n v="84.4"/>
    <n v="277.10000000000002"/>
    <n v="30.8"/>
    <n v="19.73"/>
    <n v="73.900000000000006"/>
    <n v="1.77"/>
    <n v="17.899999999999999"/>
    <n v="57.5"/>
    <n v="0.2"/>
    <n v="140.66666666666671"/>
    <n v="277.10000000000002"/>
    <n v="38.5"/>
    <n v="49.325000000000003"/>
    <n v="184.75"/>
    <n v="88.5"/>
    <n v="277"/>
    <x v="0"/>
    <x v="3"/>
  </r>
  <r>
    <x v="3"/>
    <n v="94.2"/>
    <n v="270.8"/>
    <n v="70.900000000000006"/>
    <n v="10.53"/>
    <n v="47.9"/>
    <n v="2.5"/>
    <n v="13.4"/>
    <n v="61.6"/>
    <n v="5.42"/>
    <n v="157"/>
    <n v="270.8"/>
    <n v="88.625000000000014"/>
    <n v="26.324999999999999"/>
    <n v="119.75"/>
    <n v="125"/>
    <n v="271"/>
    <x v="0"/>
    <x v="3"/>
  </r>
  <r>
    <x v="4"/>
    <n v="35.1"/>
    <n v="202.2"/>
    <n v="147.5"/>
    <n v="23.8"/>
    <n v="26.9"/>
    <n v="2.33"/>
    <n v="25"/>
    <n v="46.5"/>
    <n v="2.91"/>
    <n v="58.5"/>
    <n v="202.2"/>
    <n v="184.375"/>
    <n v="59.500000000000007"/>
    <n v="67.249999999999986"/>
    <n v="116.5"/>
    <n v="202"/>
    <x v="0"/>
    <x v="3"/>
  </r>
  <r>
    <x v="0"/>
    <n v="94.9"/>
    <n v="233.2"/>
    <n v="55.3"/>
    <n v="2.98"/>
    <n v="40.299999999999997"/>
    <n v="4.0999999999999996"/>
    <n v="25.6"/>
    <n v="54"/>
    <n v="3.4"/>
    <n v="158.16666666666671"/>
    <n v="233.2"/>
    <n v="69.124999999999986"/>
    <n v="7.45"/>
    <n v="100.75"/>
    <n v="205"/>
    <n v="233"/>
    <x v="0"/>
    <x v="3"/>
  </r>
  <r>
    <x v="1"/>
    <n v="110.5"/>
    <n v="464.2"/>
    <n v="89.8"/>
    <n v="23"/>
    <n v="23.8"/>
    <n v="3"/>
    <n v="26.9"/>
    <n v="59"/>
    <n v="1.9"/>
    <n v="184.16666666666671"/>
    <n v="464.2"/>
    <n v="112.25"/>
    <n v="57.5"/>
    <n v="59.500000000000007"/>
    <n v="150"/>
    <n v="464"/>
    <x v="2"/>
    <x v="3"/>
  </r>
  <r>
    <x v="2"/>
    <n v="62.1"/>
    <n v="208.2"/>
    <n v="87.5"/>
    <n v="11.19"/>
    <n v="40.299999999999997"/>
    <n v="1.79"/>
    <n v="25.7"/>
    <n v="56.4"/>
    <n v="2.52"/>
    <n v="103.5"/>
    <n v="208.2"/>
    <n v="109.375"/>
    <n v="27.975000000000001"/>
    <n v="100.75"/>
    <n v="89.5"/>
    <n v="208"/>
    <x v="0"/>
    <x v="3"/>
  </r>
  <r>
    <x v="3"/>
    <n v="225.5"/>
    <n v="221.9"/>
    <n v="92.6"/>
    <n v="16.3"/>
    <n v="30.1"/>
    <n v="3.16"/>
    <n v="23"/>
    <n v="79"/>
    <n v="2.1"/>
    <n v="375.83333333333343"/>
    <n v="221.9"/>
    <n v="115.75"/>
    <n v="40.75"/>
    <n v="75.25"/>
    <n v="158"/>
    <n v="376"/>
    <x v="2"/>
    <x v="0"/>
  </r>
  <r>
    <x v="4"/>
    <n v="54.9"/>
    <n v="249.8"/>
    <n v="40.299999999999997"/>
    <n v="18.79"/>
    <n v="10"/>
    <n v="1.78"/>
    <n v="15"/>
    <n v="100"/>
    <n v="1.02"/>
    <n v="91.5"/>
    <n v="249.8"/>
    <n v="50.374999999999993"/>
    <n v="46.974999999999987"/>
    <n v="25"/>
    <n v="89"/>
    <n v="250"/>
    <x v="0"/>
    <x v="3"/>
  </r>
  <r>
    <x v="0"/>
    <n v="110.9"/>
    <n v="347"/>
    <n v="120.9"/>
    <n v="22.55"/>
    <n v="33.200000000000003"/>
    <n v="3.7"/>
    <n v="31.4"/>
    <n v="63.8"/>
    <n v="2.79"/>
    <n v="184.83333333333329"/>
    <n v="347"/>
    <n v="151.125"/>
    <n v="56.375"/>
    <n v="83"/>
    <n v="185"/>
    <n v="347"/>
    <x v="2"/>
    <x v="3"/>
  </r>
  <r>
    <x v="1"/>
    <n v="101.8"/>
    <n v="130.80000000000001"/>
    <n v="139.5"/>
    <n v="29.12"/>
    <n v="20.100000000000001"/>
    <n v="2.2200000000000002"/>
    <n v="24"/>
    <n v="59.4"/>
    <n v="2.58"/>
    <n v="169.66666666666671"/>
    <n v="130.80000000000001"/>
    <n v="174.375"/>
    <n v="72.8"/>
    <n v="50.25"/>
    <n v="111"/>
    <n v="174"/>
    <x v="1"/>
    <x v="1"/>
  </r>
  <r>
    <x v="2"/>
    <n v="134.4"/>
    <n v="114.3"/>
    <n v="42.7"/>
    <n v="21.56"/>
    <n v="24.3"/>
    <n v="0.67"/>
    <n v="21.6"/>
    <n v="54.1"/>
    <n v="4.37"/>
    <n v="224"/>
    <n v="114.3"/>
    <n v="53.375000000000007"/>
    <n v="53.9"/>
    <n v="60.75"/>
    <n v="33.5"/>
    <n v="224"/>
    <x v="0"/>
    <x v="0"/>
  </r>
  <r>
    <x v="3"/>
    <n v="140.4"/>
    <n v="302.2"/>
    <n v="98.2"/>
    <n v="20.37"/>
    <n v="20.5"/>
    <n v="1.73"/>
    <n v="18.100000000000001"/>
    <n v="56.2"/>
    <n v="3.32"/>
    <n v="234"/>
    <n v="302.2"/>
    <n v="122.75"/>
    <n v="50.924999999999997"/>
    <n v="51.25"/>
    <n v="86.5"/>
    <n v="302"/>
    <x v="2"/>
    <x v="3"/>
  </r>
  <r>
    <x v="4"/>
    <n v="112.7"/>
    <n v="349.7"/>
    <n v="39"/>
    <n v="18.48"/>
    <n v="8.6999999999999993"/>
    <n v="2.21"/>
    <n v="30.2"/>
    <n v="56.1"/>
    <n v="3.66"/>
    <n v="187.83333333333329"/>
    <n v="349.7"/>
    <n v="48.75"/>
    <n v="46.2"/>
    <n v="21.75"/>
    <n v="110.5"/>
    <n v="350"/>
    <x v="2"/>
    <x v="3"/>
  </r>
  <r>
    <x v="0"/>
    <n v="57.4"/>
    <n v="37.1"/>
    <n v="103.3"/>
    <n v="30.76"/>
    <n v="15.6"/>
    <n v="3.56"/>
    <n v="25.3"/>
    <n v="36"/>
    <n v="1.1399999999999999"/>
    <n v="95.666666666666657"/>
    <n v="37.1"/>
    <n v="129.125"/>
    <n v="76.900000000000006"/>
    <n v="39"/>
    <n v="178"/>
    <n v="178"/>
    <x v="1"/>
    <x v="4"/>
  </r>
  <r>
    <x v="1"/>
    <n v="120.9"/>
    <n v="191.5"/>
    <n v="37.5"/>
    <n v="0.5"/>
    <n v="21.2"/>
    <n v="2.63"/>
    <n v="25"/>
    <n v="51"/>
    <n v="2.74"/>
    <n v="201.5"/>
    <n v="191.5"/>
    <n v="46.875"/>
    <n v="1.25"/>
    <n v="53"/>
    <n v="131.5"/>
    <n v="202"/>
    <x v="0"/>
    <x v="0"/>
  </r>
  <r>
    <x v="2"/>
    <n v="138.6"/>
    <n v="218.3"/>
    <n v="64.7"/>
    <n v="19.21"/>
    <n v="13.7"/>
    <n v="1.62"/>
    <n v="23.6"/>
    <n v="37.700000000000003"/>
    <n v="2"/>
    <n v="231"/>
    <n v="218.3"/>
    <n v="80.875"/>
    <n v="48.025000000000013"/>
    <n v="34.249999999999993"/>
    <n v="81"/>
    <n v="231"/>
    <x v="0"/>
    <x v="0"/>
  </r>
  <r>
    <x v="3"/>
    <n v="2"/>
    <n v="375.6"/>
    <n v="42"/>
    <n v="25.49"/>
    <n v="36.9"/>
    <n v="2.46"/>
    <n v="21.6"/>
    <n v="63.7"/>
    <n v="3.28"/>
    <n v="3.333333333333333"/>
    <n v="375.6"/>
    <n v="52.5"/>
    <n v="63.724999999999987"/>
    <n v="92.25"/>
    <n v="123"/>
    <n v="376"/>
    <x v="2"/>
    <x v="3"/>
  </r>
  <r>
    <x v="4"/>
    <n v="140.69999999999999"/>
    <n v="293"/>
    <n v="66.2"/>
    <n v="9.85"/>
    <n v="1"/>
    <n v="2.66"/>
    <n v="32.6"/>
    <n v="89.1"/>
    <n v="3.37"/>
    <n v="234.5"/>
    <n v="293"/>
    <n v="82.75"/>
    <n v="24.625"/>
    <n v="2.5"/>
    <n v="133"/>
    <n v="293"/>
    <x v="0"/>
    <x v="3"/>
  </r>
  <r>
    <x v="0"/>
    <n v="68.099999999999994"/>
    <n v="33.4"/>
    <n v="121.1"/>
    <n v="0.5"/>
    <n v="32.6"/>
    <n v="1.96"/>
    <n v="19.5"/>
    <n v="60.6"/>
    <n v="2.67"/>
    <n v="113.5"/>
    <n v="33.4"/>
    <n v="151.375"/>
    <n v="1.25"/>
    <n v="81.5"/>
    <n v="98"/>
    <n v="151"/>
    <x v="1"/>
    <x v="1"/>
  </r>
  <r>
    <x v="1"/>
    <n v="2"/>
    <n v="241.8"/>
    <n v="2"/>
    <n v="23.32"/>
    <n v="29.4"/>
    <n v="0.05"/>
    <n v="14.3"/>
    <n v="49.7"/>
    <n v="3.93"/>
    <n v="3.333333333333333"/>
    <n v="241.8"/>
    <n v="2.5"/>
    <n v="58.3"/>
    <n v="73.5"/>
    <n v="2.5"/>
    <n v="242"/>
    <x v="0"/>
    <x v="3"/>
  </r>
  <r>
    <x v="2"/>
    <n v="100.2"/>
    <n v="213.8"/>
    <n v="104.3"/>
    <n v="11.43"/>
    <n v="50.3"/>
    <n v="2.4500000000000002"/>
    <n v="11"/>
    <n v="86.5"/>
    <n v="0.8"/>
    <n v="167"/>
    <n v="213.8"/>
    <n v="130.375"/>
    <n v="28.574999999999999"/>
    <n v="125.75"/>
    <n v="122.5"/>
    <n v="214"/>
    <x v="0"/>
    <x v="3"/>
  </r>
  <r>
    <x v="3"/>
    <n v="140"/>
    <n v="46.4"/>
    <n v="91.2"/>
    <n v="27.7"/>
    <n v="31.2"/>
    <n v="1.67"/>
    <n v="24.3"/>
    <n v="54.1"/>
    <n v="4.68"/>
    <n v="233.33333333333329"/>
    <n v="46.4"/>
    <n v="114"/>
    <n v="69.249999999999986"/>
    <n v="78"/>
    <n v="83.499999999999986"/>
    <n v="233"/>
    <x v="0"/>
    <x v="0"/>
  </r>
  <r>
    <x v="4"/>
    <n v="115.7"/>
    <n v="177.4"/>
    <n v="60.2"/>
    <n v="5.87"/>
    <n v="24.1"/>
    <n v="1.74"/>
    <n v="16.600000000000001"/>
    <n v="48.2"/>
    <n v="5.52"/>
    <n v="192.83333333333329"/>
    <n v="177.4"/>
    <n v="75.25"/>
    <n v="14.675000000000001"/>
    <n v="60.250000000000007"/>
    <n v="87"/>
    <n v="193"/>
    <x v="1"/>
    <x v="0"/>
  </r>
  <r>
    <x v="0"/>
    <n v="53.5"/>
    <n v="237"/>
    <n v="104.6"/>
    <n v="20.52"/>
    <n v="39.9"/>
    <n v="1.94"/>
    <n v="23.2"/>
    <n v="64.8"/>
    <n v="2.19"/>
    <n v="89.166666666666671"/>
    <n v="237"/>
    <n v="130.75"/>
    <n v="51.3"/>
    <n v="99.749999999999986"/>
    <n v="97"/>
    <n v="237"/>
    <x v="0"/>
    <x v="3"/>
  </r>
  <r>
    <x v="1"/>
    <n v="26.3"/>
    <n v="183.8"/>
    <n v="44.1"/>
    <n v="9.33"/>
    <n v="45.9"/>
    <n v="2.83"/>
    <n v="32.5"/>
    <n v="50.3"/>
    <n v="3.43"/>
    <n v="43.833333333333343"/>
    <n v="183.8"/>
    <n v="55.125"/>
    <n v="23.324999999999999"/>
    <n v="114.75"/>
    <n v="141.5"/>
    <n v="184"/>
    <x v="1"/>
    <x v="3"/>
  </r>
  <r>
    <x v="2"/>
    <n v="105.2"/>
    <n v="300.60000000000002"/>
    <n v="85.9"/>
    <n v="4.5"/>
    <n v="1"/>
    <n v="2.11"/>
    <n v="16.3"/>
    <n v="42.4"/>
    <n v="0.98"/>
    <n v="175.33333333333329"/>
    <n v="300.60000000000002"/>
    <n v="107.375"/>
    <n v="11.25"/>
    <n v="2.5"/>
    <n v="105.5"/>
    <n v="301"/>
    <x v="2"/>
    <x v="3"/>
  </r>
  <r>
    <x v="3"/>
    <n v="103.7"/>
    <n v="336.7"/>
    <n v="58.9"/>
    <n v="17.52"/>
    <n v="33.700000000000003"/>
    <n v="0.68"/>
    <n v="25.1"/>
    <n v="40.299999999999997"/>
    <n v="2.5299999999999998"/>
    <n v="172.83333333333329"/>
    <n v="336.7"/>
    <n v="73.625"/>
    <n v="43.8"/>
    <n v="84.25"/>
    <n v="34"/>
    <n v="337"/>
    <x v="2"/>
    <x v="3"/>
  </r>
  <r>
    <x v="4"/>
    <n v="87.6"/>
    <n v="305.5"/>
    <n v="42"/>
    <n v="17.52"/>
    <n v="18.8"/>
    <n v="1.57"/>
    <n v="-5.4"/>
    <n v="97.7"/>
    <n v="3.66"/>
    <n v="146"/>
    <n v="305.5"/>
    <n v="52.5"/>
    <n v="43.8"/>
    <n v="47"/>
    <n v="78.5"/>
    <n v="306"/>
    <x v="2"/>
    <x v="3"/>
  </r>
  <r>
    <x v="0"/>
    <n v="68"/>
    <n v="96.6"/>
    <n v="64.599999999999994"/>
    <n v="21.32"/>
    <n v="1"/>
    <n v="2.0499999999999998"/>
    <n v="32.4"/>
    <n v="39.6"/>
    <n v="2.6"/>
    <n v="113.3333333333333"/>
    <n v="96.6"/>
    <n v="80.749999999999986"/>
    <n v="53.3"/>
    <n v="2.5"/>
    <n v="102.5"/>
    <n v="113"/>
    <x v="1"/>
    <x v="0"/>
  </r>
  <r>
    <x v="1"/>
    <n v="252.2"/>
    <n v="315.89999999999998"/>
    <n v="95"/>
    <n v="21.07"/>
    <n v="33.700000000000003"/>
    <n v="3.96"/>
    <n v="17.2"/>
    <n v="24.7"/>
    <n v="2.0299999999999998"/>
    <n v="420.33333333333331"/>
    <n v="315.89999999999998"/>
    <n v="118.75"/>
    <n v="52.674999999999997"/>
    <n v="84.25"/>
    <n v="198"/>
    <n v="420"/>
    <x v="2"/>
    <x v="0"/>
  </r>
  <r>
    <x v="2"/>
    <n v="47.1"/>
    <n v="156.80000000000001"/>
    <n v="60.5"/>
    <n v="21.26"/>
    <n v="49.1"/>
    <n v="2.06"/>
    <n v="20"/>
    <n v="40.9"/>
    <n v="0.2"/>
    <n v="78.5"/>
    <n v="156.80000000000001"/>
    <n v="75.625"/>
    <n v="53.150000000000013"/>
    <n v="122.75"/>
    <n v="103"/>
    <n v="157"/>
    <x v="1"/>
    <x v="3"/>
  </r>
  <r>
    <x v="3"/>
    <n v="101.4"/>
    <n v="268.3"/>
    <n v="68.5"/>
    <n v="8.52"/>
    <n v="46.5"/>
    <n v="1.84"/>
    <n v="31.8"/>
    <n v="82.2"/>
    <n v="3.65"/>
    <n v="169"/>
    <n v="268.3"/>
    <n v="85.625"/>
    <n v="21.3"/>
    <n v="116.25"/>
    <n v="92"/>
    <n v="268"/>
    <x v="0"/>
    <x v="3"/>
  </r>
  <r>
    <x v="4"/>
    <n v="145.6"/>
    <n v="75"/>
    <n v="102.5"/>
    <n v="17.39"/>
    <n v="54.6"/>
    <n v="2.63"/>
    <n v="23.2"/>
    <n v="100"/>
    <n v="2.91"/>
    <n v="242.66666666666671"/>
    <n v="75"/>
    <n v="128.125"/>
    <n v="43.475000000000001"/>
    <n v="136.5"/>
    <n v="131.5"/>
    <n v="243"/>
    <x v="0"/>
    <x v="0"/>
  </r>
  <r>
    <x v="0"/>
    <n v="162.1"/>
    <n v="168.8"/>
    <n v="111.9"/>
    <n v="23.36"/>
    <n v="50.8"/>
    <n v="4.05"/>
    <n v="13.8"/>
    <n v="51.2"/>
    <n v="2.75"/>
    <n v="270.16666666666669"/>
    <n v="168.8"/>
    <n v="139.875"/>
    <n v="58.4"/>
    <n v="127"/>
    <n v="202.5"/>
    <n v="270"/>
    <x v="0"/>
    <x v="0"/>
  </r>
  <r>
    <x v="1"/>
    <n v="172.8"/>
    <n v="261.5"/>
    <n v="141.4"/>
    <n v="9.3800000000000008"/>
    <n v="12.9"/>
    <n v="2.77"/>
    <n v="19.5"/>
    <n v="69.8"/>
    <n v="2.4700000000000002"/>
    <n v="288.00000000000011"/>
    <n v="261.5"/>
    <n v="176.75"/>
    <n v="23.45"/>
    <n v="32.25"/>
    <n v="138.5"/>
    <n v="288"/>
    <x v="0"/>
    <x v="0"/>
  </r>
  <r>
    <x v="2"/>
    <n v="75.7"/>
    <n v="175.6"/>
    <n v="69.3"/>
    <n v="9.84"/>
    <n v="29.9"/>
    <n v="1.46"/>
    <n v="26"/>
    <n v="63.5"/>
    <n v="5.21"/>
    <n v="126.1666666666667"/>
    <n v="175.6"/>
    <n v="86.625"/>
    <n v="24.6"/>
    <n v="74.75"/>
    <n v="73"/>
    <n v="176"/>
    <x v="1"/>
    <x v="3"/>
  </r>
  <r>
    <x v="3"/>
    <n v="103.7"/>
    <n v="139.1"/>
    <n v="157.5"/>
    <n v="16.11"/>
    <n v="58.3"/>
    <n v="2.4900000000000002"/>
    <n v="24.4"/>
    <n v="69.599999999999994"/>
    <n v="1.18"/>
    <n v="172.83333333333329"/>
    <n v="139.1"/>
    <n v="196.875"/>
    <n v="40.274999999999999"/>
    <n v="145.75"/>
    <n v="124.5"/>
    <n v="197"/>
    <x v="1"/>
    <x v="1"/>
  </r>
  <r>
    <x v="4"/>
    <n v="125"/>
    <n v="71.3"/>
    <n v="73.099999999999994"/>
    <n v="7.69"/>
    <n v="48.4"/>
    <n v="2.46"/>
    <n v="23.4"/>
    <n v="65.2"/>
    <n v="2.27"/>
    <n v="208.33333333333329"/>
    <n v="71.3"/>
    <n v="91.375"/>
    <n v="19.225000000000001"/>
    <n v="121"/>
    <n v="123"/>
    <n v="208"/>
    <x v="0"/>
    <x v="0"/>
  </r>
  <r>
    <x v="0"/>
    <n v="96"/>
    <n v="322.39999999999998"/>
    <n v="122.1"/>
    <n v="4.17"/>
    <n v="1.8"/>
    <n v="1.41"/>
    <n v="27.3"/>
    <n v="81.900000000000006"/>
    <n v="1.39"/>
    <n v="160"/>
    <n v="322.39999999999998"/>
    <n v="152.625"/>
    <n v="10.425000000000001"/>
    <n v="4.5000000000000009"/>
    <n v="70.5"/>
    <n v="322"/>
    <x v="2"/>
    <x v="3"/>
  </r>
  <r>
    <x v="1"/>
    <n v="138.4"/>
    <n v="460.1"/>
    <n v="106.6"/>
    <n v="30.22"/>
    <n v="73.099999999999994"/>
    <n v="1.31"/>
    <n v="18.7"/>
    <n v="60.6"/>
    <n v="2.62"/>
    <n v="230.66666666666671"/>
    <n v="460.1"/>
    <n v="133.25"/>
    <n v="75.55"/>
    <n v="182.75"/>
    <n v="65.5"/>
    <n v="460"/>
    <x v="2"/>
    <x v="3"/>
  </r>
  <r>
    <x v="2"/>
    <n v="133"/>
    <n v="219.7"/>
    <n v="2"/>
    <n v="2.1800000000000002"/>
    <n v="1"/>
    <n v="1.98"/>
    <n v="21.7"/>
    <n v="65.099999999999994"/>
    <n v="1.35"/>
    <n v="221.66666666666671"/>
    <n v="219.7"/>
    <n v="2.5"/>
    <n v="5.45"/>
    <n v="2.5"/>
    <n v="99"/>
    <n v="222"/>
    <x v="0"/>
    <x v="0"/>
  </r>
  <r>
    <x v="3"/>
    <n v="128.4"/>
    <n v="260.8"/>
    <n v="31.8"/>
    <n v="1.07"/>
    <n v="36"/>
    <n v="3.64"/>
    <n v="31.9"/>
    <n v="70.099999999999994"/>
    <n v="1.62"/>
    <n v="214"/>
    <n v="260.8"/>
    <n v="39.75"/>
    <n v="2.6749999999999998"/>
    <n v="90"/>
    <n v="182"/>
    <n v="261"/>
    <x v="0"/>
    <x v="3"/>
  </r>
  <r>
    <x v="4"/>
    <n v="152.4"/>
    <n v="163.4"/>
    <n v="52.2"/>
    <n v="0.5"/>
    <n v="42.1"/>
    <n v="1.45"/>
    <n v="20.7"/>
    <n v="18.600000000000001"/>
    <n v="3.2"/>
    <n v="254"/>
    <n v="163.4"/>
    <n v="65.25"/>
    <n v="1.25"/>
    <n v="105.25"/>
    <n v="72.5"/>
    <n v="254"/>
    <x v="0"/>
    <x v="0"/>
  </r>
  <r>
    <x v="0"/>
    <n v="2"/>
    <n v="340.9"/>
    <n v="102"/>
    <n v="12.16"/>
    <n v="56"/>
    <n v="1.1299999999999999"/>
    <n v="20.5"/>
    <n v="74.3"/>
    <n v="0.2"/>
    <n v="3.333333333333333"/>
    <n v="340.9"/>
    <n v="127.5"/>
    <n v="30.4"/>
    <n v="140"/>
    <n v="56.499999999999993"/>
    <n v="341"/>
    <x v="2"/>
    <x v="3"/>
  </r>
  <r>
    <x v="1"/>
    <n v="93.2"/>
    <n v="237.3"/>
    <n v="82.1"/>
    <n v="30.57"/>
    <n v="13.4"/>
    <n v="1.65"/>
    <n v="6.6"/>
    <n v="87.2"/>
    <n v="2.2000000000000002"/>
    <n v="155.33333333333329"/>
    <n v="237.3"/>
    <n v="102.625"/>
    <n v="76.425000000000011"/>
    <n v="33.5"/>
    <n v="82.499999999999986"/>
    <n v="237"/>
    <x v="0"/>
    <x v="3"/>
  </r>
  <r>
    <x v="2"/>
    <n v="71.2"/>
    <n v="177.6"/>
    <n v="87.7"/>
    <n v="14.8"/>
    <n v="90.8"/>
    <n v="2.2400000000000002"/>
    <n v="16.7"/>
    <n v="49.9"/>
    <n v="2.0299999999999998"/>
    <n v="118.6666666666667"/>
    <n v="177.6"/>
    <n v="109.625"/>
    <n v="37.000000000000007"/>
    <n v="227"/>
    <n v="112"/>
    <n v="227"/>
    <x v="0"/>
    <x v="2"/>
  </r>
  <r>
    <x v="3"/>
    <n v="23.9"/>
    <n v="195.8"/>
    <n v="97.1"/>
    <n v="7.89"/>
    <n v="17.8"/>
    <n v="3.38"/>
    <n v="10"/>
    <n v="22.8"/>
    <n v="1.1200000000000001"/>
    <n v="39.833333333333329"/>
    <n v="195.8"/>
    <n v="121.375"/>
    <n v="19.725000000000001"/>
    <n v="44.500000000000007"/>
    <n v="169"/>
    <n v="196"/>
    <x v="1"/>
    <x v="3"/>
  </r>
  <r>
    <x v="4"/>
    <n v="24.3"/>
    <n v="252"/>
    <n v="66.5"/>
    <n v="12.15"/>
    <n v="68.099999999999994"/>
    <n v="1.38"/>
    <n v="25.4"/>
    <n v="87.2"/>
    <n v="2.4500000000000002"/>
    <n v="40.5"/>
    <n v="252"/>
    <n v="83.125"/>
    <n v="30.375"/>
    <n v="170.25"/>
    <n v="68.999999999999986"/>
    <n v="252"/>
    <x v="0"/>
    <x v="3"/>
  </r>
  <r>
    <x v="0"/>
    <n v="151.1"/>
    <n v="194.1"/>
    <n v="116.8"/>
    <n v="0.5"/>
    <n v="1"/>
    <n v="1.78"/>
    <n v="13.8"/>
    <n v="50.7"/>
    <n v="2.2400000000000002"/>
    <n v="251.83333333333329"/>
    <n v="194.1"/>
    <n v="146"/>
    <n v="1.25"/>
    <n v="2.5"/>
    <n v="89"/>
    <n v="252"/>
    <x v="0"/>
    <x v="0"/>
  </r>
  <r>
    <x v="1"/>
    <n v="163.19999999999999"/>
    <n v="191.1"/>
    <n v="57"/>
    <n v="12.48"/>
    <n v="23.4"/>
    <n v="1.28"/>
    <n v="8.6999999999999993"/>
    <n v="61.3"/>
    <n v="1.82"/>
    <n v="271.99999999999989"/>
    <n v="191.1"/>
    <n v="71.25"/>
    <n v="31.2"/>
    <n v="58.5"/>
    <n v="64"/>
    <n v="272"/>
    <x v="0"/>
    <x v="0"/>
  </r>
  <r>
    <x v="2"/>
    <n v="135.30000000000001"/>
    <n v="50.4"/>
    <n v="51.9"/>
    <n v="25.94"/>
    <n v="14.1"/>
    <n v="1.61"/>
    <n v="11.5"/>
    <n v="35.700000000000003"/>
    <n v="4.3600000000000003"/>
    <n v="225.5"/>
    <n v="50.4"/>
    <n v="64.875"/>
    <n v="64.850000000000009"/>
    <n v="35.25"/>
    <n v="80.5"/>
    <n v="226"/>
    <x v="0"/>
    <x v="0"/>
  </r>
  <r>
    <x v="3"/>
    <n v="104.2"/>
    <n v="204.8"/>
    <n v="17.7"/>
    <n v="15.67"/>
    <n v="62"/>
    <n v="3.02"/>
    <n v="24.7"/>
    <n v="39.700000000000003"/>
    <n v="2.88"/>
    <n v="173.66666666666671"/>
    <n v="204.8"/>
    <n v="22.125"/>
    <n v="39.174999999999997"/>
    <n v="155"/>
    <n v="151"/>
    <n v="205"/>
    <x v="0"/>
    <x v="3"/>
  </r>
  <r>
    <x v="4"/>
    <n v="140.80000000000001"/>
    <n v="21.7"/>
    <n v="39.700000000000003"/>
    <n v="21.9"/>
    <n v="61.3"/>
    <n v="0.48"/>
    <n v="25.6"/>
    <n v="61.7"/>
    <n v="3.94"/>
    <n v="234.66666666666671"/>
    <n v="21.7"/>
    <n v="49.625"/>
    <n v="54.749999999999993"/>
    <n v="153.25"/>
    <n v="24"/>
    <n v="235"/>
    <x v="0"/>
    <x v="0"/>
  </r>
  <r>
    <x v="0"/>
    <n v="75.400000000000006"/>
    <n v="292"/>
    <n v="113.9"/>
    <n v="11.49"/>
    <n v="41.9"/>
    <n v="1.49"/>
    <n v="31.6"/>
    <n v="57.8"/>
    <n v="1.39"/>
    <n v="125.6666666666667"/>
    <n v="292"/>
    <n v="142.375"/>
    <n v="28.725000000000001"/>
    <n v="104.75"/>
    <n v="74.5"/>
    <n v="292"/>
    <x v="0"/>
    <x v="3"/>
  </r>
  <r>
    <x v="1"/>
    <n v="77.099999999999994"/>
    <n v="255.2"/>
    <n v="120.1"/>
    <n v="2.64"/>
    <n v="97"/>
    <n v="2.77"/>
    <n v="23.3"/>
    <n v="58.3"/>
    <n v="2.52"/>
    <n v="128.5"/>
    <n v="255.2"/>
    <n v="150.125"/>
    <n v="6.6"/>
    <n v="242.5"/>
    <n v="138.5"/>
    <n v="255"/>
    <x v="0"/>
    <x v="3"/>
  </r>
  <r>
    <x v="2"/>
    <n v="84.4"/>
    <n v="275.2"/>
    <n v="68.2"/>
    <n v="17.989999999999998"/>
    <n v="24.9"/>
    <n v="2"/>
    <n v="14.4"/>
    <n v="81.900000000000006"/>
    <n v="1.5"/>
    <n v="140.66666666666671"/>
    <n v="275.2"/>
    <n v="85.25"/>
    <n v="44.974999999999987"/>
    <n v="62.25"/>
    <n v="100"/>
    <n v="275"/>
    <x v="0"/>
    <x v="3"/>
  </r>
  <r>
    <x v="3"/>
    <n v="80.400000000000006"/>
    <n v="161.80000000000001"/>
    <n v="60.7"/>
    <n v="18.579999999999998"/>
    <n v="28.9"/>
    <n v="3.26"/>
    <n v="14.3"/>
    <n v="63"/>
    <n v="1.57"/>
    <n v="134"/>
    <n v="161.80000000000001"/>
    <n v="75.875"/>
    <n v="46.45"/>
    <n v="72.25"/>
    <n v="163"/>
    <n v="163"/>
    <x v="1"/>
    <x v="4"/>
  </r>
  <r>
    <x v="4"/>
    <n v="127.8"/>
    <n v="209.5"/>
    <n v="73.7"/>
    <n v="24.54"/>
    <n v="23.4"/>
    <n v="2.73"/>
    <n v="14.6"/>
    <n v="62"/>
    <n v="1.57"/>
    <n v="213"/>
    <n v="209.5"/>
    <n v="92.125"/>
    <n v="61.349999999999987"/>
    <n v="58.5"/>
    <n v="136.5"/>
    <n v="213"/>
    <x v="0"/>
    <x v="0"/>
  </r>
  <r>
    <x v="0"/>
    <n v="73.8"/>
    <n v="211.7"/>
    <n v="149.6"/>
    <n v="15.65"/>
    <n v="84.2"/>
    <n v="2.4500000000000002"/>
    <n v="17.3"/>
    <n v="87.7"/>
    <n v="3.02"/>
    <n v="123"/>
    <n v="211.7"/>
    <n v="187"/>
    <n v="39.125"/>
    <n v="210.5"/>
    <n v="122.5"/>
    <n v="212"/>
    <x v="0"/>
    <x v="3"/>
  </r>
  <r>
    <x v="1"/>
    <n v="81.400000000000006"/>
    <n v="296.5"/>
    <n v="78.3"/>
    <n v="0.5"/>
    <n v="71.3"/>
    <n v="3.71"/>
    <n v="32.9"/>
    <n v="67.599999999999994"/>
    <n v="2.2000000000000002"/>
    <n v="135.66666666666671"/>
    <n v="296.5"/>
    <n v="97.874999999999986"/>
    <n v="1.25"/>
    <n v="178.25"/>
    <n v="185.5"/>
    <n v="296"/>
    <x v="0"/>
    <x v="3"/>
  </r>
  <r>
    <x v="2"/>
    <n v="129.30000000000001"/>
    <n v="259.89999999999998"/>
    <n v="118.2"/>
    <n v="11.82"/>
    <n v="30.7"/>
    <n v="1.17"/>
    <n v="23.8"/>
    <n v="32.1"/>
    <n v="3.43"/>
    <n v="215.5"/>
    <n v="259.89999999999998"/>
    <n v="147.75"/>
    <n v="29.55"/>
    <n v="76.75"/>
    <n v="58.5"/>
    <n v="260"/>
    <x v="0"/>
    <x v="3"/>
  </r>
  <r>
    <x v="3"/>
    <n v="124.2"/>
    <n v="248.2"/>
    <n v="76.400000000000006"/>
    <n v="25.06"/>
    <n v="55.6"/>
    <n v="1.34"/>
    <n v="15.9"/>
    <n v="44.2"/>
    <n v="3.16"/>
    <n v="207"/>
    <n v="248.2"/>
    <n v="95.5"/>
    <n v="62.65"/>
    <n v="139"/>
    <n v="67"/>
    <n v="248"/>
    <x v="0"/>
    <x v="3"/>
  </r>
  <r>
    <x v="4"/>
    <n v="52.8"/>
    <n v="325.60000000000002"/>
    <n v="125.8"/>
    <n v="6.34"/>
    <n v="35"/>
    <n v="2.13"/>
    <n v="26.2"/>
    <n v="89"/>
    <n v="0.98"/>
    <n v="88"/>
    <n v="325.60000000000002"/>
    <n v="157.25"/>
    <n v="15.85"/>
    <n v="87.5"/>
    <n v="106.5"/>
    <n v="326"/>
    <x v="2"/>
    <x v="3"/>
  </r>
  <r>
    <x v="0"/>
    <n v="92.8"/>
    <n v="191.4"/>
    <n v="31.3"/>
    <n v="10.26"/>
    <n v="52.5"/>
    <n v="1.9"/>
    <n v="9.1999999999999993"/>
    <n v="100"/>
    <n v="2.82"/>
    <n v="154.66666666666671"/>
    <n v="191.4"/>
    <n v="39.125"/>
    <n v="25.65"/>
    <n v="131.25"/>
    <n v="95"/>
    <n v="191"/>
    <x v="1"/>
    <x v="3"/>
  </r>
  <r>
    <x v="1"/>
    <n v="126.7"/>
    <n v="108.2"/>
    <n v="100.4"/>
    <n v="14.36"/>
    <n v="1"/>
    <n v="1.1200000000000001"/>
    <n v="25.6"/>
    <n v="95"/>
    <n v="2.94"/>
    <n v="211.16666666666671"/>
    <n v="108.2"/>
    <n v="125.5"/>
    <n v="35.9"/>
    <n v="2.5"/>
    <n v="56.000000000000007"/>
    <n v="211"/>
    <x v="0"/>
    <x v="0"/>
  </r>
  <r>
    <x v="2"/>
    <n v="141.5"/>
    <n v="168.2"/>
    <n v="65.8"/>
    <n v="20.45"/>
    <n v="69.7"/>
    <n v="3.01"/>
    <n v="12.5"/>
    <n v="58.8"/>
    <n v="2.83"/>
    <n v="235.83333333333329"/>
    <n v="168.2"/>
    <n v="82.249999999999986"/>
    <n v="51.125"/>
    <n v="174.25"/>
    <n v="150.5"/>
    <n v="236"/>
    <x v="0"/>
    <x v="0"/>
  </r>
  <r>
    <x v="3"/>
    <n v="83.5"/>
    <n v="229.2"/>
    <n v="98.3"/>
    <n v="20.82"/>
    <n v="73.900000000000006"/>
    <n v="1.6"/>
    <n v="10.5"/>
    <n v="66.400000000000006"/>
    <n v="4.76"/>
    <n v="139.16666666666671"/>
    <n v="229.2"/>
    <n v="122.875"/>
    <n v="52.05"/>
    <n v="184.75"/>
    <n v="80"/>
    <n v="229"/>
    <x v="0"/>
    <x v="3"/>
  </r>
  <r>
    <x v="4"/>
    <n v="80.400000000000006"/>
    <n v="283.7"/>
    <n v="103.7"/>
    <n v="15.76"/>
    <n v="39.799999999999997"/>
    <n v="1.1399999999999999"/>
    <n v="4"/>
    <n v="40"/>
    <n v="2.5299999999999998"/>
    <n v="134"/>
    <n v="283.7"/>
    <n v="129.625"/>
    <n v="39.4"/>
    <n v="99.499999999999986"/>
    <n v="56.999999999999993"/>
    <n v="284"/>
    <x v="0"/>
    <x v="3"/>
  </r>
  <r>
    <x v="0"/>
    <n v="171"/>
    <n v="209.4"/>
    <n v="63.7"/>
    <n v="6.52"/>
    <n v="58.4"/>
    <n v="3.71"/>
    <n v="27.4"/>
    <n v="70.900000000000006"/>
    <n v="0.73"/>
    <n v="285"/>
    <n v="209.4"/>
    <n v="79.625"/>
    <n v="16.3"/>
    <n v="146"/>
    <n v="185.5"/>
    <n v="285"/>
    <x v="0"/>
    <x v="0"/>
  </r>
  <r>
    <x v="1"/>
    <n v="98.9"/>
    <n v="473.7"/>
    <n v="134.9"/>
    <n v="0.62"/>
    <n v="43.4"/>
    <n v="2.84"/>
    <n v="14.7"/>
    <n v="18.399999999999999"/>
    <n v="2.62"/>
    <n v="164.83333333333329"/>
    <n v="473.7"/>
    <n v="168.625"/>
    <n v="1.55"/>
    <n v="108.5"/>
    <n v="142"/>
    <n v="474"/>
    <x v="2"/>
    <x v="3"/>
  </r>
  <r>
    <x v="2"/>
    <n v="55.3"/>
    <n v="110.9"/>
    <n v="57.6"/>
    <n v="11.14"/>
    <n v="34"/>
    <n v="1.02"/>
    <n v="18.5"/>
    <n v="28.4"/>
    <n v="2.87"/>
    <n v="92.166666666666657"/>
    <n v="110.9"/>
    <n v="72.000000000000014"/>
    <n v="27.85"/>
    <n v="85"/>
    <n v="51.000000000000007"/>
    <n v="111"/>
    <x v="1"/>
    <x v="3"/>
  </r>
  <r>
    <x v="3"/>
    <n v="2"/>
    <n v="164.2"/>
    <n v="101.4"/>
    <n v="4.33"/>
    <n v="52.1"/>
    <n v="3.03"/>
    <n v="-3.2"/>
    <n v="57.3"/>
    <n v="0.2"/>
    <n v="3.333333333333333"/>
    <n v="164.2"/>
    <n v="126.75"/>
    <n v="10.824999999999999"/>
    <n v="130.25"/>
    <n v="151.5"/>
    <n v="164"/>
    <x v="1"/>
    <x v="3"/>
  </r>
  <r>
    <x v="4"/>
    <n v="99.4"/>
    <n v="210.4"/>
    <n v="2"/>
    <n v="31.02"/>
    <n v="46.7"/>
    <n v="1.22"/>
    <n v="30.3"/>
    <n v="27.7"/>
    <n v="1.52"/>
    <n v="165.66666666666671"/>
    <n v="210.4"/>
    <n v="2.5"/>
    <n v="77.55"/>
    <n v="116.75"/>
    <n v="61"/>
    <n v="210"/>
    <x v="0"/>
    <x v="3"/>
  </r>
  <r>
    <x v="0"/>
    <n v="2"/>
    <n v="419.6"/>
    <n v="95"/>
    <n v="20.79"/>
    <n v="49.2"/>
    <n v="2.84"/>
    <n v="20.5"/>
    <n v="64.900000000000006"/>
    <n v="2.63"/>
    <n v="3.333333333333333"/>
    <n v="419.6"/>
    <n v="118.75"/>
    <n v="51.975000000000001"/>
    <n v="123"/>
    <n v="142"/>
    <n v="420"/>
    <x v="2"/>
    <x v="3"/>
  </r>
  <r>
    <x v="1"/>
    <n v="83.5"/>
    <n v="234.4"/>
    <n v="100.9"/>
    <n v="17.11"/>
    <n v="3.4"/>
    <n v="0.79"/>
    <n v="27.6"/>
    <n v="54.5"/>
    <n v="3.2"/>
    <n v="139.16666666666671"/>
    <n v="234.4"/>
    <n v="126.125"/>
    <n v="42.774999999999999"/>
    <n v="8.5"/>
    <n v="39.5"/>
    <n v="234"/>
    <x v="0"/>
    <x v="3"/>
  </r>
  <r>
    <x v="2"/>
    <n v="41.4"/>
    <n v="48"/>
    <n v="42.8"/>
    <n v="10.47"/>
    <n v="20"/>
    <n v="3"/>
    <n v="21.3"/>
    <n v="93.3"/>
    <n v="2.99"/>
    <n v="68.999999999999986"/>
    <n v="48"/>
    <n v="53.5"/>
    <n v="26.175000000000001"/>
    <n v="50"/>
    <n v="150"/>
    <n v="150"/>
    <x v="1"/>
    <x v="4"/>
  </r>
  <r>
    <x v="3"/>
    <n v="2"/>
    <n v="293.39999999999998"/>
    <n v="23.7"/>
    <n v="14.64"/>
    <n v="18.600000000000001"/>
    <n v="3.98"/>
    <n v="30.1"/>
    <n v="46.6"/>
    <n v="2.35"/>
    <n v="3.333333333333333"/>
    <n v="293.39999999999998"/>
    <n v="29.625"/>
    <n v="36.6"/>
    <n v="46.500000000000007"/>
    <n v="199"/>
    <n v="293"/>
    <x v="0"/>
    <x v="3"/>
  </r>
  <r>
    <x v="4"/>
    <n v="118.5"/>
    <n v="302.39999999999998"/>
    <n v="80.2"/>
    <n v="5.0599999999999996"/>
    <n v="21.8"/>
    <n v="2.11"/>
    <n v="28.6"/>
    <n v="67.7"/>
    <n v="2.0699999999999998"/>
    <n v="197.5"/>
    <n v="302.39999999999998"/>
    <n v="100.25"/>
    <n v="12.65"/>
    <n v="54.5"/>
    <n v="105.5"/>
    <n v="302"/>
    <x v="2"/>
    <x v="3"/>
  </r>
  <r>
    <x v="0"/>
    <n v="146.19999999999999"/>
    <n v="178.1"/>
    <n v="115.6"/>
    <n v="37.97"/>
    <n v="32.1"/>
    <n v="3.09"/>
    <n v="14.8"/>
    <n v="58"/>
    <n v="2.54"/>
    <n v="243.6666666666666"/>
    <n v="178.1"/>
    <n v="144.5"/>
    <n v="94.924999999999997"/>
    <n v="80.25"/>
    <n v="154.5"/>
    <n v="244"/>
    <x v="0"/>
    <x v="0"/>
  </r>
  <r>
    <x v="1"/>
    <n v="108.4"/>
    <n v="535.6"/>
    <n v="77.7"/>
    <n v="21.87"/>
    <n v="1"/>
    <n v="2.92"/>
    <n v="28"/>
    <n v="50.5"/>
    <n v="0.2"/>
    <n v="180.66666666666671"/>
    <n v="500"/>
    <n v="97.125"/>
    <n v="54.674999999999997"/>
    <n v="2.5"/>
    <n v="146"/>
    <n v="500"/>
    <x v="2"/>
    <x v="3"/>
  </r>
  <r>
    <x v="2"/>
    <n v="89.4"/>
    <n v="184"/>
    <n v="90.4"/>
    <n v="27.44"/>
    <n v="26.1"/>
    <n v="1.04"/>
    <n v="11.8"/>
    <n v="63.6"/>
    <n v="3.08"/>
    <n v="149"/>
    <n v="184"/>
    <n v="113"/>
    <n v="68.600000000000009"/>
    <n v="65.25"/>
    <n v="52.000000000000007"/>
    <n v="184"/>
    <x v="1"/>
    <x v="3"/>
  </r>
  <r>
    <x v="3"/>
    <n v="69.8"/>
    <n v="266.8"/>
    <n v="86.9"/>
    <n v="13.15"/>
    <n v="15.7"/>
    <n v="1.46"/>
    <n v="3"/>
    <n v="64.2"/>
    <n v="2.5299999999999998"/>
    <n v="116.3333333333333"/>
    <n v="266.8"/>
    <n v="108.625"/>
    <n v="32.875"/>
    <n v="39.25"/>
    <n v="73"/>
    <n v="267"/>
    <x v="0"/>
    <x v="3"/>
  </r>
  <r>
    <x v="4"/>
    <n v="115.6"/>
    <n v="264.5"/>
    <n v="92.8"/>
    <n v="13.11"/>
    <n v="40.799999999999997"/>
    <n v="0.63"/>
    <n v="15.9"/>
    <n v="60.9"/>
    <n v="2.12"/>
    <n v="192.66666666666671"/>
    <n v="264.5"/>
    <n v="116"/>
    <n v="32.774999999999999"/>
    <n v="102"/>
    <n v="31.5"/>
    <n v="264"/>
    <x v="0"/>
    <x v="3"/>
  </r>
  <r>
    <x v="0"/>
    <n v="157.9"/>
    <n v="148.1"/>
    <n v="90.8"/>
    <n v="15.79"/>
    <n v="60.7"/>
    <n v="3.2"/>
    <n v="24.9"/>
    <n v="22.1"/>
    <n v="3.93"/>
    <n v="263.16666666666669"/>
    <n v="148.1"/>
    <n v="113.5"/>
    <n v="39.474999999999987"/>
    <n v="151.75"/>
    <n v="160"/>
    <n v="263"/>
    <x v="0"/>
    <x v="0"/>
  </r>
  <r>
    <x v="1"/>
    <n v="211.6"/>
    <n v="182.1"/>
    <n v="99.5"/>
    <n v="7.09"/>
    <n v="1"/>
    <n v="1.51"/>
    <n v="16.2"/>
    <n v="53.6"/>
    <n v="1.35"/>
    <n v="352.66666666666669"/>
    <n v="182.1"/>
    <n v="124.375"/>
    <n v="17.725000000000001"/>
    <n v="2.5"/>
    <n v="75.5"/>
    <n v="353"/>
    <x v="2"/>
    <x v="0"/>
  </r>
  <r>
    <x v="2"/>
    <n v="57.8"/>
    <n v="181.4"/>
    <n v="45"/>
    <n v="16.29"/>
    <n v="48.8"/>
    <n v="3.99"/>
    <n v="27.9"/>
    <n v="64.400000000000006"/>
    <n v="1.76"/>
    <n v="96.333333333333329"/>
    <n v="181.4"/>
    <n v="56.25"/>
    <n v="40.724999999999987"/>
    <n v="122"/>
    <n v="199.5"/>
    <n v="200"/>
    <x v="1"/>
    <x v="4"/>
  </r>
  <r>
    <x v="3"/>
    <n v="110.1"/>
    <n v="223.4"/>
    <n v="55.6"/>
    <n v="19.07"/>
    <n v="4.5"/>
    <n v="1.69"/>
    <n v="23.9"/>
    <n v="54.8"/>
    <n v="2.25"/>
    <n v="183.5"/>
    <n v="223.4"/>
    <n v="69.5"/>
    <n v="47.674999999999997"/>
    <n v="11.25"/>
    <n v="84.499999999999986"/>
    <n v="223"/>
    <x v="0"/>
    <x v="3"/>
  </r>
  <r>
    <x v="4"/>
    <n v="98.3"/>
    <n v="123"/>
    <n v="120.5"/>
    <n v="5.12"/>
    <n v="47.5"/>
    <n v="2.5499999999999998"/>
    <n v="13.4"/>
    <n v="61.3"/>
    <n v="1.91"/>
    <n v="163.83333333333329"/>
    <n v="123"/>
    <n v="150.625"/>
    <n v="12.8"/>
    <n v="118.75"/>
    <n v="127.5"/>
    <n v="164"/>
    <x v="1"/>
    <x v="0"/>
  </r>
  <r>
    <x v="0"/>
    <n v="187.2"/>
    <n v="95.1"/>
    <n v="58.7"/>
    <n v="3.46"/>
    <n v="6.3"/>
    <n v="3.96"/>
    <n v="23.8"/>
    <n v="62.5"/>
    <n v="1.71"/>
    <n v="312"/>
    <n v="95.1"/>
    <n v="73.375000000000014"/>
    <n v="8.65"/>
    <n v="15.75"/>
    <n v="198"/>
    <n v="312"/>
    <x v="2"/>
    <x v="0"/>
  </r>
  <r>
    <x v="1"/>
    <n v="174.5"/>
    <n v="141.1"/>
    <n v="121.7"/>
    <n v="7.27"/>
    <n v="26.9"/>
    <n v="3.31"/>
    <n v="26"/>
    <n v="70.8"/>
    <n v="1.24"/>
    <n v="290.83333333333331"/>
    <n v="141.1"/>
    <n v="152.125"/>
    <n v="18.175000000000001"/>
    <n v="67.249999999999986"/>
    <n v="165.5"/>
    <n v="291"/>
    <x v="0"/>
    <x v="0"/>
  </r>
  <r>
    <x v="2"/>
    <n v="70.8"/>
    <n v="196.7"/>
    <n v="42.6"/>
    <n v="22.58"/>
    <n v="1"/>
    <n v="1.1100000000000001"/>
    <n v="16.399999999999999"/>
    <n v="10"/>
    <n v="0.82"/>
    <n v="118"/>
    <n v="196.7"/>
    <n v="53.25"/>
    <n v="56.45"/>
    <n v="2.5"/>
    <n v="55.500000000000007"/>
    <n v="197"/>
    <x v="1"/>
    <x v="3"/>
  </r>
  <r>
    <x v="3"/>
    <n v="126"/>
    <n v="194.9"/>
    <n v="122.3"/>
    <n v="25.16"/>
    <n v="45.7"/>
    <n v="2.2200000000000002"/>
    <n v="20.5"/>
    <n v="12.2"/>
    <n v="0.83"/>
    <n v="210"/>
    <n v="194.9"/>
    <n v="152.875"/>
    <n v="62.9"/>
    <n v="114.25"/>
    <n v="111"/>
    <n v="210"/>
    <x v="0"/>
    <x v="0"/>
  </r>
  <r>
    <x v="4"/>
    <n v="110.9"/>
    <n v="276.3"/>
    <n v="89.4"/>
    <n v="6.23"/>
    <n v="62.8"/>
    <n v="3.68"/>
    <n v="26.6"/>
    <n v="77.8"/>
    <n v="2.33"/>
    <n v="184.83333333333329"/>
    <n v="276.3"/>
    <n v="111.75"/>
    <n v="15.574999999999999"/>
    <n v="157"/>
    <n v="184"/>
    <n v="276"/>
    <x v="0"/>
    <x v="3"/>
  </r>
  <r>
    <x v="0"/>
    <n v="169.8"/>
    <n v="236.9"/>
    <n v="101.6"/>
    <n v="18.079999999999998"/>
    <n v="38.299999999999997"/>
    <n v="1.26"/>
    <n v="19.399999999999999"/>
    <n v="77.8"/>
    <n v="1.97"/>
    <n v="283.00000000000011"/>
    <n v="236.9"/>
    <n v="127"/>
    <n v="45.2"/>
    <n v="95.749999999999986"/>
    <n v="63"/>
    <n v="283"/>
    <x v="0"/>
    <x v="0"/>
  </r>
  <r>
    <x v="1"/>
    <n v="173.6"/>
    <n v="328.4"/>
    <n v="78"/>
    <n v="29.89"/>
    <n v="35"/>
    <n v="4.21"/>
    <n v="23"/>
    <n v="59.7"/>
    <n v="1.43"/>
    <n v="289.33333333333331"/>
    <n v="328.4"/>
    <n v="97.5"/>
    <n v="74.724999999999994"/>
    <n v="87.5"/>
    <n v="210.5"/>
    <n v="328"/>
    <x v="2"/>
    <x v="3"/>
  </r>
  <r>
    <x v="2"/>
    <n v="87.2"/>
    <n v="163.80000000000001"/>
    <n v="30.1"/>
    <n v="10.51"/>
    <n v="17"/>
    <n v="2.36"/>
    <n v="29.1"/>
    <n v="37.9"/>
    <n v="4.55"/>
    <n v="145.33333333333329"/>
    <n v="163.80000000000001"/>
    <n v="37.625"/>
    <n v="26.274999999999999"/>
    <n v="42.5"/>
    <n v="118"/>
    <n v="164"/>
    <x v="1"/>
    <x v="3"/>
  </r>
  <r>
    <x v="3"/>
    <n v="89.8"/>
    <n v="98.4"/>
    <n v="96.2"/>
    <n v="9.23"/>
    <n v="34.200000000000003"/>
    <n v="1.53"/>
    <n v="14.3"/>
    <n v="73"/>
    <n v="2.16"/>
    <n v="149.66666666666671"/>
    <n v="98.4"/>
    <n v="120.25"/>
    <n v="23.074999999999999"/>
    <n v="85.5"/>
    <n v="76.5"/>
    <n v="150"/>
    <x v="1"/>
    <x v="0"/>
  </r>
  <r>
    <x v="4"/>
    <n v="29.7"/>
    <n v="269.39999999999998"/>
    <n v="36.799999999999997"/>
    <n v="3.93"/>
    <n v="69.099999999999994"/>
    <n v="0.85"/>
    <n v="3.8"/>
    <n v="71.2"/>
    <n v="2.64"/>
    <n v="49.499999999999993"/>
    <n v="269.39999999999998"/>
    <n v="46"/>
    <n v="9.8250000000000011"/>
    <n v="172.75"/>
    <n v="42.499999999999993"/>
    <n v="269"/>
    <x v="0"/>
    <x v="3"/>
  </r>
  <r>
    <x v="0"/>
    <n v="98.4"/>
    <n v="186.1"/>
    <n v="91.3"/>
    <n v="7.79"/>
    <n v="79.599999999999994"/>
    <n v="0.57999999999999996"/>
    <n v="23.1"/>
    <n v="71.599999999999994"/>
    <n v="1.59"/>
    <n v="164"/>
    <n v="186.1"/>
    <n v="114.125"/>
    <n v="19.475000000000001"/>
    <n v="199"/>
    <n v="29"/>
    <n v="199"/>
    <x v="1"/>
    <x v="2"/>
  </r>
  <r>
    <x v="1"/>
    <n v="58.6"/>
    <n v="362.1"/>
    <n v="50.4"/>
    <n v="9.93"/>
    <n v="70"/>
    <n v="2.44"/>
    <n v="7.4"/>
    <n v="91.4"/>
    <n v="1.86"/>
    <n v="97.666666666666671"/>
    <n v="362.1"/>
    <n v="63"/>
    <n v="24.824999999999999"/>
    <n v="175"/>
    <n v="122"/>
    <n v="362"/>
    <x v="2"/>
    <x v="3"/>
  </r>
  <r>
    <x v="2"/>
    <n v="72.8"/>
    <n v="205.7"/>
    <n v="87.4"/>
    <n v="27.06"/>
    <n v="1"/>
    <n v="2.58"/>
    <n v="25.2"/>
    <n v="57.5"/>
    <n v="3.44"/>
    <n v="121.3333333333333"/>
    <n v="205.7"/>
    <n v="109.25"/>
    <n v="67.650000000000006"/>
    <n v="2.5"/>
    <n v="129"/>
    <n v="206"/>
    <x v="0"/>
    <x v="3"/>
  </r>
  <r>
    <x v="3"/>
    <n v="140.80000000000001"/>
    <n v="59.3"/>
    <n v="128"/>
    <n v="0.5"/>
    <n v="10.5"/>
    <n v="1.67"/>
    <n v="33.5"/>
    <n v="54.5"/>
    <n v="2.46"/>
    <n v="234.66666666666671"/>
    <n v="59.3"/>
    <n v="160"/>
    <n v="1.25"/>
    <n v="26.25"/>
    <n v="83.499999999999986"/>
    <n v="235"/>
    <x v="0"/>
    <x v="0"/>
  </r>
  <r>
    <x v="4"/>
    <n v="181.2"/>
    <n v="179.5"/>
    <n v="37.700000000000003"/>
    <n v="10.41"/>
    <n v="73.5"/>
    <n v="2.19"/>
    <n v="33.5"/>
    <n v="73.3"/>
    <n v="2.23"/>
    <n v="302"/>
    <n v="179.5"/>
    <n v="47.125"/>
    <n v="26.024999999999999"/>
    <n v="183.75"/>
    <n v="109.5"/>
    <n v="302"/>
    <x v="2"/>
    <x v="0"/>
  </r>
  <r>
    <x v="0"/>
    <n v="113.2"/>
    <n v="126.6"/>
    <n v="58.2"/>
    <n v="55.93"/>
    <n v="67.8"/>
    <n v="3.16"/>
    <n v="15.6"/>
    <n v="88.3"/>
    <n v="3.82"/>
    <n v="188.66666666666671"/>
    <n v="126.6"/>
    <n v="72.750000000000014"/>
    <n v="139.82499999999999"/>
    <n v="169.5"/>
    <n v="158"/>
    <n v="189"/>
    <x v="1"/>
    <x v="0"/>
  </r>
  <r>
    <x v="1"/>
    <n v="232.9"/>
    <n v="460"/>
    <n v="30.8"/>
    <n v="4.9000000000000004"/>
    <n v="16.8"/>
    <n v="1.27"/>
    <n v="22.3"/>
    <n v="49.8"/>
    <n v="4.99"/>
    <n v="388.16666666666669"/>
    <n v="460"/>
    <n v="38.5"/>
    <n v="12.25"/>
    <n v="42"/>
    <n v="63.5"/>
    <n v="460"/>
    <x v="2"/>
    <x v="3"/>
  </r>
  <r>
    <x v="2"/>
    <n v="178.1"/>
    <n v="181.8"/>
    <n v="127.8"/>
    <n v="23.47"/>
    <n v="24.6"/>
    <n v="0.05"/>
    <n v="18.5"/>
    <n v="48.4"/>
    <n v="2.75"/>
    <n v="296.83333333333331"/>
    <n v="181.8"/>
    <n v="159.75"/>
    <n v="58.674999999999997"/>
    <n v="61.500000000000007"/>
    <n v="2.5"/>
    <n v="297"/>
    <x v="0"/>
    <x v="0"/>
  </r>
  <r>
    <x v="3"/>
    <n v="100.3"/>
    <n v="198"/>
    <n v="88.8"/>
    <n v="3.1"/>
    <n v="45.3"/>
    <n v="1.5"/>
    <n v="21.4"/>
    <n v="77.2"/>
    <n v="1.03"/>
    <n v="167.16666666666671"/>
    <n v="198"/>
    <n v="111"/>
    <n v="7.75"/>
    <n v="113.25"/>
    <n v="75"/>
    <n v="198"/>
    <x v="1"/>
    <x v="3"/>
  </r>
  <r>
    <x v="4"/>
    <n v="90.7"/>
    <n v="198.7"/>
    <n v="61.1"/>
    <n v="22"/>
    <n v="21.8"/>
    <n v="1.53"/>
    <n v="15"/>
    <n v="79.7"/>
    <n v="2.41"/>
    <n v="151.16666666666671"/>
    <n v="198.7"/>
    <n v="76.375"/>
    <n v="55"/>
    <n v="54.5"/>
    <n v="76.5"/>
    <n v="199"/>
    <x v="1"/>
    <x v="3"/>
  </r>
  <r>
    <x v="0"/>
    <n v="135.80000000000001"/>
    <n v="438.9"/>
    <n v="80"/>
    <n v="24.95"/>
    <n v="84.6"/>
    <n v="3.34"/>
    <n v="19.899999999999999"/>
    <n v="71.599999999999994"/>
    <n v="0.96"/>
    <n v="226.3333333333334"/>
    <n v="438.9"/>
    <n v="100"/>
    <n v="62.375"/>
    <n v="211.5"/>
    <n v="167"/>
    <n v="439"/>
    <x v="2"/>
    <x v="3"/>
  </r>
  <r>
    <x v="1"/>
    <n v="73.2"/>
    <n v="167.4"/>
    <n v="179.6"/>
    <n v="7.87"/>
    <n v="21.7"/>
    <n v="1.1499999999999999"/>
    <n v="23.9"/>
    <n v="62.6"/>
    <n v="3.8"/>
    <n v="122"/>
    <n v="167.4"/>
    <n v="224.5"/>
    <n v="19.675000000000001"/>
    <n v="54.25"/>
    <n v="57.499999999999993"/>
    <n v="224"/>
    <x v="0"/>
    <x v="1"/>
  </r>
  <r>
    <x v="2"/>
    <n v="121.8"/>
    <n v="56.5"/>
    <n v="43.9"/>
    <n v="22.54"/>
    <n v="29.9"/>
    <n v="2.91"/>
    <n v="19"/>
    <n v="42.6"/>
    <n v="2.14"/>
    <n v="203"/>
    <n v="56.5"/>
    <n v="54.875"/>
    <n v="56.349999999999987"/>
    <n v="74.75"/>
    <n v="145.5"/>
    <n v="203"/>
    <x v="0"/>
    <x v="0"/>
  </r>
  <r>
    <x v="3"/>
    <n v="49.5"/>
    <n v="137.69999999999999"/>
    <n v="78.400000000000006"/>
    <n v="16.89"/>
    <n v="1"/>
    <n v="1.9"/>
    <n v="15.9"/>
    <n v="48.3"/>
    <n v="2.66"/>
    <n v="82.5"/>
    <n v="137.69999999999999"/>
    <n v="98"/>
    <n v="42.225000000000001"/>
    <n v="2.5"/>
    <n v="95"/>
    <n v="138"/>
    <x v="1"/>
    <x v="3"/>
  </r>
  <r>
    <x v="4"/>
    <n v="76.5"/>
    <n v="357.2"/>
    <n v="121"/>
    <n v="24.48"/>
    <n v="27.4"/>
    <n v="1.1000000000000001"/>
    <n v="20.6"/>
    <n v="57.3"/>
    <n v="2.27"/>
    <n v="127.5"/>
    <n v="357.2"/>
    <n v="151.25"/>
    <n v="61.2"/>
    <n v="68.499999999999986"/>
    <n v="55.000000000000007"/>
    <n v="357"/>
    <x v="2"/>
    <x v="3"/>
  </r>
  <r>
    <x v="0"/>
    <n v="45.5"/>
    <n v="216.2"/>
    <n v="67.900000000000006"/>
    <n v="21.05"/>
    <n v="58.6"/>
    <n v="3.42"/>
    <n v="11.2"/>
    <n v="67.2"/>
    <n v="1.63"/>
    <n v="75.833333333333343"/>
    <n v="216.2"/>
    <n v="84.875"/>
    <n v="52.625000000000007"/>
    <n v="146.5"/>
    <n v="171"/>
    <n v="216"/>
    <x v="0"/>
    <x v="3"/>
  </r>
  <r>
    <x v="1"/>
    <n v="46.8"/>
    <n v="188.6"/>
    <n v="132.69999999999999"/>
    <n v="12.28"/>
    <n v="89"/>
    <n v="3.06"/>
    <n v="17.2"/>
    <n v="80.900000000000006"/>
    <n v="3.03"/>
    <n v="78"/>
    <n v="188.6"/>
    <n v="165.875"/>
    <n v="30.7"/>
    <n v="222.5"/>
    <n v="153"/>
    <n v="222"/>
    <x v="0"/>
    <x v="2"/>
  </r>
  <r>
    <x v="2"/>
    <n v="48.7"/>
    <n v="351.9"/>
    <n v="76.3"/>
    <n v="12.3"/>
    <n v="15.9"/>
    <n v="2.9"/>
    <n v="23.6"/>
    <n v="71.3"/>
    <n v="1.89"/>
    <n v="81.166666666666671"/>
    <n v="351.9"/>
    <n v="95.375"/>
    <n v="30.75"/>
    <n v="39.75"/>
    <n v="145"/>
    <n v="352"/>
    <x v="2"/>
    <x v="3"/>
  </r>
  <r>
    <x v="3"/>
    <n v="136"/>
    <n v="279.5"/>
    <n v="50.6"/>
    <n v="1.46"/>
    <n v="49.1"/>
    <n v="0.41"/>
    <n v="21.1"/>
    <n v="51.9"/>
    <n v="3.96"/>
    <n v="226.66666666666671"/>
    <n v="279.5"/>
    <n v="63.25"/>
    <n v="3.65"/>
    <n v="122.75"/>
    <n v="20.5"/>
    <n v="280"/>
    <x v="0"/>
    <x v="3"/>
  </r>
  <r>
    <x v="4"/>
    <n v="84.9"/>
    <n v="328.1"/>
    <n v="61.1"/>
    <n v="22.88"/>
    <n v="90.6"/>
    <n v="0.98"/>
    <n v="22"/>
    <n v="100"/>
    <n v="3.08"/>
    <n v="141.5"/>
    <n v="328.1"/>
    <n v="76.375"/>
    <n v="57.2"/>
    <n v="226.5"/>
    <n v="49"/>
    <n v="328"/>
    <x v="2"/>
    <x v="3"/>
  </r>
  <r>
    <x v="0"/>
    <n v="113.8"/>
    <n v="307.89999999999998"/>
    <n v="84.3"/>
    <n v="0.5"/>
    <n v="70.7"/>
    <n v="0.05"/>
    <n v="17.100000000000001"/>
    <n v="81.7"/>
    <n v="2.0699999999999998"/>
    <n v="189.66666666666671"/>
    <n v="307.89999999999998"/>
    <n v="105.375"/>
    <n v="1.25"/>
    <n v="176.75"/>
    <n v="2.5"/>
    <n v="308"/>
    <x v="2"/>
    <x v="3"/>
  </r>
  <r>
    <x v="1"/>
    <n v="78.400000000000006"/>
    <n v="345.5"/>
    <n v="56"/>
    <n v="3.78"/>
    <n v="52.7"/>
    <n v="2.1800000000000002"/>
    <n v="11.3"/>
    <n v="71.5"/>
    <n v="3.06"/>
    <n v="130.66666666666671"/>
    <n v="345.5"/>
    <n v="70"/>
    <n v="9.4499999999999993"/>
    <n v="131.75"/>
    <n v="109"/>
    <n v="346"/>
    <x v="2"/>
    <x v="3"/>
  </r>
  <r>
    <x v="2"/>
    <n v="74.8"/>
    <n v="155.80000000000001"/>
    <n v="82.7"/>
    <n v="21.21"/>
    <n v="28.2"/>
    <n v="2.42"/>
    <n v="24"/>
    <n v="75.8"/>
    <n v="2.5499999999999998"/>
    <n v="124.6666666666667"/>
    <n v="155.80000000000001"/>
    <n v="103.375"/>
    <n v="53.025000000000013"/>
    <n v="70.5"/>
    <n v="121"/>
    <n v="156"/>
    <x v="1"/>
    <x v="3"/>
  </r>
  <r>
    <x v="3"/>
    <n v="52.2"/>
    <n v="147.6"/>
    <n v="83"/>
    <n v="27.35"/>
    <n v="25.1"/>
    <n v="2.69"/>
    <n v="17.7"/>
    <n v="62"/>
    <n v="4.32"/>
    <n v="87.000000000000014"/>
    <n v="147.6"/>
    <n v="103.75"/>
    <n v="68.375"/>
    <n v="62.75"/>
    <n v="134.5"/>
    <n v="148"/>
    <x v="1"/>
    <x v="3"/>
  </r>
  <r>
    <x v="4"/>
    <n v="146"/>
    <n v="80.099999999999994"/>
    <n v="59"/>
    <n v="25.13"/>
    <n v="43.1"/>
    <n v="0.9"/>
    <n v="14.3"/>
    <n v="72.7"/>
    <n v="4.1900000000000004"/>
    <n v="243.33333333333329"/>
    <n v="80.099999999999994"/>
    <n v="73.75"/>
    <n v="62.824999999999989"/>
    <n v="107.75"/>
    <n v="45"/>
    <n v="243"/>
    <x v="0"/>
    <x v="0"/>
  </r>
  <r>
    <x v="0"/>
    <n v="111.4"/>
    <n v="494.1"/>
    <n v="113.1"/>
    <n v="12.48"/>
    <n v="20.3"/>
    <n v="1.1299999999999999"/>
    <n v="22.3"/>
    <n v="51.2"/>
    <n v="4.51"/>
    <n v="185.66666666666671"/>
    <n v="494.1"/>
    <n v="141.375"/>
    <n v="31.2"/>
    <n v="50.75"/>
    <n v="56.499999999999993"/>
    <n v="494"/>
    <x v="2"/>
    <x v="3"/>
  </r>
  <r>
    <x v="1"/>
    <n v="208"/>
    <n v="316"/>
    <n v="42.8"/>
    <n v="9.2799999999999994"/>
    <n v="80.3"/>
    <n v="1.72"/>
    <n v="27.9"/>
    <n v="68.5"/>
    <n v="2.56"/>
    <n v="346.66666666666669"/>
    <n v="316"/>
    <n v="53.5"/>
    <n v="23.2"/>
    <n v="200.75"/>
    <n v="86"/>
    <n v="347"/>
    <x v="2"/>
    <x v="0"/>
  </r>
  <r>
    <x v="2"/>
    <n v="59.2"/>
    <n v="173.8"/>
    <n v="74.2"/>
    <n v="20.010000000000002"/>
    <n v="15.3"/>
    <n v="1.58"/>
    <n v="20.3"/>
    <n v="71.900000000000006"/>
    <n v="1.41"/>
    <n v="98.666666666666671"/>
    <n v="173.8"/>
    <n v="92.75"/>
    <n v="50.025000000000013"/>
    <n v="38.25"/>
    <n v="79"/>
    <n v="174"/>
    <x v="1"/>
    <x v="3"/>
  </r>
  <r>
    <x v="3"/>
    <n v="32.799999999999997"/>
    <n v="256.7"/>
    <n v="23.4"/>
    <n v="23.08"/>
    <n v="32.5"/>
    <n v="0.43"/>
    <n v="16.600000000000001"/>
    <n v="66.8"/>
    <n v="1.86"/>
    <n v="54.666666666666657"/>
    <n v="256.7"/>
    <n v="29.25"/>
    <n v="57.7"/>
    <n v="81.25"/>
    <n v="21.5"/>
    <n v="257"/>
    <x v="0"/>
    <x v="3"/>
  </r>
  <r>
    <x v="4"/>
    <n v="106.7"/>
    <n v="289.39999999999998"/>
    <n v="72.099999999999994"/>
    <n v="5.83"/>
    <n v="32.200000000000003"/>
    <n v="3.61"/>
    <n v="31.8"/>
    <n v="23.6"/>
    <n v="4.3099999999999996"/>
    <n v="177.83333333333329"/>
    <n v="289.39999999999998"/>
    <n v="90.125"/>
    <n v="14.574999999999999"/>
    <n v="80.5"/>
    <n v="180.5"/>
    <n v="289"/>
    <x v="0"/>
    <x v="3"/>
  </r>
  <r>
    <x v="0"/>
    <n v="124.2"/>
    <n v="322.8"/>
    <n v="62.5"/>
    <n v="0.5"/>
    <n v="56.5"/>
    <n v="1.17"/>
    <n v="10.3"/>
    <n v="36.299999999999997"/>
    <n v="3.22"/>
    <n v="207"/>
    <n v="322.8"/>
    <n v="78.125"/>
    <n v="1.25"/>
    <n v="141.25"/>
    <n v="58.5"/>
    <n v="323"/>
    <x v="2"/>
    <x v="3"/>
  </r>
  <r>
    <x v="1"/>
    <n v="128.4"/>
    <n v="333.9"/>
    <n v="116.8"/>
    <n v="11.79"/>
    <n v="43"/>
    <n v="1.79"/>
    <n v="18.5"/>
    <n v="42.6"/>
    <n v="2.97"/>
    <n v="214"/>
    <n v="333.9"/>
    <n v="146"/>
    <n v="29.475000000000001"/>
    <n v="107.5"/>
    <n v="89.5"/>
    <n v="334"/>
    <x v="2"/>
    <x v="3"/>
  </r>
  <r>
    <x v="2"/>
    <n v="140.19999999999999"/>
    <n v="107.9"/>
    <n v="107.4"/>
    <n v="13.02"/>
    <n v="39.4"/>
    <n v="0.27"/>
    <n v="7.3"/>
    <n v="62.6"/>
    <n v="3.45"/>
    <n v="233.66666666666671"/>
    <n v="107.9"/>
    <n v="134.25"/>
    <n v="32.549999999999997"/>
    <n v="98.499999999999986"/>
    <n v="13.5"/>
    <n v="234"/>
    <x v="0"/>
    <x v="0"/>
  </r>
  <r>
    <x v="3"/>
    <n v="63.8"/>
    <n v="352.3"/>
    <n v="95.5"/>
    <n v="5.53"/>
    <n v="36.700000000000003"/>
    <n v="4.3"/>
    <n v="11.3"/>
    <n v="69.5"/>
    <n v="2.11"/>
    <n v="106.3333333333333"/>
    <n v="352.3"/>
    <n v="119.375"/>
    <n v="13.824999999999999"/>
    <n v="91.750000000000014"/>
    <n v="215"/>
    <n v="352"/>
    <x v="2"/>
    <x v="3"/>
  </r>
  <r>
    <x v="4"/>
    <n v="142.9"/>
    <n v="345"/>
    <n v="65.599999999999994"/>
    <n v="23.93"/>
    <n v="94.6"/>
    <n v="2.1800000000000002"/>
    <n v="25.5"/>
    <n v="49.4"/>
    <n v="3.02"/>
    <n v="238.16666666666671"/>
    <n v="345"/>
    <n v="81.999999999999986"/>
    <n v="59.825000000000003"/>
    <n v="236.5"/>
    <n v="109"/>
    <n v="345"/>
    <x v="2"/>
    <x v="3"/>
  </r>
  <r>
    <x v="0"/>
    <n v="100.6"/>
    <n v="308.8"/>
    <n v="127.1"/>
    <n v="13.71"/>
    <n v="81.099999999999994"/>
    <n v="3.9"/>
    <n v="25.9"/>
    <n v="50.7"/>
    <n v="1.77"/>
    <n v="167.66666666666671"/>
    <n v="308.8"/>
    <n v="158.875"/>
    <n v="34.274999999999999"/>
    <n v="202.75"/>
    <n v="195"/>
    <n v="309"/>
    <x v="2"/>
    <x v="3"/>
  </r>
  <r>
    <x v="1"/>
    <n v="71.3"/>
    <n v="353.9"/>
    <n v="41.5"/>
    <n v="22.77"/>
    <n v="14.6"/>
    <n v="3.39"/>
    <n v="20.100000000000001"/>
    <n v="84"/>
    <n v="3.87"/>
    <n v="118.8333333333333"/>
    <n v="353.9"/>
    <n v="51.875"/>
    <n v="56.924999999999997"/>
    <n v="36.5"/>
    <n v="169.5"/>
    <n v="354"/>
    <x v="2"/>
    <x v="3"/>
  </r>
  <r>
    <x v="2"/>
    <n v="156.6"/>
    <n v="315.60000000000002"/>
    <n v="72.8"/>
    <n v="3.35"/>
    <n v="11.7"/>
    <n v="0.05"/>
    <n v="12.4"/>
    <n v="61.2"/>
    <n v="1.83"/>
    <n v="261"/>
    <n v="315.60000000000002"/>
    <n v="91"/>
    <n v="8.375"/>
    <n v="29.25"/>
    <n v="2.5"/>
    <n v="316"/>
    <x v="2"/>
    <x v="3"/>
  </r>
  <r>
    <x v="3"/>
    <n v="87.4"/>
    <n v="239.3"/>
    <n v="62.3"/>
    <n v="3.83"/>
    <n v="34.799999999999997"/>
    <n v="1.06"/>
    <n v="18.100000000000001"/>
    <n v="84.2"/>
    <n v="2.1800000000000002"/>
    <n v="145.66666666666671"/>
    <n v="239.3"/>
    <n v="77.875"/>
    <n v="9.5749999999999993"/>
    <n v="87"/>
    <n v="53.000000000000007"/>
    <n v="239"/>
    <x v="0"/>
    <x v="3"/>
  </r>
  <r>
    <x v="4"/>
    <n v="199.1"/>
    <n v="362.4"/>
    <n v="58.8"/>
    <n v="4.3"/>
    <n v="38.299999999999997"/>
    <n v="3.33"/>
    <n v="16.600000000000001"/>
    <n v="76.3"/>
    <n v="4.45"/>
    <n v="331.83333333333331"/>
    <n v="362.4"/>
    <n v="73.5"/>
    <n v="10.75"/>
    <n v="95.749999999999986"/>
    <n v="166.5"/>
    <n v="362"/>
    <x v="2"/>
    <x v="3"/>
  </r>
  <r>
    <x v="0"/>
    <n v="67.7"/>
    <n v="146.19999999999999"/>
    <n v="109"/>
    <n v="16.12"/>
    <n v="23.6"/>
    <n v="1.82"/>
    <n v="19.5"/>
    <n v="31.8"/>
    <n v="3.42"/>
    <n v="112.8333333333333"/>
    <n v="146.19999999999999"/>
    <n v="136.25"/>
    <n v="40.299999999999997"/>
    <n v="59.000000000000007"/>
    <n v="91"/>
    <n v="146"/>
    <x v="1"/>
    <x v="3"/>
  </r>
  <r>
    <x v="1"/>
    <n v="91.3"/>
    <n v="5"/>
    <n v="89"/>
    <n v="8.58"/>
    <n v="92.5"/>
    <n v="1.7"/>
    <n v="12.3"/>
    <n v="69.099999999999994"/>
    <n v="1.71"/>
    <n v="152.16666666666671"/>
    <n v="5"/>
    <n v="111.25"/>
    <n v="21.45"/>
    <n v="231.25"/>
    <n v="84.999999999999986"/>
    <n v="231"/>
    <x v="0"/>
    <x v="2"/>
  </r>
  <r>
    <x v="2"/>
    <n v="55.7"/>
    <n v="228.9"/>
    <n v="36.799999999999997"/>
    <n v="1.08"/>
    <n v="71.099999999999994"/>
    <n v="2.35"/>
    <n v="18.2"/>
    <n v="59.9"/>
    <n v="3.11"/>
    <n v="92.833333333333343"/>
    <n v="228.9"/>
    <n v="46"/>
    <n v="2.7"/>
    <n v="177.75"/>
    <n v="117.5"/>
    <n v="229"/>
    <x v="0"/>
    <x v="3"/>
  </r>
  <r>
    <x v="3"/>
    <n v="142.69999999999999"/>
    <n v="119.4"/>
    <n v="83.7"/>
    <n v="8.75"/>
    <n v="31.7"/>
    <n v="2.0699999999999998"/>
    <n v="20"/>
    <n v="73.2"/>
    <n v="3.08"/>
    <n v="237.83333333333329"/>
    <n v="119.4"/>
    <n v="104.625"/>
    <n v="21.875"/>
    <n v="79.25"/>
    <n v="103.5"/>
    <n v="238"/>
    <x v="0"/>
    <x v="0"/>
  </r>
  <r>
    <x v="4"/>
    <n v="26"/>
    <n v="67.8"/>
    <n v="66.2"/>
    <n v="30.17"/>
    <n v="18.5"/>
    <n v="1.89"/>
    <n v="16.2"/>
    <n v="50"/>
    <n v="3.21"/>
    <n v="43.333333333333343"/>
    <n v="67.8"/>
    <n v="82.75"/>
    <n v="75.425000000000011"/>
    <n v="46.25"/>
    <n v="94.5"/>
    <n v="94"/>
    <x v="3"/>
    <x v="4"/>
  </r>
  <r>
    <x v="0"/>
    <n v="187.7"/>
    <n v="271.10000000000002"/>
    <n v="53.2"/>
    <n v="40.049999999999997"/>
    <n v="43.4"/>
    <n v="1.57"/>
    <n v="29.9"/>
    <n v="51.6"/>
    <n v="4.5"/>
    <n v="312.83333333333331"/>
    <n v="271.10000000000002"/>
    <n v="66.5"/>
    <n v="100.125"/>
    <n v="108.5"/>
    <n v="78.5"/>
    <n v="313"/>
    <x v="2"/>
    <x v="0"/>
  </r>
  <r>
    <x v="1"/>
    <n v="67.8"/>
    <n v="411.6"/>
    <n v="98"/>
    <n v="28.91"/>
    <n v="98.5"/>
    <n v="1.04"/>
    <n v="28.9"/>
    <n v="34.6"/>
    <n v="1.24"/>
    <n v="113"/>
    <n v="411.6"/>
    <n v="122.5"/>
    <n v="72.275000000000006"/>
    <n v="246.25"/>
    <n v="52.000000000000007"/>
    <n v="412"/>
    <x v="2"/>
    <x v="3"/>
  </r>
  <r>
    <x v="2"/>
    <n v="54.6"/>
    <n v="228.3"/>
    <n v="69.400000000000006"/>
    <n v="10.89"/>
    <n v="37.299999999999997"/>
    <n v="2.36"/>
    <n v="24.7"/>
    <n v="79.7"/>
    <n v="4.68"/>
    <n v="91"/>
    <n v="228.3"/>
    <n v="86.750000000000014"/>
    <n v="27.225000000000001"/>
    <n v="93.25"/>
    <n v="118"/>
    <n v="228"/>
    <x v="0"/>
    <x v="3"/>
  </r>
  <r>
    <x v="3"/>
    <n v="95"/>
    <n v="142"/>
    <n v="91.6"/>
    <n v="3.65"/>
    <n v="20.7"/>
    <n v="2.88"/>
    <n v="19.100000000000001"/>
    <n v="38.299999999999997"/>
    <n v="0.71"/>
    <n v="158.33333333333329"/>
    <n v="142"/>
    <n v="114.5"/>
    <n v="9.125"/>
    <n v="51.75"/>
    <n v="144"/>
    <n v="158"/>
    <x v="1"/>
    <x v="0"/>
  </r>
  <r>
    <x v="4"/>
    <n v="108.2"/>
    <n v="331.8"/>
    <n v="118.9"/>
    <n v="15.06"/>
    <n v="89.3"/>
    <n v="2"/>
    <n v="19"/>
    <n v="13.8"/>
    <n v="2.46"/>
    <n v="180.33333333333329"/>
    <n v="331.8"/>
    <n v="148.625"/>
    <n v="37.650000000000013"/>
    <n v="223.25"/>
    <n v="100"/>
    <n v="332"/>
    <x v="2"/>
    <x v="3"/>
  </r>
  <r>
    <x v="0"/>
    <n v="157.4"/>
    <n v="393.5"/>
    <n v="52.2"/>
    <n v="18.97"/>
    <n v="68.5"/>
    <n v="2.2200000000000002"/>
    <n v="4"/>
    <n v="64.5"/>
    <n v="3.41"/>
    <n v="262.33333333333343"/>
    <n v="393.5"/>
    <n v="65.25"/>
    <n v="47.424999999999997"/>
    <n v="171.25"/>
    <n v="111"/>
    <n v="394"/>
    <x v="2"/>
    <x v="3"/>
  </r>
  <r>
    <x v="1"/>
    <n v="63.2"/>
    <n v="209.5"/>
    <n v="43.8"/>
    <n v="0.5"/>
    <n v="73.900000000000006"/>
    <n v="2.4"/>
    <n v="31.2"/>
    <n v="75.400000000000006"/>
    <n v="2.0699999999999998"/>
    <n v="105.3333333333333"/>
    <n v="209.5"/>
    <n v="54.749999999999993"/>
    <n v="1.25"/>
    <n v="184.75"/>
    <n v="120"/>
    <n v="210"/>
    <x v="0"/>
    <x v="3"/>
  </r>
  <r>
    <x v="2"/>
    <n v="87.4"/>
    <n v="234"/>
    <n v="97.8"/>
    <n v="14.61"/>
    <n v="57.8"/>
    <n v="1.55"/>
    <n v="13"/>
    <n v="58.8"/>
    <n v="2.75"/>
    <n v="145.66666666666671"/>
    <n v="234"/>
    <n v="122.25"/>
    <n v="36.524999999999999"/>
    <n v="144.5"/>
    <n v="77.5"/>
    <n v="234"/>
    <x v="0"/>
    <x v="3"/>
  </r>
  <r>
    <x v="3"/>
    <n v="38.299999999999997"/>
    <n v="63.7"/>
    <n v="86.3"/>
    <n v="9.5500000000000007"/>
    <n v="32.299999999999997"/>
    <n v="1.57"/>
    <n v="30.6"/>
    <n v="82.7"/>
    <n v="1.02"/>
    <n v="63.833333333333329"/>
    <n v="63.70000000000001"/>
    <n v="107.875"/>
    <n v="23.875"/>
    <n v="80.749999999999986"/>
    <n v="78.5"/>
    <n v="108"/>
    <x v="1"/>
    <x v="1"/>
  </r>
  <r>
    <x v="4"/>
    <n v="77.5"/>
    <n v="301"/>
    <n v="100.4"/>
    <n v="13.72"/>
    <n v="11.4"/>
    <n v="1.39"/>
    <n v="16.399999999999999"/>
    <n v="65"/>
    <n v="5.04"/>
    <n v="129.16666666666671"/>
    <n v="301"/>
    <n v="125.5"/>
    <n v="34.299999999999997"/>
    <n v="28.5"/>
    <n v="69.499999999999986"/>
    <n v="301"/>
    <x v="2"/>
    <x v="3"/>
  </r>
  <r>
    <x v="0"/>
    <n v="72.5"/>
    <n v="107.5"/>
    <n v="78.8"/>
    <n v="24.21"/>
    <n v="4"/>
    <n v="3.81"/>
    <n v="18.8"/>
    <n v="46.8"/>
    <n v="0.57999999999999996"/>
    <n v="120.8333333333333"/>
    <n v="107.5"/>
    <n v="98.499999999999986"/>
    <n v="60.525000000000013"/>
    <n v="10"/>
    <n v="190.5"/>
    <n v="190"/>
    <x v="1"/>
    <x v="4"/>
  </r>
  <r>
    <x v="1"/>
    <n v="162.4"/>
    <n v="219.5"/>
    <n v="96.8"/>
    <n v="6.99"/>
    <n v="36"/>
    <n v="1.82"/>
    <n v="19.3"/>
    <n v="47.9"/>
    <n v="0.66"/>
    <n v="270.66666666666669"/>
    <n v="219.5"/>
    <n v="121"/>
    <n v="17.475000000000001"/>
    <n v="90"/>
    <n v="91"/>
    <n v="271"/>
    <x v="0"/>
    <x v="0"/>
  </r>
  <r>
    <x v="2"/>
    <n v="215.6"/>
    <n v="58.1"/>
    <n v="73.900000000000006"/>
    <n v="0.5"/>
    <n v="1"/>
    <n v="1.91"/>
    <n v="21.2"/>
    <n v="82.7"/>
    <n v="2.98"/>
    <n v="359.33333333333331"/>
    <n v="58.1"/>
    <n v="92.375000000000014"/>
    <n v="1.25"/>
    <n v="2.5"/>
    <n v="95.5"/>
    <n v="359"/>
    <x v="2"/>
    <x v="0"/>
  </r>
  <r>
    <x v="3"/>
    <n v="88.8"/>
    <n v="100.8"/>
    <n v="120"/>
    <n v="20.23"/>
    <n v="8"/>
    <n v="1.96"/>
    <n v="21"/>
    <n v="53.8"/>
    <n v="3.43"/>
    <n v="148"/>
    <n v="100.8"/>
    <n v="150"/>
    <n v="50.575000000000003"/>
    <n v="20"/>
    <n v="98"/>
    <n v="150"/>
    <x v="1"/>
    <x v="1"/>
  </r>
  <r>
    <x v="4"/>
    <n v="149.5"/>
    <n v="191.1"/>
    <n v="69.3"/>
    <n v="27.27"/>
    <n v="62.7"/>
    <n v="2.19"/>
    <n v="8.6"/>
    <n v="66.2"/>
    <n v="3.84"/>
    <n v="249.16666666666671"/>
    <n v="191.1"/>
    <n v="86.625"/>
    <n v="68.174999999999997"/>
    <n v="156.75"/>
    <n v="109.5"/>
    <n v="249"/>
    <x v="0"/>
    <x v="0"/>
  </r>
  <r>
    <x v="0"/>
    <n v="2"/>
    <n v="248.6"/>
    <n v="67.5"/>
    <n v="12.69"/>
    <n v="17.899999999999999"/>
    <n v="2.04"/>
    <n v="29.7"/>
    <n v="52"/>
    <n v="3.66"/>
    <n v="3.333333333333333"/>
    <n v="248.6"/>
    <n v="84.375"/>
    <n v="31.725000000000001"/>
    <n v="44.75"/>
    <n v="102"/>
    <n v="249"/>
    <x v="0"/>
    <x v="3"/>
  </r>
  <r>
    <x v="1"/>
    <n v="71.599999999999994"/>
    <n v="331.1"/>
    <n v="90.1"/>
    <n v="19.52"/>
    <n v="45.2"/>
    <n v="3.17"/>
    <n v="2"/>
    <n v="34.4"/>
    <n v="3"/>
    <n v="119.3333333333333"/>
    <n v="331.1"/>
    <n v="112.625"/>
    <n v="48.8"/>
    <n v="113"/>
    <n v="158.5"/>
    <n v="331"/>
    <x v="2"/>
    <x v="3"/>
  </r>
  <r>
    <x v="2"/>
    <n v="2"/>
    <n v="134"/>
    <n v="66.7"/>
    <n v="5.87"/>
    <n v="19.399999999999999"/>
    <n v="2.0699999999999998"/>
    <n v="27.1"/>
    <n v="42.7"/>
    <n v="1.81"/>
    <n v="3.333333333333333"/>
    <n v="134"/>
    <n v="83.375"/>
    <n v="14.675000000000001"/>
    <n v="48.499999999999993"/>
    <n v="103.5"/>
    <n v="134"/>
    <x v="1"/>
    <x v="3"/>
  </r>
  <r>
    <x v="3"/>
    <n v="60.9"/>
    <n v="5"/>
    <n v="76.5"/>
    <n v="20.28"/>
    <n v="58.9"/>
    <n v="1.08"/>
    <n v="11.2"/>
    <n v="60.4"/>
    <n v="3.5"/>
    <n v="101.5"/>
    <n v="5"/>
    <n v="95.625"/>
    <n v="50.7"/>
    <n v="147.25"/>
    <n v="54.000000000000007"/>
    <n v="147"/>
    <x v="1"/>
    <x v="2"/>
  </r>
  <r>
    <x v="4"/>
    <n v="113.8"/>
    <n v="241.8"/>
    <n v="119.4"/>
    <n v="7.58"/>
    <n v="34.200000000000003"/>
    <n v="3.84"/>
    <n v="18.600000000000001"/>
    <n v="37.200000000000003"/>
    <n v="2.2000000000000002"/>
    <n v="189.66666666666671"/>
    <n v="241.8"/>
    <n v="149.25"/>
    <n v="18.95"/>
    <n v="85.5"/>
    <n v="192"/>
    <n v="242"/>
    <x v="0"/>
    <x v="3"/>
  </r>
  <r>
    <x v="0"/>
    <n v="58.6"/>
    <n v="260.2"/>
    <n v="49.8"/>
    <n v="17.21"/>
    <n v="22.4"/>
    <n v="0.05"/>
    <n v="22.1"/>
    <n v="62.7"/>
    <n v="3.12"/>
    <n v="97.666666666666671"/>
    <n v="260.2"/>
    <n v="62.25"/>
    <n v="43.024999999999999"/>
    <n v="55.999999999999993"/>
    <n v="2.5"/>
    <n v="260"/>
    <x v="0"/>
    <x v="3"/>
  </r>
  <r>
    <x v="1"/>
    <n v="79.599999999999994"/>
    <n v="146.5"/>
    <n v="106.1"/>
    <n v="31.19"/>
    <n v="45.3"/>
    <n v="2.91"/>
    <n v="17.7"/>
    <n v="32.200000000000003"/>
    <n v="3.66"/>
    <n v="132.66666666666671"/>
    <n v="146.5"/>
    <n v="132.625"/>
    <n v="77.975000000000009"/>
    <n v="113.25"/>
    <n v="145.5"/>
    <n v="146"/>
    <x v="1"/>
    <x v="3"/>
  </r>
  <r>
    <x v="2"/>
    <n v="132.6"/>
    <n v="247.2"/>
    <n v="62.9"/>
    <n v="16.7"/>
    <n v="53.3"/>
    <n v="3.3"/>
    <n v="26.9"/>
    <n v="61.1"/>
    <n v="0.93"/>
    <n v="221"/>
    <n v="247.2"/>
    <n v="78.625"/>
    <n v="41.749999999999993"/>
    <n v="133.25"/>
    <n v="165"/>
    <n v="247"/>
    <x v="0"/>
    <x v="3"/>
  </r>
  <r>
    <x v="3"/>
    <n v="103.5"/>
    <n v="216.6"/>
    <n v="94.7"/>
    <n v="23.63"/>
    <n v="33.9"/>
    <n v="3.94"/>
    <n v="7.7"/>
    <n v="67.5"/>
    <n v="1.54"/>
    <n v="172.5"/>
    <n v="216.6"/>
    <n v="118.375"/>
    <n v="59.075000000000003"/>
    <n v="84.749999999999986"/>
    <n v="197"/>
    <n v="217"/>
    <x v="0"/>
    <x v="3"/>
  </r>
  <r>
    <x v="4"/>
    <n v="4.9000000000000004"/>
    <n v="189.9"/>
    <n v="27.9"/>
    <n v="12.66"/>
    <n v="40.5"/>
    <n v="3.29"/>
    <n v="9.4"/>
    <n v="76.400000000000006"/>
    <n v="3.12"/>
    <n v="8.1666666666666679"/>
    <n v="189.9"/>
    <n v="34.874999999999993"/>
    <n v="31.65"/>
    <n v="101.25"/>
    <n v="164.5"/>
    <n v="190"/>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FC1157-C6F4-4FC1-8329-60FC855DB97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Zones" colHeaderCaption="AQI_Category">
  <location ref="B19:F25" firstHeaderRow="1" firstDataRow="2" firstDataCol="1"/>
  <pivotFields count="22">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6">
        <item x="0"/>
        <item x="2"/>
        <item x="1"/>
        <item x="3"/>
        <item x="4"/>
        <item t="default"/>
      </items>
    </pivotField>
    <pivotField numFmtId="2" showAll="0"/>
    <pivotField numFmtId="2" showAll="0"/>
    <pivotField numFmtId="2" showAll="0"/>
    <pivotField numFmtId="2" showAll="0"/>
    <pivotField numFmtId="2" showAll="0"/>
    <pivotField numFmtId="2" showAll="0"/>
    <pivotField numFmtId="2" showAll="0">
      <items count="9">
        <item x="0"/>
        <item x="1"/>
        <item x="2"/>
        <item x="3"/>
        <item x="4"/>
        <item x="5"/>
        <item x="6"/>
        <item x="7"/>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axis="axisCol" dataField="1" showAll="0">
      <items count="5">
        <item x="2"/>
        <item x="3"/>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x v="4"/>
    </i>
  </rowItems>
  <colFields count="1">
    <field x="18"/>
  </colFields>
  <colItems count="4">
    <i>
      <x/>
    </i>
    <i>
      <x v="1"/>
    </i>
    <i>
      <x v="2"/>
    </i>
    <i>
      <x v="3"/>
    </i>
  </colItems>
  <dataFields count="1">
    <dataField name="No. of Day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87EB72-97F3-4017-A494-875B54A3F4B6}"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31" rowHeaderCaption="Zones">
  <location ref="B7:C12" firstHeaderRow="1" firstDataRow="1" firstDataCol="1"/>
  <pivotFields count="19">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items count="5">
        <item x="2"/>
        <item x="3"/>
        <item x="1"/>
        <item x="0"/>
        <item t="default"/>
      </items>
    </pivotField>
    <pivotField showAll="0"/>
  </pivotFields>
  <rowFields count="1">
    <field x="0"/>
  </rowFields>
  <rowItems count="5">
    <i>
      <x v="2"/>
    </i>
    <i>
      <x/>
    </i>
    <i>
      <x v="4"/>
    </i>
    <i>
      <x v="3"/>
    </i>
    <i>
      <x v="1"/>
    </i>
  </rowItems>
  <colItems count="1">
    <i/>
  </colItems>
  <dataFields count="1">
    <dataField name="Average  AQI" fld="16" subtotal="average" baseField="1" baseItem="2" numFmtId="2"/>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ABF1EE-2DE3-4F73-BD66-97C99F67443B}"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Months">
  <location ref="B6:C18" firstHeaderRow="1" firstDataRow="1" firstDataCol="1"/>
  <pivotFields count="22">
    <pivotField axis="axisRow"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numFmtId="2" showAll="0"/>
    <pivotField numFmtId="2" showAll="0"/>
    <pivotField numFmtId="2" showAll="0"/>
    <pivotField numFmtId="2" showAll="0"/>
    <pivotField numFmtId="2" showAll="0"/>
    <pivotField numFmtId="2" showAll="0"/>
    <pivotField numFmtId="2" showAll="0">
      <items count="9">
        <item x="0"/>
        <item x="1"/>
        <item x="2"/>
        <item x="3"/>
        <item x="4"/>
        <item x="5"/>
        <item x="6"/>
        <item x="7"/>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3">
    <field x="21"/>
    <field x="20"/>
    <field x="0"/>
  </rowFields>
  <rowItems count="12">
    <i>
      <x/>
    </i>
    <i>
      <x v="1"/>
    </i>
    <i>
      <x v="2"/>
    </i>
    <i>
      <x v="3"/>
    </i>
    <i>
      <x v="4"/>
    </i>
    <i>
      <x v="5"/>
    </i>
    <i>
      <x v="6"/>
    </i>
    <i>
      <x v="7"/>
    </i>
    <i>
      <x v="8"/>
    </i>
    <i>
      <x v="9"/>
    </i>
    <i>
      <x v="10"/>
    </i>
    <i>
      <x v="11"/>
    </i>
  </rowItems>
  <colItems count="1">
    <i/>
  </colItems>
  <dataFields count="1">
    <dataField name="Average  AQI" fld="17" subtotal="average" baseField="21" baseItem="1" numFmtId="165"/>
  </dataFields>
  <formats count="1">
    <format dxfId="1">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AA3D14-B51F-46BC-939A-E459BAB44934}"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rowHeaderCaption="Pollutant">
  <location ref="B7:C12" firstHeaderRow="1" firstDataRow="1" firstDataCol="1"/>
  <pivotFields count="19">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axis="axisRow" dataField="1"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s>
  <rowFields count="1">
    <field x="18"/>
  </rowFields>
  <rowItems count="5">
    <i>
      <x v="3"/>
    </i>
    <i>
      <x v="4"/>
    </i>
    <i>
      <x v="2"/>
    </i>
    <i>
      <x/>
    </i>
    <i>
      <x v="1"/>
    </i>
  </rowItems>
  <colItems count="1">
    <i/>
  </colItems>
  <dataFields count="1">
    <dataField name="Pollutant_level" fld="18" subtotal="count" baseField="0" baseItem="0"/>
  </dataFields>
  <formats count="1">
    <format dxfId="0">
      <pivotArea dataOnly="0" labelOnly="1" fieldPosition="0">
        <references count="1">
          <reference field="18" count="1">
            <x v="3"/>
          </reference>
        </references>
      </pivotArea>
    </format>
  </formats>
  <chartFormats count="6">
    <chartFormat chart="26" format="7" series="1">
      <pivotArea type="data" outline="0" fieldPosition="0">
        <references count="1">
          <reference field="4294967294" count="1" selected="0">
            <x v="0"/>
          </reference>
        </references>
      </pivotArea>
    </chartFormat>
    <chartFormat chart="26" format="8">
      <pivotArea type="data" outline="0" fieldPosition="0">
        <references count="2">
          <reference field="4294967294" count="1" selected="0">
            <x v="0"/>
          </reference>
          <reference field="18" count="1" selected="0">
            <x v="3"/>
          </reference>
        </references>
      </pivotArea>
    </chartFormat>
    <chartFormat chart="26" format="9">
      <pivotArea type="data" outline="0" fieldPosition="0">
        <references count="2">
          <reference field="4294967294" count="1" selected="0">
            <x v="0"/>
          </reference>
          <reference field="18" count="1" selected="0">
            <x v="4"/>
          </reference>
        </references>
      </pivotArea>
    </chartFormat>
    <chartFormat chart="26" format="10">
      <pivotArea type="data" outline="0" fieldPosition="0">
        <references count="2">
          <reference field="4294967294" count="1" selected="0">
            <x v="0"/>
          </reference>
          <reference field="18" count="1" selected="0">
            <x v="2"/>
          </reference>
        </references>
      </pivotArea>
    </chartFormat>
    <chartFormat chart="26" format="11">
      <pivotArea type="data" outline="0" fieldPosition="0">
        <references count="2">
          <reference field="4294967294" count="1" selected="0">
            <x v="0"/>
          </reference>
          <reference field="18" count="1" selected="0">
            <x v="0"/>
          </reference>
        </references>
      </pivotArea>
    </chartFormat>
    <chartFormat chart="26" format="12">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3D9797-6304-4F09-8229-FE5D7FCCCFAD}"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Zones">
  <location ref="B15:H20" firstHeaderRow="0" firstDataRow="1" firstDataCol="1"/>
  <pivotFields count="19">
    <pivotField axis="axisRow" showAll="0">
      <items count="6">
        <item x="0"/>
        <item x="2"/>
        <item x="1"/>
        <item x="3"/>
        <item x="4"/>
        <item t="default"/>
      </items>
    </pivotField>
    <pivotField dataField="1" numFmtId="2" showAll="0"/>
    <pivotField dataField="1" numFmtId="2" showAll="0"/>
    <pivotField dataField="1" numFmtId="2" showAll="0"/>
    <pivotField dataField="1" numFmtId="2" showAll="0"/>
    <pivotField dataField="1"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0"/>
  </rowFields>
  <rowItems count="5">
    <i>
      <x/>
    </i>
    <i>
      <x v="1"/>
    </i>
    <i>
      <x v="2"/>
    </i>
    <i>
      <x v="3"/>
    </i>
    <i>
      <x v="4"/>
    </i>
  </rowItems>
  <colFields count="1">
    <field x="-2"/>
  </colFields>
  <colItems count="6">
    <i>
      <x/>
    </i>
    <i i="1">
      <x v="1"/>
    </i>
    <i i="2">
      <x v="2"/>
    </i>
    <i i="3">
      <x v="3"/>
    </i>
    <i i="4">
      <x v="4"/>
    </i>
    <i i="5">
      <x v="5"/>
    </i>
  </colItems>
  <dataFields count="6">
    <dataField name="Average PM2.5" fld="1" subtotal="average" baseField="1" baseItem="3" numFmtId="2"/>
    <dataField name="Average PM10" fld="2" subtotal="average" baseField="1" baseItem="3" numFmtId="2"/>
    <dataField name="Average NO2" fld="3" subtotal="average" baseField="1" baseItem="3" numFmtId="2"/>
    <dataField name="Average SO2" fld="4" subtotal="average" baseField="1" baseItem="3" numFmtId="2"/>
    <dataField name="Average  O3" fld="5" subtotal="average" baseField="1" baseItem="3" numFmtId="2"/>
    <dataField name="Average CO" fld="6" subtotal="average" baseField="1" baseItem="3"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5775C2-B7C4-42D3-9220-B55653168A73}" name="PivotTable3" cacheId="1"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36" rowHeaderCaption="AQI_Category">
  <location ref="B6:D10" firstHeaderRow="0" firstDataRow="1" firstDataCol="1"/>
  <pivotFields count="19">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axis="axisRow" dataField="1" showAll="0">
      <items count="5">
        <item x="2"/>
        <item x="3"/>
        <item x="1"/>
        <item x="0"/>
        <item t="default"/>
      </items>
    </pivotField>
    <pivotField showAll="0"/>
  </pivotFields>
  <rowFields count="1">
    <field x="17"/>
  </rowFields>
  <rowItems count="4">
    <i>
      <x/>
    </i>
    <i>
      <x v="1"/>
    </i>
    <i>
      <x v="2"/>
    </i>
    <i>
      <x v="3"/>
    </i>
  </rowItems>
  <colFields count="1">
    <field x="-2"/>
  </colFields>
  <colItems count="2">
    <i>
      <x/>
    </i>
    <i i="1">
      <x v="1"/>
    </i>
  </colItems>
  <dataFields count="2">
    <dataField name="No. of days" fld="17" subtotal="count" baseField="18" baseItem="0"/>
    <dataField name="% of Days" fld="17" subtotal="count" showDataAs="percentOfTotal" baseField="18" baseItem="0" numFmtId="10"/>
  </dataFields>
  <chartFormats count="5">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 chart="22" format="6">
      <pivotArea type="data" outline="0" fieldPosition="0">
        <references count="2">
          <reference field="4294967294" count="1" selected="0">
            <x v="1"/>
          </reference>
          <reference field="17" count="1" selected="0">
            <x v="1"/>
          </reference>
        </references>
      </pivotArea>
    </chartFormat>
    <chartFormat chart="22" format="7">
      <pivotArea type="data" outline="0" fieldPosition="0">
        <references count="2">
          <reference field="4294967294" count="1" selected="0">
            <x v="1"/>
          </reference>
          <reference field="17" count="1" selected="0">
            <x v="0"/>
          </reference>
        </references>
      </pivotArea>
    </chartFormat>
    <chartFormat chart="22"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04BC61-A551-4D27-AA26-811C9CECF34C}"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rowHeaderCaption="Months">
  <location ref="B15:C26" firstHeaderRow="1" firstDataRow="1" firstDataCol="1" rowPageCount="1" colPageCount="1"/>
  <pivotFields count="22">
    <pivotField axis="axisRow" numFmtId="14" showAll="0" sortType="descending">
      <items count="366">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axis="axisPage" dataField="1" multipleItemSelectionAllowed="1" showAll="0">
      <items count="5">
        <item x="2"/>
        <item h="1" x="3"/>
        <item h="1" x="1"/>
        <item h="1" x="0"/>
        <item t="default"/>
      </items>
    </pivotField>
    <pivotField showAll="0"/>
    <pivotField axis="axisRow" showAll="0" sortType="descending" defaultSubtotal="0">
      <items count="368">
        <item sd="0" x="305"/>
        <item sd="0" x="152"/>
        <item sd="0" x="91"/>
        <item sd="0" x="213"/>
        <item sd="0" x="31"/>
        <item sd="0" x="366"/>
        <item sd="0" x="244"/>
        <item sd="0" x="274"/>
        <item sd="0" x="304"/>
        <item sd="0" x="335"/>
        <item sd="0" x="151"/>
        <item sd="0" x="90"/>
        <item sd="0" x="182"/>
        <item sd="0" x="212"/>
        <item sd="0" x="30"/>
        <item sd="0" x="365"/>
        <item sd="0" x="243"/>
        <item sd="0" x="121"/>
        <item sd="0" x="273"/>
        <item sd="0" x="303"/>
        <item sd="0" x="334"/>
        <item sd="0" x="150"/>
        <item sd="0" x="89"/>
        <item sd="0" x="181"/>
        <item sd="0" x="211"/>
        <item sd="0" x="29"/>
        <item sd="0" x="60"/>
        <item sd="0" x="364"/>
        <item sd="0" x="242"/>
        <item sd="0" x="120"/>
        <item sd="0" x="272"/>
        <item sd="0" x="302"/>
        <item sd="0" x="333"/>
        <item sd="0" x="149"/>
        <item sd="0" x="88"/>
        <item sd="0" x="180"/>
        <item sd="0" x="210"/>
        <item sd="0" x="28"/>
        <item sd="0" x="59"/>
        <item sd="0" x="363"/>
        <item sd="0" x="241"/>
        <item sd="0" x="119"/>
        <item sd="0" x="271"/>
        <item sd="0" x="301"/>
        <item sd="0" x="332"/>
        <item sd="0" x="148"/>
        <item sd="0" x="87"/>
        <item sd="0" x="179"/>
        <item sd="0" x="209"/>
        <item sd="0" x="27"/>
        <item sd="0" x="58"/>
        <item sd="0" x="362"/>
        <item sd="0" x="240"/>
        <item sd="0" x="118"/>
        <item sd="0" x="270"/>
        <item sd="0" x="300"/>
        <item sd="0" x="331"/>
        <item sd="0" x="147"/>
        <item sd="0" x="86"/>
        <item sd="0" x="178"/>
        <item sd="0" x="208"/>
        <item sd="0" x="26"/>
        <item sd="0" x="57"/>
        <item sd="0" x="361"/>
        <item sd="0" x="239"/>
        <item sd="0" x="117"/>
        <item sd="0" x="269"/>
        <item sd="0" x="299"/>
        <item sd="0" x="330"/>
        <item sd="0" x="146"/>
        <item sd="0" x="85"/>
        <item sd="0" x="177"/>
        <item sd="0" x="207"/>
        <item sd="0" x="25"/>
        <item sd="0" x="56"/>
        <item sd="0" x="360"/>
        <item sd="0" x="238"/>
        <item sd="0" x="116"/>
        <item sd="0" x="268"/>
        <item sd="0" x="298"/>
        <item sd="0" x="329"/>
        <item sd="0" x="145"/>
        <item sd="0" x="84"/>
        <item sd="0" x="176"/>
        <item sd="0" x="206"/>
        <item sd="0" x="24"/>
        <item sd="0" x="55"/>
        <item sd="0" x="359"/>
        <item sd="0" x="237"/>
        <item sd="0" x="115"/>
        <item sd="0" x="267"/>
        <item sd="0" x="297"/>
        <item sd="0" x="328"/>
        <item sd="0" x="144"/>
        <item sd="0" x="83"/>
        <item sd="0" x="175"/>
        <item sd="0" x="205"/>
        <item sd="0" x="23"/>
        <item sd="0" x="54"/>
        <item sd="0" x="358"/>
        <item sd="0" x="236"/>
        <item sd="0" x="114"/>
        <item sd="0" x="266"/>
        <item sd="0" x="296"/>
        <item sd="0" x="327"/>
        <item sd="0" x="143"/>
        <item sd="0" x="82"/>
        <item sd="0" x="174"/>
        <item sd="0" x="204"/>
        <item sd="0" x="22"/>
        <item sd="0" x="53"/>
        <item sd="0" x="357"/>
        <item sd="0" x="235"/>
        <item sd="0" x="113"/>
        <item sd="0" x="265"/>
        <item sd="0" x="295"/>
        <item sd="0" x="326"/>
        <item sd="0" x="142"/>
        <item sd="0" x="81"/>
        <item sd="0" x="173"/>
        <item sd="0" x="203"/>
        <item sd="0" x="21"/>
        <item sd="0" x="52"/>
        <item sd="0" x="356"/>
        <item sd="0" x="234"/>
        <item sd="0" x="112"/>
        <item sd="0" x="264"/>
        <item sd="0" x="294"/>
        <item sd="0" x="325"/>
        <item sd="0" x="141"/>
        <item sd="0" x="80"/>
        <item sd="0" x="172"/>
        <item sd="0" x="202"/>
        <item sd="0" x="20"/>
        <item sd="0" x="51"/>
        <item sd="0" x="355"/>
        <item sd="0" x="233"/>
        <item sd="0" x="111"/>
        <item sd="0" x="263"/>
        <item sd="0" x="293"/>
        <item sd="0" x="324"/>
        <item sd="0" x="140"/>
        <item sd="0" x="79"/>
        <item sd="0" x="171"/>
        <item sd="0" x="201"/>
        <item sd="0" x="19"/>
        <item sd="0" x="50"/>
        <item sd="0" x="354"/>
        <item sd="0" x="232"/>
        <item sd="0" x="110"/>
        <item sd="0" x="262"/>
        <item sd="0" x="292"/>
        <item sd="0" x="323"/>
        <item sd="0" x="139"/>
        <item sd="0" x="78"/>
        <item sd="0" x="170"/>
        <item sd="0" x="200"/>
        <item sd="0" x="18"/>
        <item sd="0" x="49"/>
        <item sd="0" x="353"/>
        <item sd="0" x="231"/>
        <item sd="0" x="109"/>
        <item sd="0" x="261"/>
        <item sd="0" x="291"/>
        <item sd="0" x="322"/>
        <item sd="0" x="138"/>
        <item sd="0" x="77"/>
        <item sd="0" x="169"/>
        <item sd="0" x="199"/>
        <item sd="0" x="17"/>
        <item sd="0" x="48"/>
        <item sd="0" x="352"/>
        <item sd="0" x="230"/>
        <item sd="0" x="108"/>
        <item sd="0" x="260"/>
        <item sd="0" x="290"/>
        <item sd="0" x="321"/>
        <item sd="0" x="137"/>
        <item sd="0" x="76"/>
        <item sd="0" x="168"/>
        <item sd="0" x="198"/>
        <item sd="0" x="16"/>
        <item sd="0" x="47"/>
        <item sd="0" x="351"/>
        <item sd="0" x="229"/>
        <item sd="0" x="107"/>
        <item sd="0" x="259"/>
        <item sd="0" x="289"/>
        <item sd="0" x="320"/>
        <item sd="0" x="136"/>
        <item sd="0" x="75"/>
        <item sd="0" x="167"/>
        <item sd="0" x="197"/>
        <item sd="0" x="15"/>
        <item sd="0" x="46"/>
        <item sd="0" x="350"/>
        <item sd="0" x="228"/>
        <item sd="0" x="106"/>
        <item sd="0" x="258"/>
        <item sd="0" x="288"/>
        <item sd="0" x="319"/>
        <item sd="0" x="135"/>
        <item sd="0" x="74"/>
        <item sd="0" x="166"/>
        <item sd="0" x="196"/>
        <item sd="0" x="14"/>
        <item sd="0" x="45"/>
        <item sd="0" x="349"/>
        <item sd="0" x="227"/>
        <item sd="0" x="105"/>
        <item sd="0" x="257"/>
        <item sd="0" x="287"/>
        <item sd="0" x="318"/>
        <item sd="0" x="134"/>
        <item sd="0" x="73"/>
        <item sd="0" x="165"/>
        <item sd="0" x="195"/>
        <item sd="0" x="13"/>
        <item sd="0" x="44"/>
        <item sd="0" x="348"/>
        <item sd="0" x="226"/>
        <item sd="0" x="104"/>
        <item sd="0" x="256"/>
        <item sd="0" x="286"/>
        <item sd="0" x="317"/>
        <item sd="0" x="133"/>
        <item sd="0" x="72"/>
        <item sd="0" x="164"/>
        <item sd="0" x="194"/>
        <item sd="0" x="12"/>
        <item sd="0" x="43"/>
        <item sd="0" x="347"/>
        <item sd="0" x="225"/>
        <item sd="0" x="103"/>
        <item sd="0" x="255"/>
        <item sd="0" x="285"/>
        <item sd="0" x="316"/>
        <item sd="0" x="132"/>
        <item sd="0" x="71"/>
        <item sd="0" x="163"/>
        <item sd="0" x="193"/>
        <item sd="0" x="11"/>
        <item sd="0" x="42"/>
        <item sd="0" x="346"/>
        <item sd="0" x="224"/>
        <item sd="0" x="102"/>
        <item sd="0" x="254"/>
        <item sd="0" x="284"/>
        <item sd="0" x="315"/>
        <item sd="0" x="131"/>
        <item sd="0" x="70"/>
        <item sd="0" x="162"/>
        <item sd="0" x="192"/>
        <item sd="0" x="10"/>
        <item sd="0" x="41"/>
        <item sd="0" x="345"/>
        <item sd="0" x="223"/>
        <item sd="0" x="101"/>
        <item sd="0" x="253"/>
        <item sd="0" x="283"/>
        <item sd="0" x="314"/>
        <item sd="0" x="130"/>
        <item sd="0" x="69"/>
        <item sd="0" x="161"/>
        <item sd="0" x="191"/>
        <item sd="0" x="9"/>
        <item sd="0" x="40"/>
        <item sd="0" x="344"/>
        <item sd="0" x="222"/>
        <item sd="0" x="100"/>
        <item sd="0" x="252"/>
        <item sd="0" x="282"/>
        <item sd="0" x="313"/>
        <item sd="0" x="129"/>
        <item sd="0" x="68"/>
        <item sd="0" x="160"/>
        <item sd="0" x="190"/>
        <item sd="0" x="8"/>
        <item sd="0" x="39"/>
        <item sd="0" x="343"/>
        <item sd="0" x="221"/>
        <item sd="0" x="99"/>
        <item sd="0" x="251"/>
        <item sd="0" x="281"/>
        <item sd="0" x="312"/>
        <item sd="0" x="128"/>
        <item sd="0" x="67"/>
        <item sd="0" x="159"/>
        <item sd="0" x="189"/>
        <item sd="0" x="7"/>
        <item sd="0" x="38"/>
        <item sd="0" x="342"/>
        <item sd="0" x="220"/>
        <item sd="0" x="98"/>
        <item sd="0" x="250"/>
        <item sd="0" x="280"/>
        <item sd="0" x="311"/>
        <item sd="0" x="127"/>
        <item sd="0" x="66"/>
        <item sd="0" x="158"/>
        <item sd="0" x="188"/>
        <item sd="0" x="6"/>
        <item sd="0" x="37"/>
        <item sd="0" x="341"/>
        <item sd="0" x="219"/>
        <item sd="0" x="97"/>
        <item sd="0" x="249"/>
        <item sd="0" x="279"/>
        <item sd="0" x="310"/>
        <item sd="0" x="126"/>
        <item sd="0" x="65"/>
        <item sd="0" x="157"/>
        <item sd="0" x="187"/>
        <item sd="0" x="5"/>
        <item sd="0" x="36"/>
        <item sd="0" x="340"/>
        <item sd="0" x="218"/>
        <item sd="0" x="96"/>
        <item sd="0" x="248"/>
        <item sd="0" x="278"/>
        <item sd="0" x="309"/>
        <item sd="0" x="125"/>
        <item sd="0" x="64"/>
        <item sd="0" x="156"/>
        <item sd="0" x="186"/>
        <item sd="0" x="4"/>
        <item sd="0" x="35"/>
        <item sd="0" x="339"/>
        <item sd="0" x="217"/>
        <item sd="0" x="95"/>
        <item sd="0" x="247"/>
        <item sd="0" x="277"/>
        <item sd="0" x="308"/>
        <item sd="0" x="124"/>
        <item sd="0" x="63"/>
        <item sd="0" x="155"/>
        <item sd="0" x="185"/>
        <item sd="0" x="3"/>
        <item sd="0" x="34"/>
        <item sd="0" x="338"/>
        <item sd="0" x="216"/>
        <item sd="0" x="94"/>
        <item sd="0" x="246"/>
        <item sd="0" x="276"/>
        <item sd="0" x="307"/>
        <item sd="0" x="123"/>
        <item sd="0" x="62"/>
        <item sd="0" x="154"/>
        <item sd="0" x="184"/>
        <item sd="0" x="2"/>
        <item sd="0" x="33"/>
        <item sd="0" x="337"/>
        <item sd="0" x="215"/>
        <item sd="0" x="93"/>
        <item sd="0" x="245"/>
        <item sd="0" x="275"/>
        <item sd="0" x="306"/>
        <item sd="0" x="122"/>
        <item sd="0" x="61"/>
        <item sd="0" x="153"/>
        <item sd="0" x="183"/>
        <item sd="0" x="1"/>
        <item sd="0" x="32"/>
        <item sd="0" x="336"/>
        <item sd="0" x="214"/>
        <item sd="0" x="92"/>
        <item sd="0" x="367"/>
        <item sd="0" x="0"/>
      </items>
    </pivotField>
    <pivotField axis="axisRow" showAll="0" sortType="descending" defaultSubtotal="0">
      <items count="14">
        <item sd="0" x="13"/>
        <item sd="0" x="0"/>
        <item sd="0" x="12"/>
        <item sd="0" x="11"/>
        <item sd="0" x="10"/>
        <item sd="0" x="9"/>
        <item sd="0" x="8"/>
        <item sd="0" x="7"/>
        <item sd="0" x="6"/>
        <item sd="0" x="5"/>
        <item sd="0" x="4"/>
        <item sd="0" x="3"/>
        <item sd="0" x="2"/>
        <item sd="0" x="1"/>
      </items>
    </pivotField>
  </pivotFields>
  <rowFields count="3">
    <field x="21"/>
    <field x="20"/>
    <field x="0"/>
  </rowFields>
  <rowItems count="11">
    <i>
      <x v="2"/>
    </i>
    <i>
      <x v="3"/>
    </i>
    <i>
      <x v="4"/>
    </i>
    <i>
      <x v="5"/>
    </i>
    <i>
      <x v="7"/>
    </i>
    <i>
      <x v="8"/>
    </i>
    <i>
      <x v="10"/>
    </i>
    <i>
      <x v="11"/>
    </i>
    <i>
      <x v="12"/>
    </i>
    <i>
      <x v="13"/>
    </i>
    <i t="grand">
      <x/>
    </i>
  </rowItems>
  <colItems count="1">
    <i/>
  </colItems>
  <pageFields count="1">
    <pageField fld="18" hier="-1"/>
  </pageFields>
  <dataFields count="1">
    <dataField name="Hazardous AQI_Alerts" fld="18" subtotal="count" baseField="21"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QI_Category" xr10:uid="{57ABFB8E-1E61-4270-9054-214B7352B2AC}" sourceName="AQI_Category">
  <pivotTables>
    <pivotTable tabId="2" name="PivotTable1"/>
    <pivotTable tabId="6" name="PivotTable3"/>
  </pivotTables>
  <data>
    <tabular pivotCacheId="2133093754">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BE2A2EE2-0E2C-4F3E-9880-CAF8740E8673}" sourceName="Zone">
  <pivotTables>
    <pivotTable tabId="2" name="PivotTable1"/>
  </pivotTables>
  <data>
    <tabular pivotCacheId="2133093754">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8ADC2A0-A297-4DF2-81D7-D23DD5085B9B}" sourceName="Months (Date)">
  <pivotTables>
    <pivotTable tabId="4" name="PivotTable10"/>
  </pivotTables>
  <data>
    <tabular pivotCacheId="9769500">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minant_Pollutant" xr10:uid="{A0800D7C-A96F-4125-86CB-9DB0EC97CFE0}" sourceName="Dominant_Pollutant">
  <pivotTables>
    <pivotTable tabId="5" name="PivotTable2"/>
  </pivotTables>
  <data>
    <tabular pivotCacheId="2133093754">
      <items count="5">
        <i x="4" s="1"/>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QI_Category" xr10:uid="{45D5667C-81CB-4385-85CD-395FA4391B0E}" cache="Slicer_AQI_Category" caption="AQI_Category" style="SlicerStyleLight2" rowHeight="234950"/>
  <slicer name="Zone" xr10:uid="{19FB6BDC-9A76-424E-8568-9EF11D45D37C}" cache="Slicer_Zone" caption="Zone" style="SlicerStyleLight2" rowHeight="234950"/>
  <slicer name="Months (Date)" xr10:uid="{1B7D0D9C-A31F-401E-B74B-4AF0DF4A1D81}" cache="Slicer_Months__Date" caption="Months (Date)" startItem="3" style="SlicerStyleLight2" rowHeight="234950"/>
  <slicer name="Dominant_Pollutant" xr10:uid="{AABD37FE-22E0-4F18-A57B-A40733828E3F}" cache="Slicer_Dominant_Pollutant" caption="Dominant_Pollutant" style="SlicerStyleLight2" rowHeight="234950"/>
</slicers>
</file>

<file path=xl/theme/theme1.xml><?xml version="1.0" encoding="utf-8"?>
<a:theme xmlns:a="http://schemas.openxmlformats.org/drawingml/2006/main" name="Office Theme 2007 - 2010">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2DF9-3558-484B-8D67-D38AA42C2B30}">
  <dimension ref="B2:L21"/>
  <sheetViews>
    <sheetView zoomScale="150" zoomScaleNormal="150" workbookViewId="0">
      <selection activeCell="L10" sqref="L10"/>
    </sheetView>
  </sheetViews>
  <sheetFormatPr defaultRowHeight="14.4" x14ac:dyDescent="0.3"/>
  <sheetData>
    <row r="2" spans="2:12" x14ac:dyDescent="0.3">
      <c r="B2" s="11" t="s">
        <v>60</v>
      </c>
    </row>
    <row r="4" spans="2:12" x14ac:dyDescent="0.3">
      <c r="B4" s="7" t="s">
        <v>61</v>
      </c>
      <c r="J4" s="7" t="s">
        <v>79</v>
      </c>
    </row>
    <row r="5" spans="2:12" x14ac:dyDescent="0.3">
      <c r="D5" t="s">
        <v>62</v>
      </c>
      <c r="L5" t="s">
        <v>80</v>
      </c>
    </row>
    <row r="6" spans="2:12" x14ac:dyDescent="0.3">
      <c r="D6" t="s">
        <v>63</v>
      </c>
      <c r="L6" t="s">
        <v>81</v>
      </c>
    </row>
    <row r="7" spans="2:12" x14ac:dyDescent="0.3">
      <c r="D7" t="s">
        <v>64</v>
      </c>
      <c r="L7" t="s">
        <v>82</v>
      </c>
    </row>
    <row r="8" spans="2:12" x14ac:dyDescent="0.3">
      <c r="D8" t="s">
        <v>65</v>
      </c>
      <c r="L8" t="s">
        <v>83</v>
      </c>
    </row>
    <row r="9" spans="2:12" x14ac:dyDescent="0.3">
      <c r="D9" t="s">
        <v>66</v>
      </c>
      <c r="L9" t="s">
        <v>84</v>
      </c>
    </row>
    <row r="10" spans="2:12" x14ac:dyDescent="0.3">
      <c r="D10" t="s">
        <v>67</v>
      </c>
    </row>
    <row r="11" spans="2:12" x14ac:dyDescent="0.3">
      <c r="D11" t="s">
        <v>68</v>
      </c>
    </row>
    <row r="12" spans="2:12" x14ac:dyDescent="0.3">
      <c r="D12" t="s">
        <v>69</v>
      </c>
    </row>
    <row r="13" spans="2:12" x14ac:dyDescent="0.3">
      <c r="D13" t="s">
        <v>70</v>
      </c>
    </row>
    <row r="14" spans="2:12" x14ac:dyDescent="0.3">
      <c r="D14" t="s">
        <v>71</v>
      </c>
    </row>
    <row r="15" spans="2:12" x14ac:dyDescent="0.3">
      <c r="D15" t="s">
        <v>72</v>
      </c>
    </row>
    <row r="16" spans="2:12" x14ac:dyDescent="0.3">
      <c r="D16" t="s">
        <v>73</v>
      </c>
    </row>
    <row r="17" spans="4:4" x14ac:dyDescent="0.3">
      <c r="D17" t="s">
        <v>74</v>
      </c>
    </row>
    <row r="18" spans="4:4" x14ac:dyDescent="0.3">
      <c r="D18" t="s">
        <v>75</v>
      </c>
    </row>
    <row r="19" spans="4:4" x14ac:dyDescent="0.3">
      <c r="D19" t="s">
        <v>76</v>
      </c>
    </row>
    <row r="20" spans="4:4" x14ac:dyDescent="0.3">
      <c r="D20" t="s">
        <v>77</v>
      </c>
    </row>
    <row r="21" spans="4:4" x14ac:dyDescent="0.3">
      <c r="D21"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0C373-F913-4495-89C0-CCD150C15A9D}">
  <dimension ref="A1:AB42"/>
  <sheetViews>
    <sheetView showGridLines="0" tabSelected="1" topLeftCell="A3" zoomScale="90" zoomScaleNormal="90" workbookViewId="0">
      <selection activeCell="Y22" sqref="Y22"/>
    </sheetView>
  </sheetViews>
  <sheetFormatPr defaultColWidth="8.77734375" defaultRowHeight="14.4" x14ac:dyDescent="0.3"/>
  <cols>
    <col min="1" max="2" width="8.88671875" style="8" customWidth="1"/>
    <col min="3" max="3" width="9" style="8" customWidth="1"/>
    <col min="4" max="5" width="8.88671875" style="8" customWidth="1"/>
    <col min="6" max="12" width="8.77734375" style="8"/>
    <col min="13" max="13" width="8.88671875" style="8" customWidth="1"/>
    <col min="14" max="14" width="8.77734375" style="8"/>
    <col min="15" max="15" width="8.88671875" style="8" customWidth="1"/>
    <col min="16" max="16384" width="8.77734375" style="8"/>
  </cols>
  <sheetData>
    <row r="1" spans="1:28" ht="14.4" customHeight="1" x14ac:dyDescent="0.65">
      <c r="A1" s="29" t="s">
        <v>57</v>
      </c>
      <c r="B1" s="30"/>
      <c r="C1" s="30"/>
      <c r="D1" s="30"/>
      <c r="E1" s="30"/>
      <c r="F1" s="30"/>
      <c r="G1" s="30"/>
      <c r="H1" s="30"/>
      <c r="I1" s="30"/>
      <c r="J1" s="30"/>
      <c r="K1" s="30"/>
      <c r="L1" s="30"/>
      <c r="M1" s="30"/>
      <c r="N1" s="30"/>
      <c r="O1" s="30"/>
      <c r="P1" s="30"/>
      <c r="Q1" s="30"/>
      <c r="R1" s="30"/>
      <c r="S1" s="30"/>
      <c r="T1" s="30"/>
      <c r="U1" s="30"/>
      <c r="V1" s="30"/>
      <c r="W1" s="30"/>
      <c r="X1" s="28"/>
      <c r="Y1" s="28"/>
      <c r="Z1" s="28"/>
      <c r="AA1" s="28"/>
      <c r="AB1" s="28"/>
    </row>
    <row r="2" spans="1:28" ht="14.4" customHeight="1" x14ac:dyDescent="0.65">
      <c r="A2" s="30"/>
      <c r="B2" s="30"/>
      <c r="C2" s="30"/>
      <c r="D2" s="30"/>
      <c r="E2" s="30"/>
      <c r="F2" s="30"/>
      <c r="G2" s="30"/>
      <c r="H2" s="30"/>
      <c r="I2" s="30"/>
      <c r="J2" s="30"/>
      <c r="K2" s="30"/>
      <c r="L2" s="30"/>
      <c r="M2" s="30"/>
      <c r="N2" s="30"/>
      <c r="O2" s="30"/>
      <c r="P2" s="30"/>
      <c r="Q2" s="30"/>
      <c r="R2" s="30"/>
      <c r="S2" s="30"/>
      <c r="T2" s="30"/>
      <c r="U2" s="30"/>
      <c r="V2" s="30"/>
      <c r="W2" s="30"/>
      <c r="X2" s="28"/>
      <c r="Y2" s="28"/>
      <c r="Z2" s="28"/>
      <c r="AA2" s="28"/>
      <c r="AB2" s="28"/>
    </row>
    <row r="3" spans="1:28" ht="14.4" customHeight="1" x14ac:dyDescent="0.3">
      <c r="A3" s="31"/>
      <c r="B3" s="31"/>
      <c r="C3" s="31"/>
      <c r="D3" s="31"/>
      <c r="E3" s="31"/>
      <c r="F3" s="31"/>
      <c r="G3" s="31"/>
      <c r="H3" s="31"/>
      <c r="I3" s="31"/>
      <c r="J3" s="31"/>
      <c r="K3" s="31"/>
      <c r="L3" s="31"/>
      <c r="M3" s="31"/>
      <c r="N3" s="31"/>
      <c r="O3" s="31"/>
      <c r="P3" s="31"/>
      <c r="Q3" s="31"/>
      <c r="R3" s="31"/>
      <c r="S3" s="31"/>
      <c r="T3" s="31"/>
      <c r="U3" s="31"/>
      <c r="V3" s="31"/>
      <c r="W3" s="31"/>
    </row>
    <row r="4" spans="1:28" x14ac:dyDescent="0.3">
      <c r="A4" s="31"/>
      <c r="B4" s="31"/>
      <c r="C4" s="31"/>
      <c r="D4" s="31"/>
      <c r="E4" s="31"/>
      <c r="F4" s="31"/>
      <c r="G4" s="31"/>
      <c r="H4" s="31"/>
      <c r="I4" s="31"/>
      <c r="J4" s="31"/>
      <c r="K4" s="31"/>
      <c r="L4" s="31"/>
      <c r="M4" s="31"/>
      <c r="N4" s="31"/>
      <c r="O4" s="31"/>
      <c r="P4" s="31"/>
      <c r="Q4" s="31"/>
      <c r="R4" s="31"/>
      <c r="S4" s="31"/>
      <c r="T4" s="31"/>
      <c r="U4" s="31"/>
      <c r="V4" s="31"/>
      <c r="W4" s="31"/>
    </row>
    <row r="5" spans="1:28" x14ac:dyDescent="0.3">
      <c r="A5" s="32"/>
      <c r="B5" s="32"/>
      <c r="C5" s="32"/>
      <c r="D5" s="32"/>
      <c r="E5" s="33"/>
      <c r="F5" s="26"/>
      <c r="G5" s="26"/>
      <c r="H5" s="26"/>
      <c r="I5" s="26"/>
      <c r="J5" s="26"/>
      <c r="K5" s="26"/>
      <c r="L5" s="26"/>
      <c r="M5" s="26"/>
      <c r="N5" s="26"/>
      <c r="O5" s="26"/>
      <c r="P5" s="26"/>
      <c r="Q5" s="26"/>
      <c r="R5" s="26"/>
      <c r="S5" s="26"/>
      <c r="T5" s="26"/>
      <c r="U5" s="26"/>
      <c r="V5" s="26"/>
      <c r="W5" s="26"/>
    </row>
    <row r="6" spans="1:28" x14ac:dyDescent="0.3">
      <c r="A6" s="32"/>
      <c r="B6" s="32"/>
      <c r="C6" s="32"/>
      <c r="D6" s="32"/>
      <c r="E6" s="34"/>
      <c r="F6" s="26"/>
      <c r="G6" s="26"/>
      <c r="H6" s="26"/>
      <c r="I6" s="26"/>
      <c r="J6" s="26"/>
      <c r="K6" s="26"/>
      <c r="L6" s="26"/>
      <c r="M6" s="26"/>
      <c r="N6" s="26"/>
      <c r="O6" s="26"/>
      <c r="P6" s="26"/>
      <c r="Q6" s="26"/>
      <c r="R6" s="26"/>
      <c r="S6" s="26"/>
      <c r="T6" s="26"/>
      <c r="U6" s="26"/>
      <c r="V6" s="26"/>
      <c r="W6" s="26"/>
    </row>
    <row r="7" spans="1:28" x14ac:dyDescent="0.3">
      <c r="A7" s="26"/>
      <c r="B7" s="26"/>
      <c r="C7" s="26"/>
      <c r="D7" s="26"/>
      <c r="E7" s="26"/>
      <c r="F7" s="26"/>
      <c r="G7" s="26"/>
      <c r="H7" s="26"/>
      <c r="I7" s="26"/>
      <c r="J7" s="26"/>
      <c r="K7" s="26"/>
      <c r="L7" s="26"/>
      <c r="M7" s="26"/>
      <c r="N7" s="26"/>
      <c r="O7" s="26"/>
      <c r="P7" s="26"/>
      <c r="Q7" s="26"/>
      <c r="R7" s="26"/>
      <c r="S7" s="26"/>
      <c r="T7" s="26"/>
      <c r="U7" s="26"/>
      <c r="V7" s="26"/>
      <c r="W7" s="26"/>
    </row>
    <row r="8" spans="1:28" x14ac:dyDescent="0.3">
      <c r="A8" s="26"/>
      <c r="B8" s="26"/>
      <c r="C8" s="26"/>
      <c r="D8" s="26"/>
      <c r="E8" s="26"/>
      <c r="F8" s="26"/>
      <c r="G8" s="26"/>
      <c r="H8" s="26"/>
      <c r="I8" s="26"/>
      <c r="J8" s="26"/>
      <c r="K8" s="26"/>
      <c r="L8" s="26"/>
      <c r="M8" s="26"/>
      <c r="N8" s="26"/>
      <c r="O8" s="26"/>
      <c r="P8" s="26"/>
      <c r="Q8" s="26"/>
      <c r="R8" s="26"/>
      <c r="S8" s="26"/>
      <c r="T8" s="26"/>
      <c r="U8" s="26"/>
      <c r="V8" s="26"/>
      <c r="W8" s="26"/>
    </row>
    <row r="9" spans="1:28" x14ac:dyDescent="0.3">
      <c r="A9" s="26"/>
      <c r="B9" s="26"/>
      <c r="C9" s="26"/>
      <c r="D9" s="26"/>
      <c r="E9" s="26"/>
      <c r="F9" s="26"/>
      <c r="G9" s="26"/>
      <c r="H9" s="26"/>
      <c r="I9" s="26"/>
      <c r="J9" s="26"/>
      <c r="K9" s="26"/>
      <c r="L9" s="26"/>
      <c r="M9" s="26"/>
      <c r="N9" s="26"/>
      <c r="O9" s="26"/>
      <c r="P9" s="26"/>
      <c r="Q9" s="26"/>
      <c r="R9" s="26"/>
      <c r="S9" s="26"/>
      <c r="T9" s="26"/>
      <c r="U9" s="26"/>
      <c r="V9" s="26"/>
      <c r="W9" s="26"/>
    </row>
    <row r="10" spans="1:28" x14ac:dyDescent="0.3">
      <c r="A10" s="26"/>
      <c r="B10" s="26"/>
      <c r="C10" s="26"/>
      <c r="D10" s="26"/>
      <c r="E10" s="26"/>
      <c r="F10" s="26"/>
      <c r="G10" s="26"/>
      <c r="H10" s="26"/>
      <c r="I10" s="26"/>
      <c r="J10" s="26"/>
      <c r="K10" s="26"/>
      <c r="L10" s="26"/>
      <c r="M10" s="26"/>
      <c r="N10" s="26"/>
      <c r="O10" s="26"/>
      <c r="P10" s="26"/>
      <c r="Q10" s="26"/>
      <c r="R10" s="26"/>
      <c r="S10" s="26"/>
      <c r="T10" s="26"/>
      <c r="U10" s="26"/>
      <c r="V10" s="26"/>
      <c r="W10" s="26"/>
    </row>
    <row r="11" spans="1:28" x14ac:dyDescent="0.3">
      <c r="A11" s="26"/>
      <c r="B11" s="26"/>
      <c r="C11" s="26"/>
      <c r="D11" s="26"/>
      <c r="E11" s="26"/>
      <c r="F11" s="26"/>
      <c r="G11" s="26"/>
      <c r="H11" s="26"/>
      <c r="I11" s="26"/>
      <c r="J11" s="26"/>
      <c r="K11" s="26"/>
      <c r="L11" s="26"/>
      <c r="M11" s="26"/>
      <c r="N11" s="26"/>
      <c r="O11" s="26"/>
      <c r="P11" s="26"/>
      <c r="Q11" s="26"/>
      <c r="R11" s="26"/>
      <c r="S11" s="26"/>
      <c r="T11" s="26"/>
      <c r="U11" s="26"/>
      <c r="V11" s="26"/>
      <c r="W11" s="26"/>
    </row>
    <row r="12" spans="1:28" x14ac:dyDescent="0.3">
      <c r="A12" s="26"/>
      <c r="B12" s="26"/>
      <c r="C12" s="26"/>
      <c r="D12" s="26"/>
      <c r="E12" s="26"/>
      <c r="F12" s="26"/>
      <c r="G12" s="26"/>
      <c r="H12" s="26"/>
      <c r="I12" s="26"/>
      <c r="J12" s="26"/>
      <c r="K12" s="26"/>
      <c r="L12" s="26"/>
      <c r="M12" s="26"/>
      <c r="N12" s="26"/>
      <c r="O12" s="26"/>
      <c r="P12" s="26"/>
      <c r="Q12" s="26"/>
      <c r="R12" s="26"/>
      <c r="S12" s="26"/>
      <c r="T12" s="26"/>
      <c r="U12" s="26"/>
      <c r="V12" s="26"/>
      <c r="W12" s="26"/>
    </row>
    <row r="13" spans="1:28" x14ac:dyDescent="0.3">
      <c r="A13" s="26"/>
      <c r="B13" s="27"/>
      <c r="C13" s="26"/>
      <c r="D13" s="26"/>
      <c r="E13" s="26"/>
      <c r="F13" s="26"/>
      <c r="G13" s="26"/>
      <c r="H13" s="26"/>
      <c r="I13" s="26"/>
      <c r="J13" s="26"/>
      <c r="K13" s="26"/>
      <c r="L13" s="26"/>
      <c r="M13" s="26"/>
      <c r="N13" s="26"/>
      <c r="O13" s="26"/>
      <c r="P13" s="26"/>
      <c r="Q13" s="26"/>
      <c r="R13" s="26"/>
      <c r="S13" s="26"/>
      <c r="T13" s="26"/>
      <c r="U13" s="26"/>
      <c r="V13" s="26"/>
      <c r="W13" s="26"/>
    </row>
    <row r="14" spans="1:28" x14ac:dyDescent="0.3">
      <c r="A14" s="26"/>
      <c r="B14" s="26"/>
      <c r="C14" s="26"/>
      <c r="D14" s="26"/>
      <c r="E14" s="26"/>
      <c r="F14" s="26"/>
      <c r="G14" s="26"/>
      <c r="H14" s="26"/>
      <c r="I14" s="26"/>
      <c r="J14" s="26"/>
      <c r="K14" s="26"/>
      <c r="L14" s="26"/>
      <c r="M14" s="26"/>
      <c r="N14" s="26"/>
      <c r="O14" s="26"/>
      <c r="P14" s="26"/>
      <c r="Q14" s="26"/>
      <c r="R14" s="26"/>
      <c r="S14" s="26"/>
      <c r="T14" s="26"/>
      <c r="U14" s="26"/>
      <c r="V14" s="26"/>
      <c r="W14" s="26"/>
    </row>
    <row r="15" spans="1:28" x14ac:dyDescent="0.3">
      <c r="A15" s="26"/>
      <c r="B15" s="26"/>
      <c r="C15" s="26"/>
      <c r="D15" s="26"/>
      <c r="E15" s="26"/>
      <c r="F15" s="26"/>
      <c r="G15" s="26"/>
      <c r="H15" s="26"/>
      <c r="I15" s="26"/>
      <c r="J15" s="26"/>
      <c r="K15" s="26"/>
      <c r="L15" s="26"/>
      <c r="M15" s="26"/>
      <c r="N15" s="26"/>
      <c r="O15" s="26"/>
      <c r="P15" s="26"/>
      <c r="Q15" s="26"/>
      <c r="R15" s="26"/>
      <c r="S15" s="26"/>
      <c r="T15" s="26"/>
      <c r="U15" s="26"/>
      <c r="V15" s="26"/>
      <c r="W15" s="26"/>
    </row>
    <row r="16" spans="1:28" x14ac:dyDescent="0.3">
      <c r="A16" s="26"/>
      <c r="B16" s="26"/>
      <c r="C16" s="26"/>
      <c r="D16" s="26"/>
      <c r="E16" s="26"/>
      <c r="F16" s="26"/>
      <c r="G16" s="26"/>
      <c r="H16" s="26"/>
      <c r="I16" s="26"/>
      <c r="J16" s="26"/>
      <c r="K16" s="26"/>
      <c r="L16" s="26"/>
      <c r="M16" s="26"/>
      <c r="N16" s="26"/>
      <c r="O16" s="26"/>
      <c r="P16" s="26"/>
      <c r="Q16" s="26"/>
      <c r="R16" s="26"/>
      <c r="S16" s="26"/>
      <c r="T16" s="26"/>
      <c r="U16" s="26"/>
      <c r="V16" s="26"/>
      <c r="W16" s="26"/>
    </row>
    <row r="17" spans="1:23" x14ac:dyDescent="0.3">
      <c r="A17" s="26"/>
      <c r="B17" s="26"/>
      <c r="C17" s="26"/>
      <c r="D17" s="26"/>
      <c r="E17" s="26"/>
      <c r="F17" s="26"/>
      <c r="G17" s="26"/>
      <c r="H17" s="26"/>
      <c r="I17" s="26"/>
      <c r="J17" s="26"/>
      <c r="K17" s="26"/>
      <c r="L17" s="26"/>
      <c r="M17" s="26"/>
      <c r="N17" s="26"/>
      <c r="O17" s="26"/>
      <c r="P17" s="26"/>
      <c r="Q17" s="26"/>
      <c r="R17" s="26"/>
      <c r="S17" s="26"/>
      <c r="T17" s="26"/>
      <c r="U17" s="26"/>
      <c r="V17" s="26"/>
      <c r="W17" s="26"/>
    </row>
    <row r="18" spans="1:23" x14ac:dyDescent="0.3">
      <c r="A18" s="26"/>
      <c r="B18" s="26"/>
      <c r="C18" s="26"/>
      <c r="D18" s="26"/>
      <c r="E18" s="26"/>
      <c r="F18" s="26"/>
      <c r="G18" s="26"/>
      <c r="H18" s="26"/>
      <c r="I18" s="26"/>
      <c r="J18" s="26"/>
      <c r="K18" s="26"/>
      <c r="L18" s="26"/>
      <c r="M18" s="26"/>
      <c r="N18" s="26"/>
      <c r="O18" s="26"/>
      <c r="P18" s="26"/>
      <c r="Q18" s="26"/>
      <c r="R18" s="26"/>
      <c r="S18" s="26"/>
      <c r="T18" s="26"/>
      <c r="U18" s="26"/>
      <c r="V18" s="26"/>
      <c r="W18" s="26"/>
    </row>
    <row r="19" spans="1:23" x14ac:dyDescent="0.3">
      <c r="A19" s="26"/>
      <c r="B19" s="26"/>
      <c r="C19" s="26"/>
      <c r="D19" s="26"/>
      <c r="E19" s="26"/>
      <c r="F19" s="26"/>
      <c r="G19" s="26"/>
      <c r="H19" s="26"/>
      <c r="I19" s="26"/>
      <c r="J19" s="26"/>
      <c r="K19" s="26"/>
      <c r="L19" s="26"/>
      <c r="M19" s="26"/>
      <c r="N19" s="26"/>
      <c r="O19" s="26"/>
      <c r="P19" s="26"/>
      <c r="Q19" s="26"/>
      <c r="R19" s="26"/>
      <c r="S19" s="26"/>
      <c r="T19" s="26"/>
      <c r="U19" s="26"/>
      <c r="V19" s="26"/>
      <c r="W19" s="26"/>
    </row>
    <row r="20" spans="1:23" x14ac:dyDescent="0.3">
      <c r="A20" s="26"/>
      <c r="B20" s="26"/>
      <c r="C20" s="26"/>
      <c r="D20" s="26"/>
      <c r="E20" s="26"/>
      <c r="F20" s="26"/>
      <c r="G20" s="26"/>
      <c r="H20" s="26"/>
      <c r="I20" s="26"/>
      <c r="J20" s="26"/>
      <c r="K20" s="26"/>
      <c r="L20" s="26"/>
      <c r="M20" s="26"/>
      <c r="N20" s="26"/>
      <c r="O20" s="26"/>
      <c r="P20" s="26"/>
      <c r="Q20" s="26"/>
      <c r="R20" s="26"/>
      <c r="S20" s="26"/>
      <c r="T20" s="26"/>
      <c r="U20" s="26"/>
      <c r="V20" s="26"/>
      <c r="W20" s="26"/>
    </row>
    <row r="21" spans="1:23" x14ac:dyDescent="0.3">
      <c r="A21" s="26"/>
      <c r="B21" s="26"/>
      <c r="C21" s="26"/>
      <c r="D21" s="26"/>
      <c r="E21" s="26"/>
      <c r="F21" s="26"/>
      <c r="G21" s="26"/>
      <c r="H21" s="26"/>
      <c r="I21" s="26"/>
      <c r="J21" s="26"/>
      <c r="K21" s="26"/>
      <c r="L21" s="26"/>
      <c r="M21" s="26"/>
      <c r="N21" s="26"/>
      <c r="O21" s="26"/>
      <c r="P21" s="26"/>
      <c r="Q21" s="26"/>
      <c r="R21" s="26"/>
      <c r="S21" s="26"/>
      <c r="T21" s="26"/>
      <c r="U21" s="26"/>
      <c r="V21" s="26"/>
      <c r="W21" s="26"/>
    </row>
    <row r="22" spans="1:23" x14ac:dyDescent="0.3">
      <c r="A22" s="26"/>
      <c r="B22" s="26"/>
      <c r="C22" s="26"/>
      <c r="D22" s="26"/>
      <c r="E22" s="26"/>
      <c r="F22" s="26"/>
      <c r="G22" s="26"/>
      <c r="H22" s="26"/>
      <c r="I22" s="26"/>
      <c r="J22" s="26"/>
      <c r="K22" s="26"/>
      <c r="L22" s="26"/>
      <c r="M22" s="26"/>
      <c r="N22" s="26"/>
      <c r="O22" s="26"/>
      <c r="P22" s="26"/>
      <c r="Q22" s="26"/>
      <c r="R22" s="26"/>
      <c r="S22" s="26"/>
      <c r="T22" s="26"/>
      <c r="U22" s="26"/>
      <c r="V22" s="26"/>
      <c r="W22" s="26"/>
    </row>
    <row r="23" spans="1:23" x14ac:dyDescent="0.3">
      <c r="A23" s="26"/>
      <c r="B23" s="26"/>
      <c r="C23" s="26"/>
      <c r="D23" s="26"/>
      <c r="E23" s="26"/>
      <c r="F23" s="26"/>
      <c r="G23" s="26"/>
      <c r="H23" s="26"/>
      <c r="I23" s="26"/>
      <c r="J23" s="26"/>
      <c r="K23" s="26"/>
      <c r="L23" s="26"/>
      <c r="M23" s="26"/>
      <c r="N23" s="26"/>
      <c r="O23" s="26"/>
      <c r="P23" s="26"/>
      <c r="Q23" s="26"/>
      <c r="R23" s="26"/>
      <c r="S23" s="26"/>
      <c r="T23" s="26"/>
      <c r="U23" s="26"/>
      <c r="V23" s="26"/>
      <c r="W23" s="26"/>
    </row>
    <row r="24" spans="1:23" x14ac:dyDescent="0.3">
      <c r="A24" s="26"/>
      <c r="B24" s="26"/>
      <c r="C24" s="26"/>
      <c r="D24" s="26"/>
      <c r="E24" s="26"/>
      <c r="F24" s="26"/>
      <c r="G24" s="26"/>
      <c r="H24" s="26"/>
      <c r="I24" s="26"/>
      <c r="J24" s="26"/>
      <c r="K24" s="26"/>
      <c r="L24" s="26"/>
      <c r="M24" s="26"/>
      <c r="N24" s="26"/>
      <c r="O24" s="26"/>
      <c r="P24" s="26"/>
      <c r="Q24" s="26"/>
      <c r="R24" s="26"/>
      <c r="S24" s="26"/>
      <c r="T24" s="26"/>
      <c r="U24" s="26"/>
      <c r="V24" s="26"/>
      <c r="W24" s="26"/>
    </row>
    <row r="25" spans="1:23" x14ac:dyDescent="0.3">
      <c r="A25" s="26"/>
      <c r="B25" s="26"/>
      <c r="C25" s="26"/>
      <c r="D25" s="26"/>
      <c r="E25" s="26"/>
      <c r="F25" s="26"/>
      <c r="G25" s="26"/>
      <c r="H25" s="26"/>
      <c r="I25" s="26"/>
      <c r="J25" s="26"/>
      <c r="K25" s="26"/>
      <c r="L25" s="26"/>
      <c r="M25" s="26"/>
      <c r="N25" s="26"/>
      <c r="O25" s="26"/>
      <c r="P25" s="26"/>
      <c r="Q25" s="26"/>
      <c r="R25" s="26"/>
      <c r="S25" s="26"/>
      <c r="T25" s="26"/>
      <c r="U25" s="26"/>
      <c r="V25" s="26"/>
      <c r="W25" s="26"/>
    </row>
    <row r="26" spans="1:23" x14ac:dyDescent="0.3">
      <c r="A26" s="26"/>
      <c r="B26" s="26"/>
      <c r="C26" s="26"/>
      <c r="D26" s="26"/>
      <c r="E26" s="26"/>
      <c r="F26" s="26"/>
      <c r="G26" s="26"/>
      <c r="H26" s="26"/>
      <c r="I26" s="26"/>
      <c r="J26" s="26"/>
      <c r="K26" s="26"/>
      <c r="L26" s="26"/>
      <c r="M26" s="26"/>
      <c r="N26" s="26"/>
      <c r="O26" s="26"/>
      <c r="P26" s="26"/>
      <c r="Q26" s="26"/>
      <c r="R26" s="26"/>
      <c r="S26" s="26"/>
      <c r="T26" s="26"/>
      <c r="U26" s="26"/>
      <c r="V26" s="26"/>
      <c r="W26" s="26"/>
    </row>
    <row r="27" spans="1:23" x14ac:dyDescent="0.3">
      <c r="A27" s="26"/>
      <c r="B27" s="26"/>
      <c r="C27" s="26"/>
      <c r="D27" s="26"/>
      <c r="E27" s="26"/>
      <c r="F27" s="26"/>
      <c r="G27" s="26"/>
      <c r="H27" s="26"/>
      <c r="I27" s="26"/>
      <c r="J27" s="26"/>
      <c r="K27" s="26"/>
      <c r="L27" s="26"/>
      <c r="M27" s="26"/>
      <c r="N27" s="26"/>
      <c r="O27" s="26"/>
      <c r="P27" s="26"/>
      <c r="Q27" s="26"/>
      <c r="R27" s="26"/>
      <c r="S27" s="26"/>
      <c r="T27" s="26"/>
      <c r="U27" s="26"/>
      <c r="V27" s="26"/>
      <c r="W27" s="26"/>
    </row>
    <row r="28" spans="1:23" x14ac:dyDescent="0.3">
      <c r="A28" s="26"/>
      <c r="B28" s="26"/>
      <c r="C28" s="26"/>
      <c r="D28" s="26"/>
      <c r="E28" s="26"/>
      <c r="F28" s="26"/>
      <c r="G28" s="26"/>
      <c r="H28" s="26"/>
      <c r="I28" s="26"/>
      <c r="J28" s="26"/>
      <c r="K28" s="26"/>
      <c r="L28" s="26"/>
      <c r="M28" s="26"/>
      <c r="N28" s="26"/>
      <c r="O28" s="26"/>
      <c r="P28" s="26"/>
      <c r="Q28" s="26"/>
      <c r="R28" s="26"/>
      <c r="S28" s="26"/>
      <c r="T28" s="26"/>
      <c r="U28" s="26"/>
      <c r="V28" s="26"/>
      <c r="W28" s="26"/>
    </row>
    <row r="29" spans="1:23" x14ac:dyDescent="0.3">
      <c r="A29" s="26"/>
      <c r="B29" s="26"/>
      <c r="C29" s="26"/>
      <c r="D29" s="26"/>
      <c r="E29" s="26"/>
      <c r="F29" s="26"/>
      <c r="G29" s="26"/>
      <c r="H29" s="26"/>
      <c r="I29" s="26"/>
      <c r="J29" s="26"/>
      <c r="K29" s="26"/>
      <c r="L29" s="26"/>
      <c r="M29" s="26"/>
      <c r="N29" s="26"/>
      <c r="O29" s="26"/>
      <c r="P29" s="26"/>
      <c r="Q29" s="26"/>
      <c r="R29" s="26"/>
      <c r="S29" s="26"/>
      <c r="T29" s="26"/>
      <c r="U29" s="26"/>
      <c r="V29" s="26"/>
      <c r="W29" s="26"/>
    </row>
    <row r="30" spans="1:23" x14ac:dyDescent="0.3">
      <c r="A30" s="26"/>
      <c r="B30" s="26"/>
      <c r="C30" s="26"/>
      <c r="D30" s="26"/>
      <c r="E30" s="26"/>
      <c r="F30" s="26"/>
      <c r="G30" s="26"/>
      <c r="H30" s="26"/>
      <c r="I30" s="26"/>
      <c r="J30" s="26"/>
      <c r="K30" s="26"/>
      <c r="L30" s="26"/>
      <c r="M30" s="26"/>
      <c r="N30" s="26"/>
      <c r="O30" s="26"/>
      <c r="P30" s="26"/>
      <c r="Q30" s="26"/>
      <c r="R30" s="26"/>
      <c r="S30" s="26"/>
      <c r="T30" s="26"/>
      <c r="U30" s="26"/>
      <c r="V30" s="26"/>
      <c r="W30" s="26"/>
    </row>
    <row r="31" spans="1:23" x14ac:dyDescent="0.3">
      <c r="A31" s="26"/>
      <c r="B31" s="26"/>
      <c r="C31" s="26"/>
      <c r="D31" s="26"/>
      <c r="E31" s="26"/>
      <c r="F31" s="26"/>
      <c r="G31" s="26"/>
      <c r="H31" s="26"/>
      <c r="I31" s="26"/>
      <c r="J31" s="26"/>
      <c r="K31" s="26"/>
      <c r="L31" s="26"/>
      <c r="M31" s="26"/>
      <c r="N31" s="26"/>
      <c r="O31" s="26"/>
      <c r="P31" s="26"/>
      <c r="Q31" s="26"/>
      <c r="R31" s="26"/>
      <c r="S31" s="26"/>
      <c r="T31" s="26"/>
      <c r="U31" s="26"/>
      <c r="V31" s="26"/>
      <c r="W31" s="26"/>
    </row>
    <row r="32" spans="1:23" x14ac:dyDescent="0.3">
      <c r="A32" s="26"/>
      <c r="B32" s="26"/>
      <c r="C32" s="26"/>
      <c r="D32" s="26"/>
      <c r="E32" s="26"/>
      <c r="F32" s="26"/>
      <c r="G32" s="26"/>
      <c r="H32" s="26"/>
      <c r="I32" s="26"/>
      <c r="J32" s="26"/>
      <c r="K32" s="26"/>
      <c r="L32" s="26"/>
      <c r="M32" s="26"/>
      <c r="N32" s="26"/>
      <c r="O32" s="26"/>
      <c r="P32" s="26"/>
      <c r="Q32" s="26"/>
      <c r="R32" s="26"/>
      <c r="S32" s="26"/>
      <c r="T32" s="26"/>
      <c r="U32" s="26"/>
      <c r="V32" s="26"/>
      <c r="W32" s="26"/>
    </row>
    <row r="33" spans="1:23" x14ac:dyDescent="0.3">
      <c r="A33" s="26"/>
      <c r="B33" s="26"/>
      <c r="C33" s="26"/>
      <c r="D33" s="26"/>
      <c r="E33" s="26"/>
      <c r="F33" s="26"/>
      <c r="G33" s="26"/>
      <c r="H33" s="26"/>
      <c r="I33" s="26"/>
      <c r="J33" s="26"/>
      <c r="K33" s="26"/>
      <c r="L33" s="26"/>
      <c r="M33" s="26"/>
      <c r="N33" s="26"/>
      <c r="O33" s="26"/>
      <c r="P33" s="26"/>
      <c r="Q33" s="26"/>
      <c r="R33" s="26"/>
      <c r="S33" s="26"/>
      <c r="T33" s="26"/>
      <c r="U33" s="26"/>
      <c r="V33" s="26"/>
      <c r="W33" s="26"/>
    </row>
    <row r="34" spans="1:23" x14ac:dyDescent="0.3">
      <c r="A34" s="26"/>
      <c r="B34" s="26"/>
      <c r="C34" s="26"/>
      <c r="D34" s="26"/>
      <c r="E34" s="26"/>
      <c r="F34" s="26"/>
      <c r="G34" s="26"/>
      <c r="H34" s="26"/>
      <c r="I34" s="26"/>
      <c r="J34" s="26"/>
      <c r="K34" s="26"/>
      <c r="L34" s="26"/>
      <c r="M34" s="26"/>
      <c r="N34" s="26"/>
      <c r="O34" s="26"/>
      <c r="P34" s="26"/>
      <c r="Q34" s="26"/>
      <c r="R34" s="26"/>
      <c r="S34" s="26"/>
      <c r="T34" s="26"/>
      <c r="U34" s="26"/>
      <c r="V34" s="26"/>
      <c r="W34" s="26"/>
    </row>
    <row r="35" spans="1:23" x14ac:dyDescent="0.3">
      <c r="A35" s="26"/>
      <c r="B35" s="26"/>
      <c r="C35" s="26"/>
      <c r="D35" s="26"/>
      <c r="E35" s="26"/>
      <c r="F35" s="26"/>
      <c r="G35" s="26"/>
      <c r="H35" s="26"/>
      <c r="I35" s="26"/>
      <c r="J35" s="26"/>
      <c r="K35" s="26"/>
      <c r="L35" s="26"/>
      <c r="M35" s="26"/>
      <c r="N35" s="26"/>
      <c r="O35" s="26"/>
      <c r="P35" s="26"/>
      <c r="Q35" s="26"/>
      <c r="R35" s="26"/>
      <c r="S35" s="26"/>
      <c r="T35" s="26"/>
      <c r="U35" s="26"/>
      <c r="V35" s="26"/>
      <c r="W35" s="26"/>
    </row>
    <row r="36" spans="1:23" x14ac:dyDescent="0.3">
      <c r="A36" s="26"/>
      <c r="B36" s="26"/>
      <c r="C36" s="26"/>
      <c r="D36" s="26"/>
      <c r="E36" s="26"/>
      <c r="F36" s="26"/>
      <c r="G36" s="26"/>
      <c r="H36" s="26"/>
      <c r="I36" s="26"/>
      <c r="J36" s="26"/>
      <c r="K36" s="26"/>
      <c r="L36" s="26"/>
      <c r="M36" s="26"/>
      <c r="N36" s="26"/>
      <c r="O36" s="26"/>
      <c r="P36" s="26"/>
      <c r="Q36" s="26"/>
      <c r="R36" s="26"/>
      <c r="S36" s="26"/>
      <c r="T36" s="26"/>
      <c r="U36" s="26"/>
      <c r="V36" s="26"/>
      <c r="W36" s="26"/>
    </row>
    <row r="37" spans="1:23" x14ac:dyDescent="0.3">
      <c r="A37" s="26"/>
      <c r="B37" s="26"/>
      <c r="C37" s="26"/>
      <c r="D37" s="26"/>
      <c r="E37" s="26"/>
      <c r="F37" s="26"/>
      <c r="G37" s="26"/>
      <c r="H37" s="26"/>
      <c r="I37" s="26"/>
      <c r="J37" s="26"/>
      <c r="K37" s="26"/>
      <c r="L37" s="26"/>
      <c r="M37" s="26"/>
      <c r="N37" s="26"/>
      <c r="O37" s="26"/>
      <c r="P37" s="26"/>
      <c r="Q37" s="26"/>
      <c r="R37" s="26"/>
      <c r="S37" s="26"/>
      <c r="T37" s="26"/>
      <c r="U37" s="26"/>
      <c r="V37" s="26"/>
      <c r="W37" s="26"/>
    </row>
    <row r="38" spans="1:23" x14ac:dyDescent="0.3">
      <c r="A38" s="26"/>
      <c r="B38" s="26"/>
      <c r="C38" s="26"/>
      <c r="D38" s="26"/>
      <c r="E38" s="26"/>
      <c r="F38" s="26"/>
      <c r="G38" s="26"/>
      <c r="H38" s="26"/>
      <c r="I38" s="26"/>
      <c r="J38" s="26"/>
      <c r="K38" s="26"/>
      <c r="L38" s="26"/>
      <c r="M38" s="26"/>
      <c r="N38" s="26"/>
      <c r="O38" s="26"/>
      <c r="P38" s="26"/>
      <c r="Q38" s="26"/>
      <c r="R38" s="26"/>
      <c r="S38" s="26"/>
      <c r="T38" s="26"/>
      <c r="U38" s="26"/>
      <c r="V38" s="26"/>
      <c r="W38" s="26"/>
    </row>
    <row r="39" spans="1:23" x14ac:dyDescent="0.3">
      <c r="A39" s="26"/>
      <c r="B39" s="26"/>
      <c r="C39" s="26"/>
      <c r="D39" s="26"/>
      <c r="E39" s="26"/>
      <c r="F39" s="26"/>
      <c r="G39" s="26"/>
      <c r="H39" s="26"/>
      <c r="I39" s="26"/>
      <c r="J39" s="26"/>
      <c r="K39" s="26"/>
      <c r="L39" s="26"/>
      <c r="M39" s="26"/>
      <c r="N39" s="26"/>
      <c r="O39" s="26"/>
      <c r="P39" s="26"/>
      <c r="Q39" s="26"/>
      <c r="R39" s="26"/>
      <c r="S39" s="26"/>
      <c r="T39" s="26"/>
      <c r="U39" s="26"/>
      <c r="V39" s="26"/>
      <c r="W39" s="26"/>
    </row>
    <row r="40" spans="1:23" x14ac:dyDescent="0.3">
      <c r="A40" s="26"/>
      <c r="B40" s="26"/>
      <c r="C40" s="26"/>
      <c r="D40" s="26"/>
      <c r="E40" s="26"/>
      <c r="F40" s="26"/>
      <c r="G40" s="26"/>
      <c r="H40" s="26"/>
      <c r="I40" s="26"/>
      <c r="J40" s="26"/>
      <c r="K40" s="26"/>
      <c r="L40" s="26"/>
      <c r="M40" s="26"/>
      <c r="N40" s="26"/>
      <c r="O40" s="26"/>
      <c r="P40" s="26"/>
      <c r="Q40" s="26"/>
      <c r="R40" s="26"/>
      <c r="S40" s="26"/>
      <c r="T40" s="26"/>
      <c r="U40" s="26"/>
      <c r="V40" s="26"/>
      <c r="W40" s="26"/>
    </row>
    <row r="41" spans="1:23" x14ac:dyDescent="0.3">
      <c r="A41" s="26"/>
      <c r="B41" s="26"/>
      <c r="C41" s="26"/>
      <c r="D41" s="26"/>
      <c r="E41" s="26"/>
      <c r="F41" s="26"/>
      <c r="G41" s="26"/>
      <c r="H41" s="26"/>
      <c r="I41" s="26"/>
      <c r="J41" s="26"/>
      <c r="K41" s="26"/>
      <c r="L41" s="26"/>
      <c r="M41" s="26"/>
      <c r="N41" s="26"/>
      <c r="O41" s="26"/>
      <c r="P41" s="26"/>
      <c r="Q41" s="26"/>
      <c r="R41" s="26"/>
      <c r="S41" s="26"/>
      <c r="T41" s="26"/>
      <c r="U41" s="26"/>
      <c r="V41" s="26"/>
      <c r="W41" s="26"/>
    </row>
    <row r="42" spans="1:23" x14ac:dyDescent="0.3">
      <c r="A42" s="26"/>
      <c r="B42" s="26"/>
      <c r="C42" s="26"/>
      <c r="D42" s="26"/>
      <c r="E42" s="26"/>
      <c r="F42" s="26"/>
      <c r="G42" s="26"/>
      <c r="H42" s="26"/>
      <c r="I42" s="26"/>
      <c r="J42" s="26"/>
      <c r="K42" s="26"/>
      <c r="L42" s="26"/>
      <c r="M42" s="26"/>
      <c r="N42" s="26"/>
      <c r="O42" s="26"/>
      <c r="P42" s="26"/>
      <c r="Q42" s="26"/>
      <c r="R42" s="26"/>
      <c r="S42" s="26"/>
      <c r="T42" s="26"/>
      <c r="U42" s="26"/>
      <c r="V42" s="26"/>
      <c r="W42" s="26"/>
    </row>
  </sheetData>
  <mergeCells count="7">
    <mergeCell ref="A1:W2"/>
    <mergeCell ref="A3:W4"/>
    <mergeCell ref="A5:A6"/>
    <mergeCell ref="B5:B6"/>
    <mergeCell ref="C5:C6"/>
    <mergeCell ref="D5:D6"/>
    <mergeCell ref="E5:E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3CC38-E874-44E2-BF8B-88F77BC442F1}">
  <dimension ref="B2:G22"/>
  <sheetViews>
    <sheetView zoomScale="140" zoomScaleNormal="140" workbookViewId="0">
      <selection activeCell="D15" sqref="D15"/>
    </sheetView>
  </sheetViews>
  <sheetFormatPr defaultRowHeight="14.4" x14ac:dyDescent="0.3"/>
  <cols>
    <col min="2" max="2" width="14.5546875" customWidth="1"/>
  </cols>
  <sheetData>
    <row r="2" spans="2:7" x14ac:dyDescent="0.3">
      <c r="B2" s="22" t="s">
        <v>110</v>
      </c>
    </row>
    <row r="3" spans="2:7" x14ac:dyDescent="0.3">
      <c r="B3" s="22" t="s">
        <v>111</v>
      </c>
    </row>
    <row r="4" spans="2:7" x14ac:dyDescent="0.3">
      <c r="B4" s="22" t="s">
        <v>112</v>
      </c>
      <c r="C4" s="22"/>
      <c r="D4" s="22"/>
      <c r="E4" s="22"/>
      <c r="F4" s="22"/>
      <c r="G4" s="22"/>
    </row>
    <row r="5" spans="2:7" x14ac:dyDescent="0.3">
      <c r="B5" s="22" t="s">
        <v>113</v>
      </c>
      <c r="C5" s="22"/>
      <c r="D5" s="22"/>
      <c r="E5" s="22"/>
      <c r="F5" s="22"/>
      <c r="G5" s="22"/>
    </row>
    <row r="6" spans="2:7" x14ac:dyDescent="0.3">
      <c r="B6" s="22" t="s">
        <v>114</v>
      </c>
      <c r="C6" s="22"/>
      <c r="D6" s="22"/>
      <c r="E6" s="22"/>
      <c r="F6" s="22"/>
      <c r="G6" s="22"/>
    </row>
    <row r="9" spans="2:7" x14ac:dyDescent="0.3">
      <c r="B9" s="24" t="s">
        <v>109</v>
      </c>
    </row>
    <row r="10" spans="2:7" x14ac:dyDescent="0.3">
      <c r="B10" t="s">
        <v>115</v>
      </c>
      <c r="D10" s="4">
        <f>AVERAGE('Delhi AQI Data'!R2:R1826)</f>
        <v>193.72602739726028</v>
      </c>
    </row>
    <row r="12" spans="2:7" x14ac:dyDescent="0.3">
      <c r="B12" s="7" t="s">
        <v>116</v>
      </c>
    </row>
    <row r="13" spans="2:7" x14ac:dyDescent="0.3">
      <c r="B13" t="s">
        <v>117</v>
      </c>
      <c r="D13" s="4">
        <f>MAX('Delhi AQI Data'!R2:R1826)</f>
        <v>500</v>
      </c>
    </row>
    <row r="15" spans="2:7" x14ac:dyDescent="0.3">
      <c r="B15" s="7" t="s">
        <v>118</v>
      </c>
    </row>
    <row r="16" spans="2:7" x14ac:dyDescent="0.3">
      <c r="B16" t="s">
        <v>119</v>
      </c>
      <c r="D16" t="str">
        <f>INDEX('Zones level analysis'!B8:C12,MATCH(MIN('Zones level analysis'!C8:C12),'Zones level analysis'!C8:C12,0),1)</f>
        <v>East Residential</v>
      </c>
    </row>
    <row r="18" spans="2:4" x14ac:dyDescent="0.3">
      <c r="B18" s="7" t="s">
        <v>120</v>
      </c>
    </row>
    <row r="19" spans="2:4" x14ac:dyDescent="0.3">
      <c r="B19" t="s">
        <v>122</v>
      </c>
      <c r="D19" t="str">
        <f>INDEX('Zones level analysis'!B8:C12,MATCH(MAX('Zones level analysis'!C8:C12),'Zones level analysis'!C8:C12,0),1)</f>
        <v>North Industrial</v>
      </c>
    </row>
    <row r="21" spans="2:4" x14ac:dyDescent="0.3">
      <c r="B21" s="7" t="s">
        <v>120</v>
      </c>
    </row>
    <row r="22" spans="2:4" x14ac:dyDescent="0.3">
      <c r="B22" t="s">
        <v>121</v>
      </c>
      <c r="D22" t="str">
        <f>INDEX('Polluntant level Analysis'!$B$8:$C$12,MATCH(MAX('Polluntant level Analysis'!$C$8:$C$12),'Polluntant level Analysis'!C8:C12,0),1)</f>
        <v>PM10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85175-4AD4-4777-9E3C-CA59E8B56767}">
  <dimension ref="A2:J27"/>
  <sheetViews>
    <sheetView workbookViewId="0">
      <selection activeCell="H34" sqref="H34"/>
    </sheetView>
  </sheetViews>
  <sheetFormatPr defaultRowHeight="14.4" x14ac:dyDescent="0.3"/>
  <cols>
    <col min="1" max="1" width="13.88671875" bestFit="1" customWidth="1"/>
    <col min="2" max="2" width="14.109375" bestFit="1" customWidth="1"/>
    <col min="3" max="3" width="11.5546875" bestFit="1" customWidth="1"/>
    <col min="4" max="4" width="9.33203125" bestFit="1" customWidth="1"/>
    <col min="5" max="5" width="5" bestFit="1" customWidth="1"/>
    <col min="6" max="6" width="9.33203125" bestFit="1" customWidth="1"/>
    <col min="7" max="7" width="10.77734375" bestFit="1" customWidth="1"/>
    <col min="8" max="8" width="25.33203125" customWidth="1"/>
    <col min="9" max="9" width="13.33203125" bestFit="1" customWidth="1"/>
    <col min="10" max="10" width="14.88671875" bestFit="1" customWidth="1"/>
    <col min="11" max="11" width="20.6640625" bestFit="1" customWidth="1"/>
    <col min="12" max="12" width="11.109375" bestFit="1" customWidth="1"/>
    <col min="13" max="13" width="10.77734375" bestFit="1" customWidth="1"/>
    <col min="14" max="15" width="12.5546875" bestFit="1" customWidth="1"/>
  </cols>
  <sheetData>
    <row r="2" spans="2:10" ht="18" x14ac:dyDescent="0.35">
      <c r="B2" s="12" t="s">
        <v>85</v>
      </c>
      <c r="C2" s="10"/>
      <c r="D2" s="10"/>
      <c r="E2" s="10"/>
    </row>
    <row r="3" spans="2:10" ht="15.6" x14ac:dyDescent="0.3">
      <c r="B3" s="12" t="s">
        <v>86</v>
      </c>
    </row>
    <row r="4" spans="2:10" ht="15.6" x14ac:dyDescent="0.3">
      <c r="B4" s="12" t="s">
        <v>87</v>
      </c>
    </row>
    <row r="6" spans="2:10" x14ac:dyDescent="0.3">
      <c r="B6" t="s">
        <v>58</v>
      </c>
    </row>
    <row r="7" spans="2:10" x14ac:dyDescent="0.3">
      <c r="B7" s="5" t="s">
        <v>30</v>
      </c>
      <c r="C7" t="s">
        <v>44</v>
      </c>
      <c r="J7" s="4"/>
    </row>
    <row r="8" spans="2:10" x14ac:dyDescent="0.3">
      <c r="B8" s="6" t="s">
        <v>21</v>
      </c>
      <c r="C8" s="4">
        <v>222.45205479452054</v>
      </c>
      <c r="I8" s="6"/>
      <c r="J8" s="4"/>
    </row>
    <row r="9" spans="2:10" x14ac:dyDescent="0.3">
      <c r="B9" s="6" t="s">
        <v>20</v>
      </c>
      <c r="C9" s="4">
        <v>200.40547945205481</v>
      </c>
      <c r="I9" s="6"/>
      <c r="J9" s="4"/>
    </row>
    <row r="10" spans="2:10" x14ac:dyDescent="0.3">
      <c r="B10" s="6" t="s">
        <v>24</v>
      </c>
      <c r="C10" s="4">
        <v>198.89041095890411</v>
      </c>
      <c r="I10" s="6"/>
      <c r="J10" s="4"/>
    </row>
    <row r="11" spans="2:10" x14ac:dyDescent="0.3">
      <c r="B11" s="6" t="s">
        <v>23</v>
      </c>
      <c r="C11" s="4">
        <v>178.54794520547946</v>
      </c>
      <c r="I11" s="6"/>
      <c r="J11" s="4"/>
    </row>
    <row r="12" spans="2:10" x14ac:dyDescent="0.3">
      <c r="B12" s="6" t="s">
        <v>22</v>
      </c>
      <c r="C12" s="4">
        <v>168.33424657534246</v>
      </c>
      <c r="I12" s="6"/>
      <c r="J12" s="4"/>
    </row>
    <row r="15" spans="2:10" x14ac:dyDescent="0.3">
      <c r="B15" s="6" t="s">
        <v>59</v>
      </c>
    </row>
    <row r="16" spans="2:10" x14ac:dyDescent="0.3">
      <c r="C16" s="13" t="str">
        <f>INDEX($B$7:$C$12,MATCH(MIN($C$8:$C$12),$C$7:$C$12,0),1)</f>
        <v>East Residential</v>
      </c>
    </row>
    <row r="18" spans="1:6" x14ac:dyDescent="0.3">
      <c r="B18" t="s">
        <v>88</v>
      </c>
    </row>
    <row r="19" spans="1:6" x14ac:dyDescent="0.3">
      <c r="B19" s="5" t="s">
        <v>89</v>
      </c>
      <c r="C19" s="5" t="s">
        <v>18</v>
      </c>
    </row>
    <row r="20" spans="1:6" x14ac:dyDescent="0.3">
      <c r="B20" s="5" t="s">
        <v>30</v>
      </c>
      <c r="C20" t="s">
        <v>52</v>
      </c>
      <c r="D20" t="s">
        <v>53</v>
      </c>
      <c r="E20" t="s">
        <v>54</v>
      </c>
      <c r="F20" t="s">
        <v>55</v>
      </c>
    </row>
    <row r="21" spans="1:6" x14ac:dyDescent="0.3">
      <c r="A21" t="s">
        <v>45</v>
      </c>
      <c r="B21" s="6" t="s">
        <v>20</v>
      </c>
      <c r="C21">
        <v>39</v>
      </c>
      <c r="D21">
        <v>11</v>
      </c>
      <c r="E21">
        <v>204</v>
      </c>
      <c r="F21">
        <v>111</v>
      </c>
    </row>
    <row r="22" spans="1:6" x14ac:dyDescent="0.3">
      <c r="B22" s="6" t="s">
        <v>22</v>
      </c>
      <c r="C22">
        <v>18</v>
      </c>
      <c r="D22">
        <v>37</v>
      </c>
      <c r="E22">
        <v>231</v>
      </c>
      <c r="F22">
        <v>79</v>
      </c>
    </row>
    <row r="23" spans="1:6" x14ac:dyDescent="0.3">
      <c r="B23" s="6" t="s">
        <v>21</v>
      </c>
      <c r="C23">
        <v>60</v>
      </c>
      <c r="D23">
        <v>7</v>
      </c>
      <c r="E23">
        <v>168</v>
      </c>
      <c r="F23">
        <v>130</v>
      </c>
    </row>
    <row r="24" spans="1:6" x14ac:dyDescent="0.3">
      <c r="B24" s="6" t="s">
        <v>23</v>
      </c>
      <c r="C24">
        <v>18</v>
      </c>
      <c r="D24">
        <v>25</v>
      </c>
      <c r="E24">
        <v>229</v>
      </c>
      <c r="F24">
        <v>93</v>
      </c>
    </row>
    <row r="25" spans="1:6" x14ac:dyDescent="0.3">
      <c r="B25" s="6" t="s">
        <v>24</v>
      </c>
      <c r="C25">
        <v>39</v>
      </c>
      <c r="D25">
        <v>18</v>
      </c>
      <c r="E25">
        <v>192</v>
      </c>
      <c r="F25">
        <v>116</v>
      </c>
    </row>
    <row r="27" spans="1:6" x14ac:dyDescent="0.3">
      <c r="B27" s="13" t="str">
        <f>INDEX($B$21:$F$25,MATCH(MAX($C$21:$C$25),$C$21:$C$25,0),1)</f>
        <v>North Industrial</v>
      </c>
    </row>
  </sheetData>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75A5-2CC2-47A7-8189-F3319050389C}">
  <dimension ref="B2:D22"/>
  <sheetViews>
    <sheetView topLeftCell="A2" workbookViewId="0">
      <selection activeCell="B7" sqref="B7"/>
    </sheetView>
  </sheetViews>
  <sheetFormatPr defaultRowHeight="14.4" x14ac:dyDescent="0.3"/>
  <cols>
    <col min="2" max="2" width="9.77734375" bestFit="1" customWidth="1"/>
    <col min="3" max="3" width="11.88671875" bestFit="1" customWidth="1"/>
  </cols>
  <sheetData>
    <row r="2" spans="2:3" ht="15.6" x14ac:dyDescent="0.3">
      <c r="B2" s="12" t="s">
        <v>90</v>
      </c>
    </row>
    <row r="3" spans="2:3" ht="15.6" x14ac:dyDescent="0.3">
      <c r="B3" s="12" t="s">
        <v>93</v>
      </c>
    </row>
    <row r="5" spans="2:3" x14ac:dyDescent="0.3">
      <c r="B5" t="s">
        <v>91</v>
      </c>
    </row>
    <row r="6" spans="2:3" x14ac:dyDescent="0.3">
      <c r="B6" s="5" t="s">
        <v>43</v>
      </c>
      <c r="C6" t="s">
        <v>44</v>
      </c>
    </row>
    <row r="7" spans="2:3" x14ac:dyDescent="0.3">
      <c r="B7" s="6" t="s">
        <v>31</v>
      </c>
      <c r="C7" s="25">
        <v>250.71612903225807</v>
      </c>
    </row>
    <row r="8" spans="2:3" x14ac:dyDescent="0.3">
      <c r="B8" s="6" t="s">
        <v>32</v>
      </c>
      <c r="C8" s="25">
        <v>261.5793103448276</v>
      </c>
    </row>
    <row r="9" spans="2:3" x14ac:dyDescent="0.3">
      <c r="B9" s="6" t="s">
        <v>33</v>
      </c>
      <c r="C9" s="25">
        <v>167.41935483870967</v>
      </c>
    </row>
    <row r="10" spans="2:3" x14ac:dyDescent="0.3">
      <c r="B10" s="6" t="s">
        <v>34</v>
      </c>
      <c r="C10" s="25">
        <v>169.5</v>
      </c>
    </row>
    <row r="11" spans="2:3" x14ac:dyDescent="0.3">
      <c r="B11" s="6" t="s">
        <v>35</v>
      </c>
      <c r="C11" s="25">
        <v>167.94193548387096</v>
      </c>
    </row>
    <row r="12" spans="2:3" x14ac:dyDescent="0.3">
      <c r="B12" s="6" t="s">
        <v>36</v>
      </c>
      <c r="C12" s="25">
        <v>148.68</v>
      </c>
    </row>
    <row r="13" spans="2:3" x14ac:dyDescent="0.3">
      <c r="B13" s="6" t="s">
        <v>37</v>
      </c>
      <c r="C13" s="25">
        <v>152.75483870967741</v>
      </c>
    </row>
    <row r="14" spans="2:3" x14ac:dyDescent="0.3">
      <c r="B14" s="6" t="s">
        <v>38</v>
      </c>
      <c r="C14" s="25">
        <v>149.27741935483871</v>
      </c>
    </row>
    <row r="15" spans="2:3" x14ac:dyDescent="0.3">
      <c r="B15" s="6" t="s">
        <v>39</v>
      </c>
      <c r="C15" s="25">
        <v>175.06666666666666</v>
      </c>
    </row>
    <row r="16" spans="2:3" x14ac:dyDescent="0.3">
      <c r="B16" s="6" t="s">
        <v>40</v>
      </c>
      <c r="C16" s="25">
        <v>172.41290322580645</v>
      </c>
    </row>
    <row r="17" spans="2:4" x14ac:dyDescent="0.3">
      <c r="B17" s="6" t="s">
        <v>41</v>
      </c>
      <c r="C17" s="25">
        <v>258.20666666666665</v>
      </c>
    </row>
    <row r="18" spans="2:4" x14ac:dyDescent="0.3">
      <c r="B18" s="6" t="s">
        <v>42</v>
      </c>
      <c r="C18" s="25">
        <v>256.81333333333333</v>
      </c>
    </row>
    <row r="20" spans="2:4" x14ac:dyDescent="0.3">
      <c r="B20" s="6" t="s">
        <v>92</v>
      </c>
    </row>
    <row r="21" spans="2:4" ht="15.6" x14ac:dyDescent="0.3">
      <c r="B21" s="15" t="s">
        <v>94</v>
      </c>
      <c r="C21" s="16"/>
      <c r="D21" s="14" t="str">
        <f>INDEX(B7:C18,MATCH(MAX(C7:C18),C7:C18,0),1)</f>
        <v>Feb</v>
      </c>
    </row>
    <row r="22" spans="2:4" ht="15.6" x14ac:dyDescent="0.3">
      <c r="B22" s="15" t="s">
        <v>95</v>
      </c>
      <c r="C22" s="16"/>
      <c r="D22" s="14" t="str">
        <f>INDEX(B7:C18,MATCH(MIN(C7:C18),C7:C18,0),1)</f>
        <v>Jun</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F09BE-B84B-442B-B228-588DC394EC07}">
  <dimension ref="B2:H24"/>
  <sheetViews>
    <sheetView workbookViewId="0">
      <selection activeCell="L20" sqref="L20"/>
    </sheetView>
  </sheetViews>
  <sheetFormatPr defaultRowHeight="14.4" x14ac:dyDescent="0.3"/>
  <cols>
    <col min="2" max="2" width="10.88671875" bestFit="1" customWidth="1"/>
    <col min="3" max="3" width="13.6640625" bestFit="1" customWidth="1"/>
    <col min="4" max="4" width="13.33203125" bestFit="1" customWidth="1"/>
    <col min="5" max="5" width="12" bestFit="1" customWidth="1"/>
    <col min="6" max="6" width="11.6640625" bestFit="1" customWidth="1"/>
    <col min="7" max="7" width="11.109375" bestFit="1" customWidth="1"/>
    <col min="8" max="8" width="10.77734375" bestFit="1" customWidth="1"/>
  </cols>
  <sheetData>
    <row r="2" spans="2:8" x14ac:dyDescent="0.3">
      <c r="B2" s="9" t="s">
        <v>96</v>
      </c>
    </row>
    <row r="3" spans="2:8" x14ac:dyDescent="0.3">
      <c r="B3" s="9" t="s">
        <v>100</v>
      </c>
      <c r="C3" s="9"/>
      <c r="D3" s="9"/>
      <c r="E3" s="9"/>
      <c r="F3" s="9"/>
      <c r="G3" s="9"/>
    </row>
    <row r="4" spans="2:8" x14ac:dyDescent="0.3">
      <c r="B4" s="9" t="s">
        <v>97</v>
      </c>
      <c r="C4" s="9"/>
      <c r="D4" s="9"/>
      <c r="E4" s="9"/>
      <c r="F4" s="9"/>
      <c r="G4" s="9"/>
    </row>
    <row r="6" spans="2:8" x14ac:dyDescent="0.3">
      <c r="B6" t="s">
        <v>58</v>
      </c>
    </row>
    <row r="7" spans="2:8" x14ac:dyDescent="0.3">
      <c r="B7" s="5" t="s">
        <v>56</v>
      </c>
      <c r="C7" t="s">
        <v>98</v>
      </c>
    </row>
    <row r="8" spans="2:8" x14ac:dyDescent="0.3">
      <c r="B8" s="17" t="s">
        <v>28</v>
      </c>
      <c r="C8">
        <v>802</v>
      </c>
    </row>
    <row r="9" spans="2:8" x14ac:dyDescent="0.3">
      <c r="B9" s="6" t="s">
        <v>25</v>
      </c>
      <c r="C9">
        <v>466</v>
      </c>
    </row>
    <row r="10" spans="2:8" x14ac:dyDescent="0.3">
      <c r="B10" s="6" t="s">
        <v>27</v>
      </c>
      <c r="C10">
        <v>457</v>
      </c>
    </row>
    <row r="11" spans="2:8" x14ac:dyDescent="0.3">
      <c r="B11" s="6" t="s">
        <v>29</v>
      </c>
      <c r="C11">
        <v>63</v>
      </c>
    </row>
    <row r="12" spans="2:8" x14ac:dyDescent="0.3">
      <c r="B12" s="6" t="s">
        <v>26</v>
      </c>
      <c r="C12">
        <v>37</v>
      </c>
    </row>
    <row r="14" spans="2:8" x14ac:dyDescent="0.3">
      <c r="B14" s="6" t="s">
        <v>99</v>
      </c>
    </row>
    <row r="15" spans="2:8" x14ac:dyDescent="0.3">
      <c r="B15" s="5" t="s">
        <v>30</v>
      </c>
      <c r="C15" t="s">
        <v>46</v>
      </c>
      <c r="D15" t="s">
        <v>47</v>
      </c>
      <c r="E15" t="s">
        <v>48</v>
      </c>
      <c r="F15" t="s">
        <v>49</v>
      </c>
      <c r="G15" t="s">
        <v>50</v>
      </c>
      <c r="H15" t="s">
        <v>51</v>
      </c>
    </row>
    <row r="16" spans="2:8" x14ac:dyDescent="0.3">
      <c r="B16" s="6" t="s">
        <v>20</v>
      </c>
      <c r="C16" s="4">
        <v>79.036986301369879</v>
      </c>
      <c r="D16" s="4">
        <v>154.18328767123288</v>
      </c>
      <c r="E16" s="4">
        <v>58.372328767123278</v>
      </c>
      <c r="F16" s="4">
        <v>10.996876712328758</v>
      </c>
      <c r="G16" s="4">
        <v>43.797534246575331</v>
      </c>
      <c r="H16" s="4">
        <v>1.5963561643835615</v>
      </c>
    </row>
    <row r="17" spans="2:8" x14ac:dyDescent="0.3">
      <c r="B17" s="6" t="s">
        <v>22</v>
      </c>
      <c r="C17" s="4">
        <v>68.272054794520571</v>
      </c>
      <c r="D17" s="4">
        <v>131.73123287671234</v>
      </c>
      <c r="E17" s="4">
        <v>49.254520547945226</v>
      </c>
      <c r="F17" s="4">
        <v>8.8872054794520583</v>
      </c>
      <c r="G17" s="4">
        <v>35.243287671232856</v>
      </c>
      <c r="H17" s="4">
        <v>1.300383561643836</v>
      </c>
    </row>
    <row r="18" spans="2:8" x14ac:dyDescent="0.3">
      <c r="B18" s="6" t="s">
        <v>21</v>
      </c>
      <c r="C18" s="4">
        <v>87.91945205479449</v>
      </c>
      <c r="D18" s="4">
        <v>178.91890410958905</v>
      </c>
      <c r="E18" s="4">
        <v>67.237534246575294</v>
      </c>
      <c r="F18" s="4">
        <v>11.282958904109588</v>
      </c>
      <c r="G18" s="4">
        <v>48.526301369863013</v>
      </c>
      <c r="H18" s="4">
        <v>1.7632602739726013</v>
      </c>
    </row>
    <row r="19" spans="2:8" x14ac:dyDescent="0.3">
      <c r="B19" s="6" t="s">
        <v>23</v>
      </c>
      <c r="C19" s="4">
        <v>66.644931506849346</v>
      </c>
      <c r="D19" s="4">
        <v>138.33534246575346</v>
      </c>
      <c r="E19" s="4">
        <v>53.801095890411005</v>
      </c>
      <c r="F19" s="4">
        <v>9.5008767123287665</v>
      </c>
      <c r="G19" s="4">
        <v>39.850410958904128</v>
      </c>
      <c r="H19" s="4">
        <v>1.4147123287671239</v>
      </c>
    </row>
    <row r="20" spans="2:8" x14ac:dyDescent="0.3">
      <c r="B20" s="6" t="s">
        <v>24</v>
      </c>
      <c r="C20" s="4">
        <v>77.937534246575368</v>
      </c>
      <c r="D20" s="4">
        <v>155.46465753424658</v>
      </c>
      <c r="E20" s="4">
        <v>52.560273972602758</v>
      </c>
      <c r="F20" s="4">
        <v>10.705863013698631</v>
      </c>
      <c r="G20" s="4">
        <v>44.003561643835589</v>
      </c>
      <c r="H20" s="4">
        <v>1.5403835616438357</v>
      </c>
    </row>
    <row r="22" spans="2:8" x14ac:dyDescent="0.3">
      <c r="B22" s="6" t="s">
        <v>101</v>
      </c>
    </row>
    <row r="23" spans="2:8" x14ac:dyDescent="0.3">
      <c r="B23" s="19" t="s">
        <v>102</v>
      </c>
      <c r="C23" s="20"/>
      <c r="D23" s="18" t="str">
        <f>INDEX($B$16:$H$20,MATCH(MAX($C$16:$C$20),$C$16:$C$20,0),1)</f>
        <v>North Industrial</v>
      </c>
      <c r="E23" s="21"/>
    </row>
    <row r="24" spans="2:8" x14ac:dyDescent="0.3">
      <c r="B24" s="19" t="s">
        <v>103</v>
      </c>
      <c r="C24" s="20"/>
      <c r="D24" s="18" t="str">
        <f>INDEX($B$16:$H$20,MATCH(MAX($D$16:$D$20),$D$16:$D$20,0),1)</f>
        <v>North Industrial</v>
      </c>
      <c r="E24" s="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4CF2E-3E62-4188-8253-53653017CA6C}">
  <dimension ref="B2:D26"/>
  <sheetViews>
    <sheetView topLeftCell="A7" workbookViewId="0">
      <selection activeCell="B16" sqref="B16"/>
    </sheetView>
  </sheetViews>
  <sheetFormatPr defaultRowHeight="14.4" x14ac:dyDescent="0.3"/>
  <cols>
    <col min="2" max="2" width="14.6640625" bestFit="1" customWidth="1"/>
    <col min="3" max="3" width="10.21875" bestFit="1" customWidth="1"/>
    <col min="4" max="4" width="8.88671875" bestFit="1" customWidth="1"/>
    <col min="5" max="5" width="5" bestFit="1" customWidth="1"/>
    <col min="6" max="6" width="9.33203125" bestFit="1" customWidth="1"/>
    <col min="7" max="7" width="10.77734375" bestFit="1" customWidth="1"/>
    <col min="8" max="8" width="8.88671875" customWidth="1"/>
  </cols>
  <sheetData>
    <row r="2" spans="2:4" x14ac:dyDescent="0.3">
      <c r="B2" s="22" t="s">
        <v>104</v>
      </c>
    </row>
    <row r="3" spans="2:4" x14ac:dyDescent="0.3">
      <c r="B3" s="22" t="s">
        <v>105</v>
      </c>
    </row>
    <row r="5" spans="2:4" x14ac:dyDescent="0.3">
      <c r="B5" t="s">
        <v>106</v>
      </c>
    </row>
    <row r="6" spans="2:4" x14ac:dyDescent="0.3">
      <c r="B6" s="5" t="s">
        <v>18</v>
      </c>
      <c r="C6" t="s">
        <v>107</v>
      </c>
      <c r="D6" t="s">
        <v>108</v>
      </c>
    </row>
    <row r="7" spans="2:4" x14ac:dyDescent="0.3">
      <c r="B7" s="6" t="s">
        <v>52</v>
      </c>
      <c r="C7">
        <v>174</v>
      </c>
      <c r="D7" s="23">
        <v>9.5342465753424657E-2</v>
      </c>
    </row>
    <row r="8" spans="2:4" x14ac:dyDescent="0.3">
      <c r="B8" s="6" t="s">
        <v>53</v>
      </c>
      <c r="C8">
        <v>98</v>
      </c>
      <c r="D8" s="23">
        <v>5.3698630136986301E-2</v>
      </c>
    </row>
    <row r="9" spans="2:4" x14ac:dyDescent="0.3">
      <c r="B9" s="6" t="s">
        <v>54</v>
      </c>
      <c r="C9">
        <v>1024</v>
      </c>
      <c r="D9" s="23">
        <v>0.56109589041095886</v>
      </c>
    </row>
    <row r="10" spans="2:4" x14ac:dyDescent="0.3">
      <c r="B10" s="6" t="s">
        <v>55</v>
      </c>
      <c r="C10">
        <v>529</v>
      </c>
      <c r="D10" s="23">
        <v>0.28986301369863016</v>
      </c>
    </row>
    <row r="12" spans="2:4" x14ac:dyDescent="0.3">
      <c r="B12" s="6" t="s">
        <v>99</v>
      </c>
    </row>
    <row r="13" spans="2:4" x14ac:dyDescent="0.3">
      <c r="B13" s="5" t="s">
        <v>18</v>
      </c>
      <c r="C13" t="s">
        <v>52</v>
      </c>
    </row>
    <row r="15" spans="2:4" x14ac:dyDescent="0.3">
      <c r="B15" s="5" t="s">
        <v>43</v>
      </c>
      <c r="C15" t="s">
        <v>124</v>
      </c>
    </row>
    <row r="16" spans="2:4" x14ac:dyDescent="0.3">
      <c r="B16" s="6" t="s">
        <v>42</v>
      </c>
      <c r="C16">
        <v>41</v>
      </c>
    </row>
    <row r="17" spans="2:3" x14ac:dyDescent="0.3">
      <c r="B17" s="6" t="s">
        <v>41</v>
      </c>
      <c r="C17">
        <v>45</v>
      </c>
    </row>
    <row r="18" spans="2:3" x14ac:dyDescent="0.3">
      <c r="B18" s="6" t="s">
        <v>40</v>
      </c>
      <c r="C18">
        <v>2</v>
      </c>
    </row>
    <row r="19" spans="2:3" x14ac:dyDescent="0.3">
      <c r="B19" s="6" t="s">
        <v>39</v>
      </c>
      <c r="C19">
        <v>2</v>
      </c>
    </row>
    <row r="20" spans="2:3" x14ac:dyDescent="0.3">
      <c r="B20" s="6" t="s">
        <v>37</v>
      </c>
      <c r="C20">
        <v>1</v>
      </c>
    </row>
    <row r="21" spans="2:3" x14ac:dyDescent="0.3">
      <c r="B21" s="6" t="s">
        <v>36</v>
      </c>
      <c r="C21">
        <v>1</v>
      </c>
    </row>
    <row r="22" spans="2:3" x14ac:dyDescent="0.3">
      <c r="B22" s="6" t="s">
        <v>34</v>
      </c>
      <c r="C22">
        <v>2</v>
      </c>
    </row>
    <row r="23" spans="2:3" x14ac:dyDescent="0.3">
      <c r="B23" s="6" t="s">
        <v>33</v>
      </c>
      <c r="C23">
        <v>1</v>
      </c>
    </row>
    <row r="24" spans="2:3" x14ac:dyDescent="0.3">
      <c r="B24" s="6" t="s">
        <v>32</v>
      </c>
      <c r="C24">
        <v>40</v>
      </c>
    </row>
    <row r="25" spans="2:3" x14ac:dyDescent="0.3">
      <c r="B25" s="6" t="s">
        <v>31</v>
      </c>
      <c r="C25">
        <v>39</v>
      </c>
    </row>
    <row r="26" spans="2:3" x14ac:dyDescent="0.3">
      <c r="B26" s="6" t="s">
        <v>123</v>
      </c>
      <c r="C26">
        <v>174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826"/>
  <sheetViews>
    <sheetView workbookViewId="0">
      <selection activeCell="V5" sqref="V5"/>
    </sheetView>
  </sheetViews>
  <sheetFormatPr defaultRowHeight="14.4" x14ac:dyDescent="0.3"/>
  <cols>
    <col min="1" max="1" width="10.33203125" bestFit="1" customWidth="1"/>
    <col min="2" max="2" width="13.88671875" bestFit="1" customWidth="1"/>
    <col min="3" max="3" width="17.6640625" bestFit="1" customWidth="1"/>
    <col min="4" max="4" width="17" bestFit="1" customWidth="1"/>
    <col min="5" max="5" width="15.77734375" bestFit="1" customWidth="1"/>
    <col min="6" max="6" width="15.44140625" bestFit="1" customWidth="1"/>
    <col min="7" max="7" width="14.44140625" bestFit="1" customWidth="1"/>
    <col min="8" max="8" width="15.109375" bestFit="1" customWidth="1"/>
    <col min="9" max="9" width="12.33203125" bestFit="1" customWidth="1"/>
    <col min="10" max="10" width="15.5546875" bestFit="1" customWidth="1"/>
    <col min="11" max="11" width="19.5546875" bestFit="1" customWidth="1"/>
    <col min="12" max="12" width="16.44140625" bestFit="1" customWidth="1"/>
    <col min="13" max="13" width="15.88671875" bestFit="1" customWidth="1"/>
    <col min="14" max="14" width="14.6640625" bestFit="1" customWidth="1"/>
    <col min="15" max="15" width="14.33203125" bestFit="1" customWidth="1"/>
    <col min="16" max="16" width="13.33203125" bestFit="1" customWidth="1"/>
    <col min="17" max="17" width="13.44140625" bestFit="1" customWidth="1"/>
    <col min="18" max="18" width="8.5546875" bestFit="1" customWidth="1"/>
    <col min="19" max="19" width="17.109375" bestFit="1" customWidth="1"/>
    <col min="20" max="20" width="22.6640625" bestFit="1" customWidth="1"/>
    <col min="24" max="24" width="10.33203125" bestFit="1" customWidth="1"/>
  </cols>
  <sheetData>
    <row r="1" spans="1:25" x14ac:dyDescent="0.3">
      <c r="A1" s="7"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X1" s="7"/>
      <c r="Y1" s="3"/>
    </row>
    <row r="2" spans="1:25" x14ac:dyDescent="0.3">
      <c r="A2" s="2">
        <v>45292</v>
      </c>
      <c r="B2" t="s">
        <v>20</v>
      </c>
      <c r="C2" s="4">
        <v>137.80000000000001</v>
      </c>
      <c r="D2" s="4">
        <v>205.5</v>
      </c>
      <c r="E2" s="4">
        <v>106.6</v>
      </c>
      <c r="F2" s="4">
        <v>28.73</v>
      </c>
      <c r="G2" s="4">
        <v>35.299999999999997</v>
      </c>
      <c r="H2" s="4">
        <v>1.95</v>
      </c>
      <c r="I2" s="4">
        <v>31.1</v>
      </c>
      <c r="J2" s="4">
        <v>73.8</v>
      </c>
      <c r="K2" s="4">
        <v>1.94</v>
      </c>
      <c r="L2" s="4">
        <v>229.66666666666671</v>
      </c>
      <c r="M2" s="4">
        <v>205.5</v>
      </c>
      <c r="N2" s="4">
        <v>133.25</v>
      </c>
      <c r="O2" s="4">
        <v>71.825000000000003</v>
      </c>
      <c r="P2" s="4">
        <v>88.25</v>
      </c>
      <c r="Q2" s="4">
        <v>97.5</v>
      </c>
      <c r="R2" s="4">
        <v>230</v>
      </c>
      <c r="S2" s="4" t="str" cm="1">
        <f t="array" ref="S2">_xlfn.IFS($R2&lt;=50,"Good",$R2&lt;=100,"Moderate",$R2&lt;=200,"Poor",$R2&lt;=300,"Very Poor",$R2&lt;=500,"Hazardous")</f>
        <v>Very Poor</v>
      </c>
      <c r="T2" t="s">
        <v>25</v>
      </c>
      <c r="X2" s="2"/>
    </row>
    <row r="3" spans="1:25" x14ac:dyDescent="0.3">
      <c r="A3" s="2">
        <v>45292</v>
      </c>
      <c r="B3" t="s">
        <v>21</v>
      </c>
      <c r="C3" s="4">
        <v>152.6</v>
      </c>
      <c r="D3" s="4">
        <v>184.4</v>
      </c>
      <c r="E3" s="4">
        <v>71.400000000000006</v>
      </c>
      <c r="F3" s="4">
        <v>18.420000000000002</v>
      </c>
      <c r="G3" s="4">
        <v>1</v>
      </c>
      <c r="H3" s="4">
        <v>0.33</v>
      </c>
      <c r="I3" s="4">
        <v>16.100000000000001</v>
      </c>
      <c r="J3" s="4">
        <v>41.8</v>
      </c>
      <c r="K3" s="4">
        <v>2.88</v>
      </c>
      <c r="L3" s="4">
        <v>254.33333333333329</v>
      </c>
      <c r="M3" s="4">
        <v>184.4</v>
      </c>
      <c r="N3" s="4">
        <v>89.250000000000014</v>
      </c>
      <c r="O3" s="4">
        <v>46.05</v>
      </c>
      <c r="P3" s="4">
        <v>2.5</v>
      </c>
      <c r="Q3" s="4">
        <v>16.5</v>
      </c>
      <c r="R3" s="4">
        <v>254</v>
      </c>
      <c r="S3" s="4" t="str" cm="1">
        <f t="array" ref="S3">_xlfn.IFS($R3&lt;=50,"Good",$R3&lt;=100,"Moderate",$R3&lt;=200,"Poor",$R3&lt;=300,"Very Poor",$R3&lt;=500,"Hazardous")</f>
        <v>Very Poor</v>
      </c>
      <c r="T3" t="s">
        <v>25</v>
      </c>
      <c r="X3" s="2"/>
      <c r="Y3" s="2"/>
    </row>
    <row r="4" spans="1:25" x14ac:dyDescent="0.3">
      <c r="A4" s="2">
        <v>45292</v>
      </c>
      <c r="B4" t="s">
        <v>22</v>
      </c>
      <c r="C4" s="4">
        <v>49.8</v>
      </c>
      <c r="D4" s="4">
        <v>53.6</v>
      </c>
      <c r="E4" s="4">
        <v>113</v>
      </c>
      <c r="F4" s="4">
        <v>10.44</v>
      </c>
      <c r="G4" s="4">
        <v>35.6</v>
      </c>
      <c r="H4" s="4">
        <v>0.52</v>
      </c>
      <c r="I4" s="4">
        <v>16.2</v>
      </c>
      <c r="J4" s="4">
        <v>62</v>
      </c>
      <c r="K4" s="4">
        <v>1.1200000000000001</v>
      </c>
      <c r="L4" s="4">
        <v>82.999999999999986</v>
      </c>
      <c r="M4" s="4">
        <v>53.6</v>
      </c>
      <c r="N4" s="4">
        <v>141.25</v>
      </c>
      <c r="O4" s="4">
        <v>26.1</v>
      </c>
      <c r="P4" s="4">
        <v>89.000000000000014</v>
      </c>
      <c r="Q4" s="4">
        <v>26</v>
      </c>
      <c r="R4" s="4">
        <v>141</v>
      </c>
      <c r="S4" s="4" t="str" cm="1">
        <f t="array" ref="S4">_xlfn.IFS($R4&lt;=50,"Good",$R4&lt;=100,"Moderate",$R4&lt;=200,"Poor",$R4&lt;=300,"Very Poor",$R4&lt;=500,"Hazardous")</f>
        <v>Poor</v>
      </c>
      <c r="T4" t="s">
        <v>26</v>
      </c>
      <c r="X4" s="2"/>
      <c r="Y4" s="2"/>
    </row>
    <row r="5" spans="1:25" x14ac:dyDescent="0.3">
      <c r="A5" s="2">
        <v>45292</v>
      </c>
      <c r="B5" t="s">
        <v>23</v>
      </c>
      <c r="C5" s="4">
        <v>114</v>
      </c>
      <c r="D5" s="4">
        <v>134.30000000000001</v>
      </c>
      <c r="E5" s="4">
        <v>62.7</v>
      </c>
      <c r="F5" s="4">
        <v>7.99</v>
      </c>
      <c r="G5" s="4">
        <v>77.7</v>
      </c>
      <c r="H5" s="4">
        <v>1.91</v>
      </c>
      <c r="I5" s="4">
        <v>12.6</v>
      </c>
      <c r="J5" s="4">
        <v>74.8</v>
      </c>
      <c r="K5" s="4">
        <v>1.03</v>
      </c>
      <c r="L5" s="4">
        <v>190</v>
      </c>
      <c r="M5" s="4">
        <v>134.30000000000001</v>
      </c>
      <c r="N5" s="4">
        <v>78.375</v>
      </c>
      <c r="O5" s="4">
        <v>19.975000000000001</v>
      </c>
      <c r="P5" s="4">
        <v>194.25</v>
      </c>
      <c r="Q5" s="4">
        <v>95.5</v>
      </c>
      <c r="R5" s="4">
        <v>194</v>
      </c>
      <c r="S5" s="4" t="str" cm="1">
        <f t="array" ref="S5">_xlfn.IFS($R5&lt;=50,"Good",$R5&lt;=100,"Moderate",$R5&lt;=200,"Poor",$R5&lt;=300,"Very Poor",$R5&lt;=500,"Hazardous")</f>
        <v>Poor</v>
      </c>
      <c r="T5" t="s">
        <v>27</v>
      </c>
      <c r="X5" s="2"/>
      <c r="Y5" s="2"/>
    </row>
    <row r="6" spans="1:25" x14ac:dyDescent="0.3">
      <c r="A6" s="2">
        <v>45292</v>
      </c>
      <c r="B6" t="s">
        <v>24</v>
      </c>
      <c r="C6" s="4">
        <v>116.6</v>
      </c>
      <c r="D6" s="4">
        <v>5</v>
      </c>
      <c r="E6" s="4">
        <v>32.4</v>
      </c>
      <c r="F6" s="4">
        <v>15.81</v>
      </c>
      <c r="G6" s="4">
        <v>57.9</v>
      </c>
      <c r="H6" s="4">
        <v>2.29</v>
      </c>
      <c r="I6" s="4">
        <v>19.2</v>
      </c>
      <c r="J6" s="4">
        <v>54.6</v>
      </c>
      <c r="K6" s="4">
        <v>1.23</v>
      </c>
      <c r="L6" s="4">
        <v>194.33333333333329</v>
      </c>
      <c r="M6" s="4">
        <v>5</v>
      </c>
      <c r="N6" s="4">
        <v>40.5</v>
      </c>
      <c r="O6" s="4">
        <v>39.525000000000013</v>
      </c>
      <c r="P6" s="4">
        <v>144.75</v>
      </c>
      <c r="Q6" s="4">
        <v>114.5</v>
      </c>
      <c r="R6" s="4">
        <v>194</v>
      </c>
      <c r="S6" s="4" t="str" cm="1">
        <f t="array" ref="S6">_xlfn.IFS($R6&lt;=50,"Good",$R6&lt;=100,"Moderate",$R6&lt;=200,"Poor",$R6&lt;=300,"Very Poor",$R6&lt;=500,"Hazardous")</f>
        <v>Poor</v>
      </c>
      <c r="T6" t="s">
        <v>25</v>
      </c>
      <c r="X6" s="2"/>
      <c r="Y6" s="2"/>
    </row>
    <row r="7" spans="1:25" x14ac:dyDescent="0.3">
      <c r="A7" s="2">
        <v>45293</v>
      </c>
      <c r="B7" t="s">
        <v>20</v>
      </c>
      <c r="C7" s="4">
        <v>70.7</v>
      </c>
      <c r="D7" s="4">
        <v>169.9</v>
      </c>
      <c r="E7" s="4">
        <v>121.7</v>
      </c>
      <c r="F7" s="4">
        <v>17.88</v>
      </c>
      <c r="G7" s="4">
        <v>1</v>
      </c>
      <c r="H7" s="4">
        <v>2.57</v>
      </c>
      <c r="I7" s="4">
        <v>17.3</v>
      </c>
      <c r="J7" s="4">
        <v>47.8</v>
      </c>
      <c r="K7" s="4">
        <v>3.23</v>
      </c>
      <c r="L7" s="4">
        <v>117.8333333333333</v>
      </c>
      <c r="M7" s="4">
        <v>169.9</v>
      </c>
      <c r="N7" s="4">
        <v>152.125</v>
      </c>
      <c r="O7" s="4">
        <v>44.7</v>
      </c>
      <c r="P7" s="4">
        <v>2.5</v>
      </c>
      <c r="Q7" s="4">
        <v>128.5</v>
      </c>
      <c r="R7" s="4">
        <v>170</v>
      </c>
      <c r="S7" s="4" t="str" cm="1">
        <f t="array" ref="S7">_xlfn.IFS($R7&lt;=50,"Good",$R7&lt;=100,"Moderate",$R7&lt;=200,"Poor",$R7&lt;=300,"Very Poor",$R7&lt;=500,"Hazardous")</f>
        <v>Poor</v>
      </c>
      <c r="T7" t="s">
        <v>28</v>
      </c>
      <c r="X7" s="2"/>
      <c r="Y7" s="2"/>
    </row>
    <row r="8" spans="1:25" x14ac:dyDescent="0.3">
      <c r="A8" s="2">
        <v>45293</v>
      </c>
      <c r="B8" t="s">
        <v>21</v>
      </c>
      <c r="C8" s="4">
        <v>181.9</v>
      </c>
      <c r="D8" s="4">
        <v>351.8</v>
      </c>
      <c r="E8" s="4">
        <v>56.4</v>
      </c>
      <c r="F8" s="4">
        <v>12.91</v>
      </c>
      <c r="G8" s="4">
        <v>54.3</v>
      </c>
      <c r="H8" s="4">
        <v>3.57</v>
      </c>
      <c r="I8" s="4">
        <v>16.600000000000001</v>
      </c>
      <c r="J8" s="4">
        <v>56.7</v>
      </c>
      <c r="K8" s="4">
        <v>1.17</v>
      </c>
      <c r="L8" s="4">
        <v>303.16666666666669</v>
      </c>
      <c r="M8" s="4">
        <v>351.8</v>
      </c>
      <c r="N8" s="4">
        <v>70.5</v>
      </c>
      <c r="O8" s="4">
        <v>32.274999999999999</v>
      </c>
      <c r="P8" s="4">
        <v>135.75</v>
      </c>
      <c r="Q8" s="4">
        <v>178.5</v>
      </c>
      <c r="R8" s="4">
        <v>352</v>
      </c>
      <c r="S8" s="4" t="str" cm="1">
        <f t="array" ref="S8">_xlfn.IFS($R8&lt;=50,"Good",$R8&lt;=100,"Moderate",$R8&lt;=200,"Poor",$R8&lt;=300,"Very Poor",$R8&lt;=500,"Hazardous")</f>
        <v>Hazardous</v>
      </c>
      <c r="T8" t="s">
        <v>28</v>
      </c>
      <c r="X8" s="2"/>
      <c r="Y8" s="2"/>
    </row>
    <row r="9" spans="1:25" x14ac:dyDescent="0.3">
      <c r="A9" s="2">
        <v>45293</v>
      </c>
      <c r="B9" t="s">
        <v>22</v>
      </c>
      <c r="C9" s="4">
        <v>36.700000000000003</v>
      </c>
      <c r="D9" s="4">
        <v>256.5</v>
      </c>
      <c r="E9" s="4">
        <v>109.6</v>
      </c>
      <c r="F9" s="4">
        <v>11.61</v>
      </c>
      <c r="G9" s="4">
        <v>55.7</v>
      </c>
      <c r="H9" s="4">
        <v>2.15</v>
      </c>
      <c r="I9" s="4">
        <v>15.5</v>
      </c>
      <c r="J9" s="4">
        <v>66.5</v>
      </c>
      <c r="K9" s="4">
        <v>4.3499999999999996</v>
      </c>
      <c r="L9" s="4">
        <v>61.166666666666671</v>
      </c>
      <c r="M9" s="4">
        <v>256.5</v>
      </c>
      <c r="N9" s="4">
        <v>137</v>
      </c>
      <c r="O9" s="4">
        <v>29.024999999999999</v>
      </c>
      <c r="P9" s="4">
        <v>139.25</v>
      </c>
      <c r="Q9" s="4">
        <v>107.5</v>
      </c>
      <c r="R9" s="4">
        <v>256</v>
      </c>
      <c r="S9" s="4" t="str" cm="1">
        <f t="array" ref="S9">_xlfn.IFS($R9&lt;=50,"Good",$R9&lt;=100,"Moderate",$R9&lt;=200,"Poor",$R9&lt;=300,"Very Poor",$R9&lt;=500,"Hazardous")</f>
        <v>Very Poor</v>
      </c>
      <c r="T9" t="s">
        <v>28</v>
      </c>
      <c r="X9" s="2"/>
      <c r="Y9" s="2"/>
    </row>
    <row r="10" spans="1:25" x14ac:dyDescent="0.3">
      <c r="A10" s="2">
        <v>45293</v>
      </c>
      <c r="B10" t="s">
        <v>23</v>
      </c>
      <c r="C10" s="4">
        <v>94.3</v>
      </c>
      <c r="D10" s="4">
        <v>342.2</v>
      </c>
      <c r="E10" s="4">
        <v>2</v>
      </c>
      <c r="F10" s="4">
        <v>19.38</v>
      </c>
      <c r="G10" s="4">
        <v>38</v>
      </c>
      <c r="H10" s="4">
        <v>1.63</v>
      </c>
      <c r="I10" s="4">
        <v>20.6</v>
      </c>
      <c r="J10" s="4">
        <v>24.2</v>
      </c>
      <c r="K10" s="4">
        <v>2.2400000000000002</v>
      </c>
      <c r="L10" s="4">
        <v>157.16666666666671</v>
      </c>
      <c r="M10" s="4">
        <v>342.2</v>
      </c>
      <c r="N10" s="4">
        <v>2.5</v>
      </c>
      <c r="O10" s="4">
        <v>48.45</v>
      </c>
      <c r="P10" s="4">
        <v>95</v>
      </c>
      <c r="Q10" s="4">
        <v>81.499999999999986</v>
      </c>
      <c r="R10" s="4">
        <v>342</v>
      </c>
      <c r="S10" s="4" t="str" cm="1">
        <f t="array" ref="S10">_xlfn.IFS($R10&lt;=50,"Good",$R10&lt;=100,"Moderate",$R10&lt;=200,"Poor",$R10&lt;=300,"Very Poor",$R10&lt;=500,"Hazardous")</f>
        <v>Hazardous</v>
      </c>
      <c r="T10" t="s">
        <v>28</v>
      </c>
      <c r="X10" s="2"/>
      <c r="Y10" s="2"/>
    </row>
    <row r="11" spans="1:25" x14ac:dyDescent="0.3">
      <c r="A11" s="2">
        <v>45293</v>
      </c>
      <c r="B11" t="s">
        <v>24</v>
      </c>
      <c r="C11" s="4">
        <v>124.5</v>
      </c>
      <c r="D11" s="4">
        <v>367.3</v>
      </c>
      <c r="E11" s="4">
        <v>61</v>
      </c>
      <c r="F11" s="4">
        <v>6.97</v>
      </c>
      <c r="G11" s="4">
        <v>27.2</v>
      </c>
      <c r="H11" s="4">
        <v>3.08</v>
      </c>
      <c r="I11" s="4">
        <v>22.3</v>
      </c>
      <c r="J11" s="4">
        <v>50.5</v>
      </c>
      <c r="K11" s="4">
        <v>3.62</v>
      </c>
      <c r="L11" s="4">
        <v>207.5</v>
      </c>
      <c r="M11" s="4">
        <v>367.3</v>
      </c>
      <c r="N11" s="4">
        <v>76.25</v>
      </c>
      <c r="O11" s="4">
        <v>17.425000000000001</v>
      </c>
      <c r="P11" s="4">
        <v>68</v>
      </c>
      <c r="Q11" s="4">
        <v>154</v>
      </c>
      <c r="R11" s="4">
        <v>367</v>
      </c>
      <c r="S11" s="4" t="str" cm="1">
        <f t="array" ref="S11">_xlfn.IFS($R11&lt;=50,"Good",$R11&lt;=100,"Moderate",$R11&lt;=200,"Poor",$R11&lt;=300,"Very Poor",$R11&lt;=500,"Hazardous")</f>
        <v>Hazardous</v>
      </c>
      <c r="T11" t="s">
        <v>28</v>
      </c>
      <c r="X11" s="2"/>
      <c r="Y11" s="2"/>
    </row>
    <row r="12" spans="1:25" x14ac:dyDescent="0.3">
      <c r="A12" s="2">
        <v>45294</v>
      </c>
      <c r="B12" t="s">
        <v>20</v>
      </c>
      <c r="C12" s="4">
        <v>115.8</v>
      </c>
      <c r="D12" s="4">
        <v>327.7</v>
      </c>
      <c r="E12" s="4">
        <v>57</v>
      </c>
      <c r="F12" s="4">
        <v>11.71</v>
      </c>
      <c r="G12" s="4">
        <v>31.3</v>
      </c>
      <c r="H12" s="4">
        <v>0.59</v>
      </c>
      <c r="I12" s="4">
        <v>22.1</v>
      </c>
      <c r="J12" s="4">
        <v>64.7</v>
      </c>
      <c r="K12" s="4">
        <v>2.5099999999999998</v>
      </c>
      <c r="L12" s="4">
        <v>193</v>
      </c>
      <c r="M12" s="4">
        <v>327.7</v>
      </c>
      <c r="N12" s="4">
        <v>71.25</v>
      </c>
      <c r="O12" s="4">
        <v>29.274999999999999</v>
      </c>
      <c r="P12" s="4">
        <v>78.25</v>
      </c>
      <c r="Q12" s="4">
        <v>29.5</v>
      </c>
      <c r="R12" s="4">
        <v>328</v>
      </c>
      <c r="S12" s="4" t="str" cm="1">
        <f t="array" ref="S12">_xlfn.IFS($R12&lt;=50,"Good",$R12&lt;=100,"Moderate",$R12&lt;=200,"Poor",$R12&lt;=300,"Very Poor",$R12&lt;=500,"Hazardous")</f>
        <v>Hazardous</v>
      </c>
      <c r="T12" t="s">
        <v>28</v>
      </c>
      <c r="X12" s="2"/>
      <c r="Y12" s="2"/>
    </row>
    <row r="13" spans="1:25" x14ac:dyDescent="0.3">
      <c r="A13" s="2">
        <v>45294</v>
      </c>
      <c r="B13" t="s">
        <v>21</v>
      </c>
      <c r="C13" s="4">
        <v>105.9</v>
      </c>
      <c r="D13" s="4">
        <v>70.2</v>
      </c>
      <c r="E13" s="4">
        <v>73.2</v>
      </c>
      <c r="F13" s="4">
        <v>12.57</v>
      </c>
      <c r="G13" s="4">
        <v>22.4</v>
      </c>
      <c r="H13" s="4">
        <v>2.21</v>
      </c>
      <c r="I13" s="4">
        <v>22.8</v>
      </c>
      <c r="J13" s="4">
        <v>94</v>
      </c>
      <c r="K13" s="4">
        <v>2.71</v>
      </c>
      <c r="L13" s="4">
        <v>176.5</v>
      </c>
      <c r="M13" s="4">
        <v>70.2</v>
      </c>
      <c r="N13" s="4">
        <v>91.5</v>
      </c>
      <c r="O13" s="4">
        <v>31.425000000000001</v>
      </c>
      <c r="P13" s="4">
        <v>55.999999999999993</v>
      </c>
      <c r="Q13" s="4">
        <v>110.5</v>
      </c>
      <c r="R13" s="4">
        <v>177</v>
      </c>
      <c r="S13" s="4" t="str" cm="1">
        <f t="array" ref="S13">_xlfn.IFS($R13&lt;=50,"Good",$R13&lt;=100,"Moderate",$R13&lt;=200,"Poor",$R13&lt;=300,"Very Poor",$R13&lt;=500,"Hazardous")</f>
        <v>Poor</v>
      </c>
      <c r="T13" t="s">
        <v>25</v>
      </c>
      <c r="X13" s="2"/>
      <c r="Y13" s="2"/>
    </row>
    <row r="14" spans="1:25" x14ac:dyDescent="0.3">
      <c r="A14" s="2">
        <v>45294</v>
      </c>
      <c r="B14" t="s">
        <v>22</v>
      </c>
      <c r="C14" s="4">
        <v>102.9</v>
      </c>
      <c r="D14" s="4">
        <v>175.6</v>
      </c>
      <c r="E14" s="4">
        <v>10.1</v>
      </c>
      <c r="F14" s="4">
        <v>11.96</v>
      </c>
      <c r="G14" s="4">
        <v>35.5</v>
      </c>
      <c r="H14" s="4">
        <v>4.07</v>
      </c>
      <c r="I14" s="4">
        <v>18.7</v>
      </c>
      <c r="J14" s="4">
        <v>65.400000000000006</v>
      </c>
      <c r="K14" s="4">
        <v>2.46</v>
      </c>
      <c r="L14" s="4">
        <v>171.5</v>
      </c>
      <c r="M14" s="4">
        <v>175.6</v>
      </c>
      <c r="N14" s="4">
        <v>12.625</v>
      </c>
      <c r="O14" s="4">
        <v>29.9</v>
      </c>
      <c r="P14" s="4">
        <v>88.75</v>
      </c>
      <c r="Q14" s="4">
        <v>203.5</v>
      </c>
      <c r="R14" s="4">
        <v>204</v>
      </c>
      <c r="S14" s="4" t="str" cm="1">
        <f t="array" ref="S14">_xlfn.IFS($R14&lt;=50,"Good",$R14&lt;=100,"Moderate",$R14&lt;=200,"Poor",$R14&lt;=300,"Very Poor",$R14&lt;=500,"Hazardous")</f>
        <v>Very Poor</v>
      </c>
      <c r="T14" t="s">
        <v>29</v>
      </c>
      <c r="X14" s="2"/>
      <c r="Y14" s="2"/>
    </row>
    <row r="15" spans="1:25" x14ac:dyDescent="0.3">
      <c r="A15" s="2">
        <v>45294</v>
      </c>
      <c r="B15" t="s">
        <v>23</v>
      </c>
      <c r="C15" s="4">
        <v>39.9</v>
      </c>
      <c r="D15" s="4">
        <v>301.7</v>
      </c>
      <c r="E15" s="4">
        <v>96.1</v>
      </c>
      <c r="F15" s="4">
        <v>19.13</v>
      </c>
      <c r="G15" s="4">
        <v>15.5</v>
      </c>
      <c r="H15" s="4">
        <v>3.27</v>
      </c>
      <c r="I15" s="4">
        <v>10.199999999999999</v>
      </c>
      <c r="J15" s="4">
        <v>70.599999999999994</v>
      </c>
      <c r="K15" s="4">
        <v>5.13</v>
      </c>
      <c r="L15" s="4">
        <v>66.5</v>
      </c>
      <c r="M15" s="4">
        <v>301.7</v>
      </c>
      <c r="N15" s="4">
        <v>120.125</v>
      </c>
      <c r="O15" s="4">
        <v>47.825000000000003</v>
      </c>
      <c r="P15" s="4">
        <v>38.75</v>
      </c>
      <c r="Q15" s="4">
        <v>163.5</v>
      </c>
      <c r="R15" s="4">
        <v>302</v>
      </c>
      <c r="S15" s="4" t="str" cm="1">
        <f t="array" ref="S15">_xlfn.IFS($R15&lt;=50,"Good",$R15&lt;=100,"Moderate",$R15&lt;=200,"Poor",$R15&lt;=300,"Very Poor",$R15&lt;=500,"Hazardous")</f>
        <v>Hazardous</v>
      </c>
      <c r="T15" t="s">
        <v>28</v>
      </c>
      <c r="X15" s="2"/>
      <c r="Y15" s="2"/>
    </row>
    <row r="16" spans="1:25" x14ac:dyDescent="0.3">
      <c r="A16" s="2">
        <v>45294</v>
      </c>
      <c r="B16" t="s">
        <v>24</v>
      </c>
      <c r="C16" s="4">
        <v>53.3</v>
      </c>
      <c r="D16" s="4">
        <v>151.4</v>
      </c>
      <c r="E16" s="4">
        <v>82.7</v>
      </c>
      <c r="F16" s="4">
        <v>9.65</v>
      </c>
      <c r="G16" s="4">
        <v>1.2</v>
      </c>
      <c r="H16" s="4">
        <v>2.1800000000000002</v>
      </c>
      <c r="I16" s="4">
        <v>12.6</v>
      </c>
      <c r="J16" s="4">
        <v>68.5</v>
      </c>
      <c r="K16" s="4">
        <v>1.9</v>
      </c>
      <c r="L16" s="4">
        <v>88.833333333333329</v>
      </c>
      <c r="M16" s="4">
        <v>151.4</v>
      </c>
      <c r="N16" s="4">
        <v>103.375</v>
      </c>
      <c r="O16" s="4">
        <v>24.125</v>
      </c>
      <c r="P16" s="4">
        <v>3</v>
      </c>
      <c r="Q16" s="4">
        <v>109</v>
      </c>
      <c r="R16" s="4">
        <v>151</v>
      </c>
      <c r="S16" s="4" t="str" cm="1">
        <f t="array" ref="S16">_xlfn.IFS($R16&lt;=50,"Good",$R16&lt;=100,"Moderate",$R16&lt;=200,"Poor",$R16&lt;=300,"Very Poor",$R16&lt;=500,"Hazardous")</f>
        <v>Poor</v>
      </c>
      <c r="T16" t="s">
        <v>28</v>
      </c>
      <c r="X16" s="2"/>
      <c r="Y16" s="2"/>
    </row>
    <row r="17" spans="1:25" x14ac:dyDescent="0.3">
      <c r="A17" s="2">
        <v>45295</v>
      </c>
      <c r="B17" t="s">
        <v>20</v>
      </c>
      <c r="C17" s="4">
        <v>196</v>
      </c>
      <c r="D17" s="4">
        <v>134.30000000000001</v>
      </c>
      <c r="E17" s="4">
        <v>70.900000000000006</v>
      </c>
      <c r="F17" s="4">
        <v>22.2</v>
      </c>
      <c r="G17" s="4">
        <v>9.6</v>
      </c>
      <c r="H17" s="4">
        <v>2.46</v>
      </c>
      <c r="I17" s="4">
        <v>29.1</v>
      </c>
      <c r="J17" s="4">
        <v>31.1</v>
      </c>
      <c r="K17" s="4">
        <v>2.72</v>
      </c>
      <c r="L17" s="4">
        <v>326.66666666666669</v>
      </c>
      <c r="M17" s="4">
        <v>134.30000000000001</v>
      </c>
      <c r="N17" s="4">
        <v>88.625000000000014</v>
      </c>
      <c r="O17" s="4">
        <v>55.5</v>
      </c>
      <c r="P17" s="4">
        <v>24</v>
      </c>
      <c r="Q17" s="4">
        <v>123</v>
      </c>
      <c r="R17" s="4">
        <v>327</v>
      </c>
      <c r="S17" s="4" t="str" cm="1">
        <f t="array" ref="S17">_xlfn.IFS($R17&lt;=50,"Good",$R17&lt;=100,"Moderate",$R17&lt;=200,"Poor",$R17&lt;=300,"Very Poor",$R17&lt;=500,"Hazardous")</f>
        <v>Hazardous</v>
      </c>
      <c r="T17" t="s">
        <v>25</v>
      </c>
      <c r="X17" s="2"/>
      <c r="Y17" s="2"/>
    </row>
    <row r="18" spans="1:25" x14ac:dyDescent="0.3">
      <c r="A18" s="2">
        <v>45295</v>
      </c>
      <c r="B18" t="s">
        <v>21</v>
      </c>
      <c r="C18" s="4">
        <v>135.6</v>
      </c>
      <c r="D18" s="4">
        <v>333.8</v>
      </c>
      <c r="E18" s="4">
        <v>40.5</v>
      </c>
      <c r="F18" s="4">
        <v>2.8</v>
      </c>
      <c r="G18" s="4">
        <v>59.7</v>
      </c>
      <c r="H18" s="4">
        <v>2.76</v>
      </c>
      <c r="I18" s="4">
        <v>21.8</v>
      </c>
      <c r="J18" s="4">
        <v>66.2</v>
      </c>
      <c r="K18" s="4">
        <v>1.68</v>
      </c>
      <c r="L18" s="4">
        <v>226</v>
      </c>
      <c r="M18" s="4">
        <v>333.8</v>
      </c>
      <c r="N18" s="4">
        <v>50.625</v>
      </c>
      <c r="O18" s="4">
        <v>6.9999999999999991</v>
      </c>
      <c r="P18" s="4">
        <v>149.25</v>
      </c>
      <c r="Q18" s="4">
        <v>138</v>
      </c>
      <c r="R18" s="4">
        <v>334</v>
      </c>
      <c r="S18" s="4" t="str" cm="1">
        <f t="array" ref="S18">_xlfn.IFS($R18&lt;=50,"Good",$R18&lt;=100,"Moderate",$R18&lt;=200,"Poor",$R18&lt;=300,"Very Poor",$R18&lt;=500,"Hazardous")</f>
        <v>Hazardous</v>
      </c>
      <c r="T18" t="s">
        <v>28</v>
      </c>
      <c r="X18" s="2"/>
      <c r="Y18" s="2"/>
    </row>
    <row r="19" spans="1:25" x14ac:dyDescent="0.3">
      <c r="A19" s="2">
        <v>45295</v>
      </c>
      <c r="B19" t="s">
        <v>22</v>
      </c>
      <c r="C19" s="4">
        <v>101.8</v>
      </c>
      <c r="D19" s="4">
        <v>209.1</v>
      </c>
      <c r="E19" s="4">
        <v>46.7</v>
      </c>
      <c r="F19" s="4">
        <v>26.34</v>
      </c>
      <c r="G19" s="4">
        <v>44.3</v>
      </c>
      <c r="H19" s="4">
        <v>0.74</v>
      </c>
      <c r="I19" s="4">
        <v>24.6</v>
      </c>
      <c r="J19" s="4">
        <v>42.5</v>
      </c>
      <c r="K19" s="4">
        <v>3.44</v>
      </c>
      <c r="L19" s="4">
        <v>169.66666666666671</v>
      </c>
      <c r="M19" s="4">
        <v>209.1</v>
      </c>
      <c r="N19" s="4">
        <v>58.375</v>
      </c>
      <c r="O19" s="4">
        <v>65.850000000000009</v>
      </c>
      <c r="P19" s="4">
        <v>110.75</v>
      </c>
      <c r="Q19" s="4">
        <v>37</v>
      </c>
      <c r="R19" s="4">
        <v>209</v>
      </c>
      <c r="S19" s="4" t="str" cm="1">
        <f t="array" ref="S19">_xlfn.IFS($R19&lt;=50,"Good",$R19&lt;=100,"Moderate",$R19&lt;=200,"Poor",$R19&lt;=300,"Very Poor",$R19&lt;=500,"Hazardous")</f>
        <v>Very Poor</v>
      </c>
      <c r="T19" t="s">
        <v>28</v>
      </c>
      <c r="X19" s="2"/>
      <c r="Y19" s="2"/>
    </row>
    <row r="20" spans="1:25" x14ac:dyDescent="0.3">
      <c r="A20" s="2">
        <v>45295</v>
      </c>
      <c r="B20" t="s">
        <v>23</v>
      </c>
      <c r="C20" s="4">
        <v>151.6</v>
      </c>
      <c r="D20" s="4">
        <v>113.2</v>
      </c>
      <c r="E20" s="4">
        <v>102.8</v>
      </c>
      <c r="F20" s="4">
        <v>16.100000000000001</v>
      </c>
      <c r="G20" s="4">
        <v>54.5</v>
      </c>
      <c r="H20" s="4">
        <v>3.74</v>
      </c>
      <c r="I20" s="4">
        <v>18.3</v>
      </c>
      <c r="J20" s="4">
        <v>46.4</v>
      </c>
      <c r="K20" s="4">
        <v>1.43</v>
      </c>
      <c r="L20" s="4">
        <v>252.66666666666671</v>
      </c>
      <c r="M20" s="4">
        <v>113.2</v>
      </c>
      <c r="N20" s="4">
        <v>128.5</v>
      </c>
      <c r="O20" s="4">
        <v>40.25</v>
      </c>
      <c r="P20" s="4">
        <v>136.25</v>
      </c>
      <c r="Q20" s="4">
        <v>187</v>
      </c>
      <c r="R20" s="4">
        <v>253</v>
      </c>
      <c r="S20" s="4" t="str" cm="1">
        <f t="array" ref="S20">_xlfn.IFS($R20&lt;=50,"Good",$R20&lt;=100,"Moderate",$R20&lt;=200,"Poor",$R20&lt;=300,"Very Poor",$R20&lt;=500,"Hazardous")</f>
        <v>Very Poor</v>
      </c>
      <c r="T20" t="s">
        <v>25</v>
      </c>
      <c r="X20" s="2"/>
      <c r="Y20" s="2"/>
    </row>
    <row r="21" spans="1:25" x14ac:dyDescent="0.3">
      <c r="A21" s="2">
        <v>45295</v>
      </c>
      <c r="B21" t="s">
        <v>24</v>
      </c>
      <c r="C21" s="4">
        <v>62.5</v>
      </c>
      <c r="D21" s="4">
        <v>203.1</v>
      </c>
      <c r="E21" s="4">
        <v>91.2</v>
      </c>
      <c r="F21" s="4">
        <v>16.510000000000002</v>
      </c>
      <c r="G21" s="4">
        <v>60.1</v>
      </c>
      <c r="H21" s="4">
        <v>2.13</v>
      </c>
      <c r="I21" s="4">
        <v>30.2</v>
      </c>
      <c r="J21" s="4">
        <v>55.2</v>
      </c>
      <c r="K21" s="4">
        <v>6.26</v>
      </c>
      <c r="L21" s="4">
        <v>104.1666666666667</v>
      </c>
      <c r="M21" s="4">
        <v>203.1</v>
      </c>
      <c r="N21" s="4">
        <v>114</v>
      </c>
      <c r="O21" s="4">
        <v>41.275000000000013</v>
      </c>
      <c r="P21" s="4">
        <v>150.25</v>
      </c>
      <c r="Q21" s="4">
        <v>106.5</v>
      </c>
      <c r="R21" s="4">
        <v>203</v>
      </c>
      <c r="S21" s="4" t="str" cm="1">
        <f t="array" ref="S21">_xlfn.IFS($R21&lt;=50,"Good",$R21&lt;=100,"Moderate",$R21&lt;=200,"Poor",$R21&lt;=300,"Very Poor",$R21&lt;=500,"Hazardous")</f>
        <v>Very Poor</v>
      </c>
      <c r="T21" t="s">
        <v>28</v>
      </c>
      <c r="X21" s="2"/>
      <c r="Y21" s="2"/>
    </row>
    <row r="22" spans="1:25" x14ac:dyDescent="0.3">
      <c r="A22" s="2">
        <v>45296</v>
      </c>
      <c r="B22" t="s">
        <v>20</v>
      </c>
      <c r="C22" s="4">
        <v>144.9</v>
      </c>
      <c r="D22" s="4">
        <v>126.2</v>
      </c>
      <c r="E22" s="4">
        <v>43.4</v>
      </c>
      <c r="F22" s="4">
        <v>19.16</v>
      </c>
      <c r="G22" s="4">
        <v>35.6</v>
      </c>
      <c r="H22" s="4">
        <v>3</v>
      </c>
      <c r="I22" s="4">
        <v>23.3</v>
      </c>
      <c r="J22" s="4">
        <v>58.7</v>
      </c>
      <c r="K22" s="4">
        <v>1.48</v>
      </c>
      <c r="L22" s="4">
        <v>241.5</v>
      </c>
      <c r="M22" s="4">
        <v>126.2</v>
      </c>
      <c r="N22" s="4">
        <v>54.25</v>
      </c>
      <c r="O22" s="4">
        <v>47.9</v>
      </c>
      <c r="P22" s="4">
        <v>89.000000000000014</v>
      </c>
      <c r="Q22" s="4">
        <v>150</v>
      </c>
      <c r="R22" s="4">
        <v>242</v>
      </c>
      <c r="S22" s="4" t="str" cm="1">
        <f t="array" ref="S22">_xlfn.IFS($R22&lt;=50,"Good",$R22&lt;=100,"Moderate",$R22&lt;=200,"Poor",$R22&lt;=300,"Very Poor",$R22&lt;=500,"Hazardous")</f>
        <v>Very Poor</v>
      </c>
      <c r="T22" t="s">
        <v>25</v>
      </c>
      <c r="X22" s="2"/>
      <c r="Y22" s="2"/>
    </row>
    <row r="23" spans="1:25" x14ac:dyDescent="0.3">
      <c r="A23" s="2">
        <v>45296</v>
      </c>
      <c r="B23" t="s">
        <v>21</v>
      </c>
      <c r="C23" s="4">
        <v>29.1</v>
      </c>
      <c r="D23" s="4">
        <v>186.4</v>
      </c>
      <c r="E23" s="4">
        <v>124.3</v>
      </c>
      <c r="F23" s="4">
        <v>18.14</v>
      </c>
      <c r="G23" s="4">
        <v>10</v>
      </c>
      <c r="H23" s="4">
        <v>2.61</v>
      </c>
      <c r="I23" s="4">
        <v>22.7</v>
      </c>
      <c r="J23" s="4">
        <v>44.1</v>
      </c>
      <c r="K23" s="4">
        <v>2.68</v>
      </c>
      <c r="L23" s="4">
        <v>48.5</v>
      </c>
      <c r="M23" s="4">
        <v>186.4</v>
      </c>
      <c r="N23" s="4">
        <v>155.375</v>
      </c>
      <c r="O23" s="4">
        <v>45.35</v>
      </c>
      <c r="P23" s="4">
        <v>25</v>
      </c>
      <c r="Q23" s="4">
        <v>130.5</v>
      </c>
      <c r="R23" s="4">
        <v>186</v>
      </c>
      <c r="S23" s="4" t="str" cm="1">
        <f t="array" ref="S23">_xlfn.IFS($R23&lt;=50,"Good",$R23&lt;=100,"Moderate",$R23&lt;=200,"Poor",$R23&lt;=300,"Very Poor",$R23&lt;=500,"Hazardous")</f>
        <v>Poor</v>
      </c>
      <c r="T23" t="s">
        <v>28</v>
      </c>
      <c r="X23" s="2"/>
      <c r="Y23" s="2"/>
    </row>
    <row r="24" spans="1:25" x14ac:dyDescent="0.3">
      <c r="A24" s="2">
        <v>45296</v>
      </c>
      <c r="B24" t="s">
        <v>22</v>
      </c>
      <c r="C24" s="4">
        <v>93.9</v>
      </c>
      <c r="D24" s="4">
        <v>78.2</v>
      </c>
      <c r="E24" s="4">
        <v>79.3</v>
      </c>
      <c r="F24" s="4">
        <v>16.420000000000002</v>
      </c>
      <c r="G24" s="4">
        <v>57.4</v>
      </c>
      <c r="H24" s="4">
        <v>2.79</v>
      </c>
      <c r="I24" s="4">
        <v>10.4</v>
      </c>
      <c r="J24" s="4">
        <v>43.1</v>
      </c>
      <c r="K24" s="4">
        <v>3.12</v>
      </c>
      <c r="L24" s="4">
        <v>156.5</v>
      </c>
      <c r="M24" s="4">
        <v>78.2</v>
      </c>
      <c r="N24" s="4">
        <v>99.124999999999986</v>
      </c>
      <c r="O24" s="4">
        <v>41.05</v>
      </c>
      <c r="P24" s="4">
        <v>143.5</v>
      </c>
      <c r="Q24" s="4">
        <v>139.5</v>
      </c>
      <c r="R24" s="4">
        <v>156</v>
      </c>
      <c r="S24" s="4" t="str" cm="1">
        <f t="array" ref="S24">_xlfn.IFS($R24&lt;=50,"Good",$R24&lt;=100,"Moderate",$R24&lt;=200,"Poor",$R24&lt;=300,"Very Poor",$R24&lt;=500,"Hazardous")</f>
        <v>Poor</v>
      </c>
      <c r="T24" t="s">
        <v>25</v>
      </c>
      <c r="X24" s="2"/>
      <c r="Y24" s="2"/>
    </row>
    <row r="25" spans="1:25" x14ac:dyDescent="0.3">
      <c r="A25" s="2">
        <v>45296</v>
      </c>
      <c r="B25" t="s">
        <v>23</v>
      </c>
      <c r="C25" s="4">
        <v>120.7</v>
      </c>
      <c r="D25" s="4">
        <v>241.4</v>
      </c>
      <c r="E25" s="4">
        <v>195.3</v>
      </c>
      <c r="F25" s="4">
        <v>17.37</v>
      </c>
      <c r="G25" s="4">
        <v>61.6</v>
      </c>
      <c r="H25" s="4">
        <v>2.84</v>
      </c>
      <c r="I25" s="4">
        <v>24.6</v>
      </c>
      <c r="J25" s="4">
        <v>54.3</v>
      </c>
      <c r="K25" s="4">
        <v>3.41</v>
      </c>
      <c r="L25" s="4">
        <v>201.16666666666671</v>
      </c>
      <c r="M25" s="4">
        <v>241.4</v>
      </c>
      <c r="N25" s="4">
        <v>244.125</v>
      </c>
      <c r="O25" s="4">
        <v>43.424999999999997</v>
      </c>
      <c r="P25" s="4">
        <v>154</v>
      </c>
      <c r="Q25" s="4">
        <v>142</v>
      </c>
      <c r="R25" s="4">
        <v>244</v>
      </c>
      <c r="S25" s="4" t="str" cm="1">
        <f t="array" ref="S25">_xlfn.IFS($R25&lt;=50,"Good",$R25&lt;=100,"Moderate",$R25&lt;=200,"Poor",$R25&lt;=300,"Very Poor",$R25&lt;=500,"Hazardous")</f>
        <v>Very Poor</v>
      </c>
      <c r="T25" t="s">
        <v>26</v>
      </c>
      <c r="X25" s="2"/>
      <c r="Y25" s="2"/>
    </row>
    <row r="26" spans="1:25" x14ac:dyDescent="0.3">
      <c r="A26" s="2">
        <v>45296</v>
      </c>
      <c r="B26" t="s">
        <v>24</v>
      </c>
      <c r="C26" s="4">
        <v>64.8</v>
      </c>
      <c r="D26" s="4">
        <v>186.2</v>
      </c>
      <c r="E26" s="4">
        <v>62.1</v>
      </c>
      <c r="F26" s="4">
        <v>14.8</v>
      </c>
      <c r="G26" s="4">
        <v>96.9</v>
      </c>
      <c r="H26" s="4">
        <v>0.14000000000000001</v>
      </c>
      <c r="I26" s="4">
        <v>24.8</v>
      </c>
      <c r="J26" s="4">
        <v>31</v>
      </c>
      <c r="K26" s="4">
        <v>2.4300000000000002</v>
      </c>
      <c r="L26" s="4">
        <v>108</v>
      </c>
      <c r="M26" s="4">
        <v>186.2</v>
      </c>
      <c r="N26" s="4">
        <v>77.625</v>
      </c>
      <c r="O26" s="4">
        <v>37.000000000000007</v>
      </c>
      <c r="P26" s="4">
        <v>242.25</v>
      </c>
      <c r="Q26" s="4">
        <v>7.0000000000000009</v>
      </c>
      <c r="R26" s="4">
        <v>242</v>
      </c>
      <c r="S26" s="4" t="str" cm="1">
        <f t="array" ref="S26">_xlfn.IFS($R26&lt;=50,"Good",$R26&lt;=100,"Moderate",$R26&lt;=200,"Poor",$R26&lt;=300,"Very Poor",$R26&lt;=500,"Hazardous")</f>
        <v>Very Poor</v>
      </c>
      <c r="T26" t="s">
        <v>27</v>
      </c>
      <c r="X26" s="2"/>
      <c r="Y26" s="2"/>
    </row>
    <row r="27" spans="1:25" x14ac:dyDescent="0.3">
      <c r="A27" s="2">
        <v>45297</v>
      </c>
      <c r="B27" t="s">
        <v>20</v>
      </c>
      <c r="C27" s="4">
        <v>170.5</v>
      </c>
      <c r="D27" s="4">
        <v>227.9</v>
      </c>
      <c r="E27" s="4">
        <v>43.1</v>
      </c>
      <c r="F27" s="4">
        <v>8.14</v>
      </c>
      <c r="G27" s="4">
        <v>59</v>
      </c>
      <c r="H27" s="4">
        <v>1.4</v>
      </c>
      <c r="I27" s="4">
        <v>21.5</v>
      </c>
      <c r="J27" s="4">
        <v>60.8</v>
      </c>
      <c r="K27" s="4">
        <v>1.72</v>
      </c>
      <c r="L27" s="4">
        <v>284.16666666666669</v>
      </c>
      <c r="M27" s="4">
        <v>227.9</v>
      </c>
      <c r="N27" s="4">
        <v>53.875</v>
      </c>
      <c r="O27" s="4">
        <v>20.350000000000001</v>
      </c>
      <c r="P27" s="4">
        <v>147.5</v>
      </c>
      <c r="Q27" s="4">
        <v>69.999999999999986</v>
      </c>
      <c r="R27" s="4">
        <v>284</v>
      </c>
      <c r="S27" s="4" t="str" cm="1">
        <f t="array" ref="S27">_xlfn.IFS($R27&lt;=50,"Good",$R27&lt;=100,"Moderate",$R27&lt;=200,"Poor",$R27&lt;=300,"Very Poor",$R27&lt;=500,"Hazardous")</f>
        <v>Very Poor</v>
      </c>
      <c r="T27" t="s">
        <v>25</v>
      </c>
      <c r="X27" s="2"/>
      <c r="Y27" s="2"/>
    </row>
    <row r="28" spans="1:25" x14ac:dyDescent="0.3">
      <c r="A28" s="2">
        <v>45297</v>
      </c>
      <c r="B28" t="s">
        <v>21</v>
      </c>
      <c r="C28" s="4">
        <v>248.6</v>
      </c>
      <c r="D28" s="4">
        <v>316.10000000000002</v>
      </c>
      <c r="E28" s="4">
        <v>9</v>
      </c>
      <c r="F28" s="4">
        <v>17.86</v>
      </c>
      <c r="G28" s="4">
        <v>26.4</v>
      </c>
      <c r="H28" s="4">
        <v>3.42</v>
      </c>
      <c r="I28" s="4">
        <v>14.5</v>
      </c>
      <c r="J28" s="4">
        <v>57.9</v>
      </c>
      <c r="K28" s="4">
        <v>3.11</v>
      </c>
      <c r="L28" s="4">
        <v>414.33333333333331</v>
      </c>
      <c r="M28" s="4">
        <v>316.10000000000002</v>
      </c>
      <c r="N28" s="4">
        <v>11.25</v>
      </c>
      <c r="O28" s="4">
        <v>44.65</v>
      </c>
      <c r="P28" s="4">
        <v>66</v>
      </c>
      <c r="Q28" s="4">
        <v>171</v>
      </c>
      <c r="R28" s="4">
        <v>414</v>
      </c>
      <c r="S28" s="4" t="str" cm="1">
        <f t="array" ref="S28">_xlfn.IFS($R28&lt;=50,"Good",$R28&lt;=100,"Moderate",$R28&lt;=200,"Poor",$R28&lt;=300,"Very Poor",$R28&lt;=500,"Hazardous")</f>
        <v>Hazardous</v>
      </c>
      <c r="T28" t="s">
        <v>25</v>
      </c>
      <c r="X28" s="2"/>
      <c r="Y28" s="2"/>
    </row>
    <row r="29" spans="1:25" x14ac:dyDescent="0.3">
      <c r="A29" s="2">
        <v>45297</v>
      </c>
      <c r="B29" t="s">
        <v>22</v>
      </c>
      <c r="C29" s="4">
        <v>130.69999999999999</v>
      </c>
      <c r="D29" s="4">
        <v>72.900000000000006</v>
      </c>
      <c r="E29" s="4">
        <v>58.2</v>
      </c>
      <c r="F29" s="4">
        <v>8.5500000000000007</v>
      </c>
      <c r="G29" s="4">
        <v>20.2</v>
      </c>
      <c r="H29" s="4">
        <v>3.43</v>
      </c>
      <c r="I29" s="4">
        <v>22.8</v>
      </c>
      <c r="J29" s="4">
        <v>37.299999999999997</v>
      </c>
      <c r="K29" s="4">
        <v>3.6</v>
      </c>
      <c r="L29" s="4">
        <v>217.83333333333329</v>
      </c>
      <c r="M29" s="4">
        <v>72.900000000000006</v>
      </c>
      <c r="N29" s="4">
        <v>72.750000000000014</v>
      </c>
      <c r="O29" s="4">
        <v>21.375</v>
      </c>
      <c r="P29" s="4">
        <v>50.499999999999993</v>
      </c>
      <c r="Q29" s="4">
        <v>171.5</v>
      </c>
      <c r="R29" s="4">
        <v>218</v>
      </c>
      <c r="S29" s="4" t="str" cm="1">
        <f t="array" ref="S29">_xlfn.IFS($R29&lt;=50,"Good",$R29&lt;=100,"Moderate",$R29&lt;=200,"Poor",$R29&lt;=300,"Very Poor",$R29&lt;=500,"Hazardous")</f>
        <v>Very Poor</v>
      </c>
      <c r="T29" t="s">
        <v>25</v>
      </c>
      <c r="X29" s="2"/>
      <c r="Y29" s="2"/>
    </row>
    <row r="30" spans="1:25" x14ac:dyDescent="0.3">
      <c r="A30" s="2">
        <v>45297</v>
      </c>
      <c r="B30" t="s">
        <v>23</v>
      </c>
      <c r="C30" s="4">
        <v>197.9</v>
      </c>
      <c r="D30" s="4">
        <v>291.10000000000002</v>
      </c>
      <c r="E30" s="4">
        <v>23.4</v>
      </c>
      <c r="F30" s="4">
        <v>8.93</v>
      </c>
      <c r="G30" s="4">
        <v>64.5</v>
      </c>
      <c r="H30" s="4">
        <v>1.24</v>
      </c>
      <c r="I30" s="4">
        <v>23.1</v>
      </c>
      <c r="J30" s="4">
        <v>73.900000000000006</v>
      </c>
      <c r="K30" s="4">
        <v>1.39</v>
      </c>
      <c r="L30" s="4">
        <v>329.83333333333343</v>
      </c>
      <c r="M30" s="4">
        <v>291.10000000000002</v>
      </c>
      <c r="N30" s="4">
        <v>29.25</v>
      </c>
      <c r="O30" s="4">
        <v>22.324999999999999</v>
      </c>
      <c r="P30" s="4">
        <v>161.25</v>
      </c>
      <c r="Q30" s="4">
        <v>62</v>
      </c>
      <c r="R30" s="4">
        <v>330</v>
      </c>
      <c r="S30" s="4" t="str" cm="1">
        <f t="array" ref="S30">_xlfn.IFS($R30&lt;=50,"Good",$R30&lt;=100,"Moderate",$R30&lt;=200,"Poor",$R30&lt;=300,"Very Poor",$R30&lt;=500,"Hazardous")</f>
        <v>Hazardous</v>
      </c>
      <c r="T30" t="s">
        <v>25</v>
      </c>
      <c r="X30" s="2"/>
      <c r="Y30" s="2"/>
    </row>
    <row r="31" spans="1:25" x14ac:dyDescent="0.3">
      <c r="A31" s="2">
        <v>45297</v>
      </c>
      <c r="B31" t="s">
        <v>24</v>
      </c>
      <c r="C31" s="4">
        <v>102.5</v>
      </c>
      <c r="D31" s="4">
        <v>5</v>
      </c>
      <c r="E31" s="4">
        <v>43.1</v>
      </c>
      <c r="F31" s="4">
        <v>11.86</v>
      </c>
      <c r="G31" s="4">
        <v>8.6999999999999993</v>
      </c>
      <c r="H31" s="4">
        <v>3.84</v>
      </c>
      <c r="I31" s="4">
        <v>10</v>
      </c>
      <c r="J31" s="4">
        <v>52.1</v>
      </c>
      <c r="K31" s="4">
        <v>3.16</v>
      </c>
      <c r="L31" s="4">
        <v>170.83333333333329</v>
      </c>
      <c r="M31" s="4">
        <v>5</v>
      </c>
      <c r="N31" s="4">
        <v>53.875</v>
      </c>
      <c r="O31" s="4">
        <v>29.65</v>
      </c>
      <c r="P31" s="4">
        <v>21.75</v>
      </c>
      <c r="Q31" s="4">
        <v>192</v>
      </c>
      <c r="R31" s="4">
        <v>192</v>
      </c>
      <c r="S31" s="4" t="str" cm="1">
        <f t="array" ref="S31">_xlfn.IFS($R31&lt;=50,"Good",$R31&lt;=100,"Moderate",$R31&lt;=200,"Poor",$R31&lt;=300,"Very Poor",$R31&lt;=500,"Hazardous")</f>
        <v>Poor</v>
      </c>
      <c r="T31" t="s">
        <v>29</v>
      </c>
      <c r="X31" s="2"/>
      <c r="Y31" s="2"/>
    </row>
    <row r="32" spans="1:25" x14ac:dyDescent="0.3">
      <c r="A32" s="2">
        <v>45298</v>
      </c>
      <c r="B32" t="s">
        <v>20</v>
      </c>
      <c r="C32" s="4">
        <v>190</v>
      </c>
      <c r="D32" s="4">
        <v>62.3</v>
      </c>
      <c r="E32" s="4">
        <v>125.6</v>
      </c>
      <c r="F32" s="4">
        <v>14.81</v>
      </c>
      <c r="G32" s="4">
        <v>16</v>
      </c>
      <c r="H32" s="4">
        <v>2.72</v>
      </c>
      <c r="I32" s="4">
        <v>21.4</v>
      </c>
      <c r="J32" s="4">
        <v>49.2</v>
      </c>
      <c r="K32" s="4">
        <v>2.58</v>
      </c>
      <c r="L32" s="4">
        <v>316.66666666666657</v>
      </c>
      <c r="M32" s="4">
        <v>62.3</v>
      </c>
      <c r="N32" s="4">
        <v>157</v>
      </c>
      <c r="O32" s="4">
        <v>37.025000000000013</v>
      </c>
      <c r="P32" s="4">
        <v>40</v>
      </c>
      <c r="Q32" s="4">
        <v>136</v>
      </c>
      <c r="R32" s="4">
        <v>317</v>
      </c>
      <c r="S32" s="4" t="str" cm="1">
        <f t="array" ref="S32">_xlfn.IFS($R32&lt;=50,"Good",$R32&lt;=100,"Moderate",$R32&lt;=200,"Poor",$R32&lt;=300,"Very Poor",$R32&lt;=500,"Hazardous")</f>
        <v>Hazardous</v>
      </c>
      <c r="T32" t="s">
        <v>25</v>
      </c>
      <c r="X32" s="2"/>
      <c r="Y32" s="2"/>
    </row>
    <row r="33" spans="1:25" x14ac:dyDescent="0.3">
      <c r="A33" s="2">
        <v>45298</v>
      </c>
      <c r="B33" t="s">
        <v>21</v>
      </c>
      <c r="C33" s="4">
        <v>96.9</v>
      </c>
      <c r="D33" s="4">
        <v>253.6</v>
      </c>
      <c r="E33" s="4">
        <v>116.5</v>
      </c>
      <c r="F33" s="4">
        <v>31.86</v>
      </c>
      <c r="G33" s="4">
        <v>10.199999999999999</v>
      </c>
      <c r="H33" s="4">
        <v>4.96</v>
      </c>
      <c r="I33" s="4">
        <v>6.3</v>
      </c>
      <c r="J33" s="4">
        <v>57.3</v>
      </c>
      <c r="K33" s="4">
        <v>3.21</v>
      </c>
      <c r="L33" s="4">
        <v>161.5</v>
      </c>
      <c r="M33" s="4">
        <v>253.6</v>
      </c>
      <c r="N33" s="4">
        <v>145.625</v>
      </c>
      <c r="O33" s="4">
        <v>79.650000000000006</v>
      </c>
      <c r="P33" s="4">
        <v>25.5</v>
      </c>
      <c r="Q33" s="4">
        <v>248</v>
      </c>
      <c r="R33" s="4">
        <v>254</v>
      </c>
      <c r="S33" s="4" t="str" cm="1">
        <f t="array" ref="S33">_xlfn.IFS($R33&lt;=50,"Good",$R33&lt;=100,"Moderate",$R33&lt;=200,"Poor",$R33&lt;=300,"Very Poor",$R33&lt;=500,"Hazardous")</f>
        <v>Very Poor</v>
      </c>
      <c r="T33" t="s">
        <v>28</v>
      </c>
      <c r="X33" s="2"/>
      <c r="Y33" s="2"/>
    </row>
    <row r="34" spans="1:25" x14ac:dyDescent="0.3">
      <c r="A34" s="2">
        <v>45298</v>
      </c>
      <c r="B34" t="s">
        <v>22</v>
      </c>
      <c r="C34" s="4">
        <v>104</v>
      </c>
      <c r="D34" s="4">
        <v>125.6</v>
      </c>
      <c r="E34" s="4">
        <v>62.1</v>
      </c>
      <c r="F34" s="4">
        <v>8.41</v>
      </c>
      <c r="G34" s="4">
        <v>21.6</v>
      </c>
      <c r="H34" s="4">
        <v>2.6</v>
      </c>
      <c r="I34" s="4">
        <v>22.5</v>
      </c>
      <c r="J34" s="4">
        <v>47.5</v>
      </c>
      <c r="K34" s="4">
        <v>3.58</v>
      </c>
      <c r="L34" s="4">
        <v>173.33333333333329</v>
      </c>
      <c r="M34" s="4">
        <v>125.6</v>
      </c>
      <c r="N34" s="4">
        <v>77.625</v>
      </c>
      <c r="O34" s="4">
        <v>21.024999999999999</v>
      </c>
      <c r="P34" s="4">
        <v>54.000000000000007</v>
      </c>
      <c r="Q34" s="4">
        <v>130</v>
      </c>
      <c r="R34" s="4">
        <v>173</v>
      </c>
      <c r="S34" s="4" t="str" cm="1">
        <f t="array" ref="S34">_xlfn.IFS($R34&lt;=50,"Good",$R34&lt;=100,"Moderate",$R34&lt;=200,"Poor",$R34&lt;=300,"Very Poor",$R34&lt;=500,"Hazardous")</f>
        <v>Poor</v>
      </c>
      <c r="T34" t="s">
        <v>25</v>
      </c>
      <c r="X34" s="2"/>
      <c r="Y34" s="2"/>
    </row>
    <row r="35" spans="1:25" x14ac:dyDescent="0.3">
      <c r="A35" s="2">
        <v>45298</v>
      </c>
      <c r="B35" t="s">
        <v>23</v>
      </c>
      <c r="C35" s="4">
        <v>110.8</v>
      </c>
      <c r="D35" s="4">
        <v>270</v>
      </c>
      <c r="E35" s="4">
        <v>92.1</v>
      </c>
      <c r="F35" s="4">
        <v>6.17</v>
      </c>
      <c r="G35" s="4">
        <v>23.4</v>
      </c>
      <c r="H35" s="4">
        <v>2.64</v>
      </c>
      <c r="I35" s="4">
        <v>24.3</v>
      </c>
      <c r="J35" s="4">
        <v>59.6</v>
      </c>
      <c r="K35" s="4">
        <v>2.64</v>
      </c>
      <c r="L35" s="4">
        <v>184.66666666666671</v>
      </c>
      <c r="M35" s="4">
        <v>270</v>
      </c>
      <c r="N35" s="4">
        <v>115.125</v>
      </c>
      <c r="O35" s="4">
        <v>15.425000000000001</v>
      </c>
      <c r="P35" s="4">
        <v>58.5</v>
      </c>
      <c r="Q35" s="4">
        <v>132</v>
      </c>
      <c r="R35" s="4">
        <v>270</v>
      </c>
      <c r="S35" s="4" t="str" cm="1">
        <f t="array" ref="S35">_xlfn.IFS($R35&lt;=50,"Good",$R35&lt;=100,"Moderate",$R35&lt;=200,"Poor",$R35&lt;=300,"Very Poor",$R35&lt;=500,"Hazardous")</f>
        <v>Very Poor</v>
      </c>
      <c r="T35" t="s">
        <v>28</v>
      </c>
      <c r="X35" s="2"/>
      <c r="Y35" s="2"/>
    </row>
    <row r="36" spans="1:25" x14ac:dyDescent="0.3">
      <c r="A36" s="2">
        <v>45298</v>
      </c>
      <c r="B36" t="s">
        <v>24</v>
      </c>
      <c r="C36" s="4">
        <v>173.1</v>
      </c>
      <c r="D36" s="4">
        <v>148.69999999999999</v>
      </c>
      <c r="E36" s="4">
        <v>98.5</v>
      </c>
      <c r="F36" s="4">
        <v>12.3</v>
      </c>
      <c r="G36" s="4">
        <v>34.200000000000003</v>
      </c>
      <c r="H36" s="4">
        <v>3.27</v>
      </c>
      <c r="I36" s="4">
        <v>25.8</v>
      </c>
      <c r="J36" s="4">
        <v>74.599999999999994</v>
      </c>
      <c r="K36" s="4">
        <v>4.57</v>
      </c>
      <c r="L36" s="4">
        <v>288.5</v>
      </c>
      <c r="M36" s="4">
        <v>148.69999999999999</v>
      </c>
      <c r="N36" s="4">
        <v>123.125</v>
      </c>
      <c r="O36" s="4">
        <v>30.75</v>
      </c>
      <c r="P36" s="4">
        <v>85.5</v>
      </c>
      <c r="Q36" s="4">
        <v>163.5</v>
      </c>
      <c r="R36" s="4">
        <v>288</v>
      </c>
      <c r="S36" s="4" t="str" cm="1">
        <f t="array" ref="S36">_xlfn.IFS($R36&lt;=50,"Good",$R36&lt;=100,"Moderate",$R36&lt;=200,"Poor",$R36&lt;=300,"Very Poor",$R36&lt;=500,"Hazardous")</f>
        <v>Very Poor</v>
      </c>
      <c r="T36" t="s">
        <v>25</v>
      </c>
      <c r="X36" s="2"/>
      <c r="Y36" s="2"/>
    </row>
    <row r="37" spans="1:25" x14ac:dyDescent="0.3">
      <c r="A37" s="2">
        <v>45299</v>
      </c>
      <c r="B37" t="s">
        <v>20</v>
      </c>
      <c r="C37" s="4">
        <v>111.6</v>
      </c>
      <c r="D37" s="4">
        <v>296.10000000000002</v>
      </c>
      <c r="E37" s="4">
        <v>71.400000000000006</v>
      </c>
      <c r="F37" s="4">
        <v>17.7</v>
      </c>
      <c r="G37" s="4">
        <v>38</v>
      </c>
      <c r="H37" s="4">
        <v>2.3199999999999998</v>
      </c>
      <c r="I37" s="4">
        <v>24.2</v>
      </c>
      <c r="J37" s="4">
        <v>45.3</v>
      </c>
      <c r="K37" s="4">
        <v>5.01</v>
      </c>
      <c r="L37" s="4">
        <v>186</v>
      </c>
      <c r="M37" s="4">
        <v>296.10000000000002</v>
      </c>
      <c r="N37" s="4">
        <v>89.250000000000014</v>
      </c>
      <c r="O37" s="4">
        <v>44.25</v>
      </c>
      <c r="P37" s="4">
        <v>95</v>
      </c>
      <c r="Q37" s="4">
        <v>116</v>
      </c>
      <c r="R37" s="4">
        <v>296</v>
      </c>
      <c r="S37" s="4" t="str" cm="1">
        <f t="array" ref="S37">_xlfn.IFS($R37&lt;=50,"Good",$R37&lt;=100,"Moderate",$R37&lt;=200,"Poor",$R37&lt;=300,"Very Poor",$R37&lt;=500,"Hazardous")</f>
        <v>Very Poor</v>
      </c>
      <c r="T37" t="s">
        <v>28</v>
      </c>
      <c r="X37" s="2"/>
      <c r="Y37" s="2"/>
    </row>
    <row r="38" spans="1:25" x14ac:dyDescent="0.3">
      <c r="A38" s="2">
        <v>45299</v>
      </c>
      <c r="B38" t="s">
        <v>21</v>
      </c>
      <c r="C38" s="4">
        <v>59.6</v>
      </c>
      <c r="D38" s="4">
        <v>94.3</v>
      </c>
      <c r="E38" s="4">
        <v>136.30000000000001</v>
      </c>
      <c r="F38" s="4">
        <v>23.92</v>
      </c>
      <c r="G38" s="4">
        <v>62.6</v>
      </c>
      <c r="H38" s="4">
        <v>3.15</v>
      </c>
      <c r="I38" s="4">
        <v>19.899999999999999</v>
      </c>
      <c r="J38" s="4">
        <v>43.8</v>
      </c>
      <c r="K38" s="4">
        <v>2.59</v>
      </c>
      <c r="L38" s="4">
        <v>99.333333333333329</v>
      </c>
      <c r="M38" s="4">
        <v>94.3</v>
      </c>
      <c r="N38" s="4">
        <v>170.375</v>
      </c>
      <c r="O38" s="4">
        <v>59.8</v>
      </c>
      <c r="P38" s="4">
        <v>156.5</v>
      </c>
      <c r="Q38" s="4">
        <v>157.5</v>
      </c>
      <c r="R38" s="4">
        <v>170</v>
      </c>
      <c r="S38" s="4" t="str" cm="1">
        <f t="array" ref="S38">_xlfn.IFS($R38&lt;=50,"Good",$R38&lt;=100,"Moderate",$R38&lt;=200,"Poor",$R38&lt;=300,"Very Poor",$R38&lt;=500,"Hazardous")</f>
        <v>Poor</v>
      </c>
      <c r="T38" t="s">
        <v>26</v>
      </c>
      <c r="X38" s="2"/>
      <c r="Y38" s="2"/>
    </row>
    <row r="39" spans="1:25" x14ac:dyDescent="0.3">
      <c r="A39" s="2">
        <v>45299</v>
      </c>
      <c r="B39" t="s">
        <v>22</v>
      </c>
      <c r="C39" s="4">
        <v>60.3</v>
      </c>
      <c r="D39" s="4">
        <v>271.3</v>
      </c>
      <c r="E39" s="4">
        <v>63.9</v>
      </c>
      <c r="F39" s="4">
        <v>5.89</v>
      </c>
      <c r="G39" s="4">
        <v>27.3</v>
      </c>
      <c r="H39" s="4">
        <v>2.2000000000000002</v>
      </c>
      <c r="I39" s="4">
        <v>16.100000000000001</v>
      </c>
      <c r="J39" s="4">
        <v>45.2</v>
      </c>
      <c r="K39" s="4">
        <v>2.79</v>
      </c>
      <c r="L39" s="4">
        <v>100.5</v>
      </c>
      <c r="M39" s="4">
        <v>271.3</v>
      </c>
      <c r="N39" s="4">
        <v>79.875</v>
      </c>
      <c r="O39" s="4">
        <v>14.725</v>
      </c>
      <c r="P39" s="4">
        <v>68.25</v>
      </c>
      <c r="Q39" s="4">
        <v>110</v>
      </c>
      <c r="R39" s="4">
        <v>271</v>
      </c>
      <c r="S39" s="4" t="str" cm="1">
        <f t="array" ref="S39">_xlfn.IFS($R39&lt;=50,"Good",$R39&lt;=100,"Moderate",$R39&lt;=200,"Poor",$R39&lt;=300,"Very Poor",$R39&lt;=500,"Hazardous")</f>
        <v>Very Poor</v>
      </c>
      <c r="T39" t="s">
        <v>28</v>
      </c>
      <c r="X39" s="2"/>
      <c r="Y39" s="2"/>
    </row>
    <row r="40" spans="1:25" x14ac:dyDescent="0.3">
      <c r="A40" s="2">
        <v>45299</v>
      </c>
      <c r="B40" t="s">
        <v>23</v>
      </c>
      <c r="C40" s="4">
        <v>107.8</v>
      </c>
      <c r="D40" s="4">
        <v>143.30000000000001</v>
      </c>
      <c r="E40" s="4">
        <v>56.9</v>
      </c>
      <c r="F40" s="4">
        <v>14.66</v>
      </c>
      <c r="G40" s="4">
        <v>3.4</v>
      </c>
      <c r="H40" s="4">
        <v>0.56999999999999995</v>
      </c>
      <c r="I40" s="4">
        <v>15</v>
      </c>
      <c r="J40" s="4">
        <v>56.2</v>
      </c>
      <c r="K40" s="4">
        <v>2.87</v>
      </c>
      <c r="L40" s="4">
        <v>179.66666666666671</v>
      </c>
      <c r="M40" s="4">
        <v>143.30000000000001</v>
      </c>
      <c r="N40" s="4">
        <v>71.125</v>
      </c>
      <c r="O40" s="4">
        <v>36.65</v>
      </c>
      <c r="P40" s="4">
        <v>8.5</v>
      </c>
      <c r="Q40" s="4">
        <v>28.5</v>
      </c>
      <c r="R40" s="4">
        <v>180</v>
      </c>
      <c r="S40" s="4" t="str" cm="1">
        <f t="array" ref="S40">_xlfn.IFS($R40&lt;=50,"Good",$R40&lt;=100,"Moderate",$R40&lt;=200,"Poor",$R40&lt;=300,"Very Poor",$R40&lt;=500,"Hazardous")</f>
        <v>Poor</v>
      </c>
      <c r="T40" t="s">
        <v>25</v>
      </c>
      <c r="X40" s="2"/>
      <c r="Y40" s="2"/>
    </row>
    <row r="41" spans="1:25" x14ac:dyDescent="0.3">
      <c r="A41" s="2">
        <v>45299</v>
      </c>
      <c r="B41" t="s">
        <v>24</v>
      </c>
      <c r="C41" s="4">
        <v>183.5</v>
      </c>
      <c r="D41" s="4">
        <v>301.8</v>
      </c>
      <c r="E41" s="4">
        <v>73.599999999999994</v>
      </c>
      <c r="F41" s="4">
        <v>13.91</v>
      </c>
      <c r="G41" s="4">
        <v>14.8</v>
      </c>
      <c r="H41" s="4">
        <v>2.09</v>
      </c>
      <c r="I41" s="4">
        <v>18</v>
      </c>
      <c r="J41" s="4">
        <v>65.8</v>
      </c>
      <c r="K41" s="4">
        <v>2.0099999999999998</v>
      </c>
      <c r="L41" s="4">
        <v>305.83333333333343</v>
      </c>
      <c r="M41" s="4">
        <v>301.8</v>
      </c>
      <c r="N41" s="4">
        <v>92</v>
      </c>
      <c r="O41" s="4">
        <v>34.774999999999999</v>
      </c>
      <c r="P41" s="4">
        <v>37.000000000000007</v>
      </c>
      <c r="Q41" s="4">
        <v>104.5</v>
      </c>
      <c r="R41" s="4">
        <v>306</v>
      </c>
      <c r="S41" s="4" t="str" cm="1">
        <f t="array" ref="S41">_xlfn.IFS($R41&lt;=50,"Good",$R41&lt;=100,"Moderate",$R41&lt;=200,"Poor",$R41&lt;=300,"Very Poor",$R41&lt;=500,"Hazardous")</f>
        <v>Hazardous</v>
      </c>
      <c r="T41" t="s">
        <v>25</v>
      </c>
      <c r="X41" s="2"/>
      <c r="Y41" s="2"/>
    </row>
    <row r="42" spans="1:25" x14ac:dyDescent="0.3">
      <c r="A42" s="2">
        <v>45300</v>
      </c>
      <c r="B42" t="s">
        <v>20</v>
      </c>
      <c r="C42" s="4">
        <v>139.1</v>
      </c>
      <c r="D42" s="4">
        <v>390</v>
      </c>
      <c r="E42" s="4">
        <v>78.8</v>
      </c>
      <c r="F42" s="4">
        <v>18.420000000000002</v>
      </c>
      <c r="G42" s="4">
        <v>59.3</v>
      </c>
      <c r="H42" s="4">
        <v>1.77</v>
      </c>
      <c r="I42" s="4">
        <v>21.6</v>
      </c>
      <c r="J42" s="4">
        <v>60.2</v>
      </c>
      <c r="K42" s="4">
        <v>2.62</v>
      </c>
      <c r="L42" s="4">
        <v>231.83333333333329</v>
      </c>
      <c r="M42" s="4">
        <v>390</v>
      </c>
      <c r="N42" s="4">
        <v>98.499999999999986</v>
      </c>
      <c r="O42" s="4">
        <v>46.05</v>
      </c>
      <c r="P42" s="4">
        <v>148.25</v>
      </c>
      <c r="Q42" s="4">
        <v>88.5</v>
      </c>
      <c r="R42" s="4">
        <v>390</v>
      </c>
      <c r="S42" s="4" t="str" cm="1">
        <f t="array" ref="S42">_xlfn.IFS($R42&lt;=50,"Good",$R42&lt;=100,"Moderate",$R42&lt;=200,"Poor",$R42&lt;=300,"Very Poor",$R42&lt;=500,"Hazardous")</f>
        <v>Hazardous</v>
      </c>
      <c r="T42" t="s">
        <v>28</v>
      </c>
      <c r="X42" s="2"/>
      <c r="Y42" s="2"/>
    </row>
    <row r="43" spans="1:25" x14ac:dyDescent="0.3">
      <c r="A43" s="2">
        <v>45300</v>
      </c>
      <c r="B43" t="s">
        <v>21</v>
      </c>
      <c r="C43" s="4">
        <v>73.599999999999994</v>
      </c>
      <c r="D43" s="4">
        <v>242.9</v>
      </c>
      <c r="E43" s="4">
        <v>109.9</v>
      </c>
      <c r="F43" s="4">
        <v>30.51</v>
      </c>
      <c r="G43" s="4">
        <v>72</v>
      </c>
      <c r="H43" s="4">
        <v>4.9800000000000004</v>
      </c>
      <c r="I43" s="4">
        <v>14.6</v>
      </c>
      <c r="J43" s="4">
        <v>75.7</v>
      </c>
      <c r="K43" s="4">
        <v>2.72</v>
      </c>
      <c r="L43" s="4">
        <v>122.6666666666667</v>
      </c>
      <c r="M43" s="4">
        <v>242.9</v>
      </c>
      <c r="N43" s="4">
        <v>137.375</v>
      </c>
      <c r="O43" s="4">
        <v>76.275000000000006</v>
      </c>
      <c r="P43" s="4">
        <v>180</v>
      </c>
      <c r="Q43" s="4">
        <v>249</v>
      </c>
      <c r="R43" s="4">
        <v>249</v>
      </c>
      <c r="S43" s="4" t="str" cm="1">
        <f t="array" ref="S43">_xlfn.IFS($R43&lt;=50,"Good",$R43&lt;=100,"Moderate",$R43&lt;=200,"Poor",$R43&lt;=300,"Very Poor",$R43&lt;=500,"Hazardous")</f>
        <v>Very Poor</v>
      </c>
      <c r="T43" t="s">
        <v>29</v>
      </c>
      <c r="X43" s="2"/>
      <c r="Y43" s="2"/>
    </row>
    <row r="44" spans="1:25" x14ac:dyDescent="0.3">
      <c r="A44" s="2">
        <v>45300</v>
      </c>
      <c r="B44" t="s">
        <v>22</v>
      </c>
      <c r="C44" s="4">
        <v>191.1</v>
      </c>
      <c r="D44" s="4">
        <v>108.7</v>
      </c>
      <c r="E44" s="4">
        <v>42.9</v>
      </c>
      <c r="F44" s="4">
        <v>7.6</v>
      </c>
      <c r="G44" s="4">
        <v>1</v>
      </c>
      <c r="H44" s="4">
        <v>1.34</v>
      </c>
      <c r="I44" s="4">
        <v>14.7</v>
      </c>
      <c r="J44" s="4">
        <v>62.7</v>
      </c>
      <c r="K44" s="4">
        <v>2.91</v>
      </c>
      <c r="L44" s="4">
        <v>318.5</v>
      </c>
      <c r="M44" s="4">
        <v>108.7</v>
      </c>
      <c r="N44" s="4">
        <v>53.625</v>
      </c>
      <c r="O44" s="4">
        <v>19</v>
      </c>
      <c r="P44" s="4">
        <v>2.5</v>
      </c>
      <c r="Q44" s="4">
        <v>67</v>
      </c>
      <c r="R44" s="4">
        <v>318</v>
      </c>
      <c r="S44" s="4" t="str" cm="1">
        <f t="array" ref="S44">_xlfn.IFS($R44&lt;=50,"Good",$R44&lt;=100,"Moderate",$R44&lt;=200,"Poor",$R44&lt;=300,"Very Poor",$R44&lt;=500,"Hazardous")</f>
        <v>Hazardous</v>
      </c>
      <c r="T44" t="s">
        <v>25</v>
      </c>
      <c r="X44" s="2"/>
      <c r="Y44" s="2"/>
    </row>
    <row r="45" spans="1:25" x14ac:dyDescent="0.3">
      <c r="A45" s="2">
        <v>45300</v>
      </c>
      <c r="B45" t="s">
        <v>23</v>
      </c>
      <c r="C45" s="4">
        <v>186.1</v>
      </c>
      <c r="D45" s="4">
        <v>283.2</v>
      </c>
      <c r="E45" s="4">
        <v>53.5</v>
      </c>
      <c r="F45" s="4">
        <v>5.61</v>
      </c>
      <c r="G45" s="4">
        <v>47.1</v>
      </c>
      <c r="H45" s="4">
        <v>0.65</v>
      </c>
      <c r="I45" s="4">
        <v>32.799999999999997</v>
      </c>
      <c r="J45" s="4">
        <v>81.2</v>
      </c>
      <c r="K45" s="4">
        <v>1.94</v>
      </c>
      <c r="L45" s="4">
        <v>310.16666666666657</v>
      </c>
      <c r="M45" s="4">
        <v>283.2</v>
      </c>
      <c r="N45" s="4">
        <v>66.875</v>
      </c>
      <c r="O45" s="4">
        <v>14.025</v>
      </c>
      <c r="P45" s="4">
        <v>117.75</v>
      </c>
      <c r="Q45" s="4">
        <v>32.5</v>
      </c>
      <c r="R45" s="4">
        <v>310</v>
      </c>
      <c r="S45" s="4" t="str" cm="1">
        <f t="array" ref="S45">_xlfn.IFS($R45&lt;=50,"Good",$R45&lt;=100,"Moderate",$R45&lt;=200,"Poor",$R45&lt;=300,"Very Poor",$R45&lt;=500,"Hazardous")</f>
        <v>Hazardous</v>
      </c>
      <c r="T45" t="s">
        <v>25</v>
      </c>
      <c r="X45" s="2"/>
      <c r="Y45" s="2"/>
    </row>
    <row r="46" spans="1:25" x14ac:dyDescent="0.3">
      <c r="A46" s="2">
        <v>45300</v>
      </c>
      <c r="B46" t="s">
        <v>24</v>
      </c>
      <c r="C46" s="4">
        <v>15.1</v>
      </c>
      <c r="D46" s="4">
        <v>354.2</v>
      </c>
      <c r="E46" s="4">
        <v>75.2</v>
      </c>
      <c r="F46" s="4">
        <v>24.97</v>
      </c>
      <c r="G46" s="4">
        <v>1</v>
      </c>
      <c r="H46" s="4">
        <v>1.48</v>
      </c>
      <c r="I46" s="4">
        <v>20</v>
      </c>
      <c r="J46" s="4">
        <v>60.8</v>
      </c>
      <c r="K46" s="4">
        <v>2.46</v>
      </c>
      <c r="L46" s="4">
        <v>25.166666666666671</v>
      </c>
      <c r="M46" s="4">
        <v>354.2</v>
      </c>
      <c r="N46" s="4">
        <v>94</v>
      </c>
      <c r="O46" s="4">
        <v>62.424999999999997</v>
      </c>
      <c r="P46" s="4">
        <v>2.5</v>
      </c>
      <c r="Q46" s="4">
        <v>74</v>
      </c>
      <c r="R46" s="4">
        <v>354</v>
      </c>
      <c r="S46" s="4" t="str" cm="1">
        <f t="array" ref="S46">_xlfn.IFS($R46&lt;=50,"Good",$R46&lt;=100,"Moderate",$R46&lt;=200,"Poor",$R46&lt;=300,"Very Poor",$R46&lt;=500,"Hazardous")</f>
        <v>Hazardous</v>
      </c>
      <c r="T46" t="s">
        <v>28</v>
      </c>
      <c r="X46" s="2"/>
      <c r="Y46" s="2"/>
    </row>
    <row r="47" spans="1:25" x14ac:dyDescent="0.3">
      <c r="A47" s="2">
        <v>45301</v>
      </c>
      <c r="B47" t="s">
        <v>20</v>
      </c>
      <c r="C47" s="4">
        <v>144.80000000000001</v>
      </c>
      <c r="D47" s="4">
        <v>102.9</v>
      </c>
      <c r="E47" s="4">
        <v>77.599999999999994</v>
      </c>
      <c r="F47" s="4">
        <v>15.83</v>
      </c>
      <c r="G47" s="4">
        <v>54.7</v>
      </c>
      <c r="H47" s="4">
        <v>2.99</v>
      </c>
      <c r="I47" s="4">
        <v>12.1</v>
      </c>
      <c r="J47" s="4">
        <v>32.4</v>
      </c>
      <c r="K47" s="4">
        <v>4.03</v>
      </c>
      <c r="L47" s="4">
        <v>241.33333333333329</v>
      </c>
      <c r="M47" s="4">
        <v>102.9</v>
      </c>
      <c r="N47" s="4">
        <v>96.999999999999986</v>
      </c>
      <c r="O47" s="4">
        <v>39.575000000000003</v>
      </c>
      <c r="P47" s="4">
        <v>136.75</v>
      </c>
      <c r="Q47" s="4">
        <v>149.5</v>
      </c>
      <c r="R47" s="4">
        <v>241</v>
      </c>
      <c r="S47" s="4" t="str" cm="1">
        <f t="array" ref="S47">_xlfn.IFS($R47&lt;=50,"Good",$R47&lt;=100,"Moderate",$R47&lt;=200,"Poor",$R47&lt;=300,"Very Poor",$R47&lt;=500,"Hazardous")</f>
        <v>Very Poor</v>
      </c>
      <c r="T47" t="s">
        <v>25</v>
      </c>
      <c r="X47" s="2"/>
      <c r="Y47" s="2"/>
    </row>
    <row r="48" spans="1:25" x14ac:dyDescent="0.3">
      <c r="A48" s="2">
        <v>45301</v>
      </c>
      <c r="B48" t="s">
        <v>21</v>
      </c>
      <c r="C48" s="4">
        <v>139.9</v>
      </c>
      <c r="D48" s="4">
        <v>150.19999999999999</v>
      </c>
      <c r="E48" s="4">
        <v>152</v>
      </c>
      <c r="F48" s="4">
        <v>17.16</v>
      </c>
      <c r="G48" s="4">
        <v>78.2</v>
      </c>
      <c r="H48" s="4">
        <v>2.48</v>
      </c>
      <c r="I48" s="4">
        <v>34.4</v>
      </c>
      <c r="J48" s="4">
        <v>91.6</v>
      </c>
      <c r="K48" s="4">
        <v>2.2000000000000002</v>
      </c>
      <c r="L48" s="4">
        <v>233.16666666666671</v>
      </c>
      <c r="M48" s="4">
        <v>150.19999999999999</v>
      </c>
      <c r="N48" s="4">
        <v>190</v>
      </c>
      <c r="O48" s="4">
        <v>42.9</v>
      </c>
      <c r="P48" s="4">
        <v>195.5</v>
      </c>
      <c r="Q48" s="4">
        <v>124</v>
      </c>
      <c r="R48" s="4">
        <v>233</v>
      </c>
      <c r="S48" s="4" t="str" cm="1">
        <f t="array" ref="S48">_xlfn.IFS($R48&lt;=50,"Good",$R48&lt;=100,"Moderate",$R48&lt;=200,"Poor",$R48&lt;=300,"Very Poor",$R48&lt;=500,"Hazardous")</f>
        <v>Very Poor</v>
      </c>
      <c r="T48" t="s">
        <v>25</v>
      </c>
      <c r="X48" s="2"/>
      <c r="Y48" s="2"/>
    </row>
    <row r="49" spans="1:25" x14ac:dyDescent="0.3">
      <c r="A49" s="2">
        <v>45301</v>
      </c>
      <c r="B49" t="s">
        <v>22</v>
      </c>
      <c r="C49" s="4">
        <v>135.5</v>
      </c>
      <c r="D49" s="4">
        <v>241.3</v>
      </c>
      <c r="E49" s="4">
        <v>110</v>
      </c>
      <c r="F49" s="4">
        <v>4.83</v>
      </c>
      <c r="G49" s="4">
        <v>48.9</v>
      </c>
      <c r="H49" s="4">
        <v>2.79</v>
      </c>
      <c r="I49" s="4">
        <v>7.7</v>
      </c>
      <c r="J49" s="4">
        <v>38.700000000000003</v>
      </c>
      <c r="K49" s="4">
        <v>0.2</v>
      </c>
      <c r="L49" s="4">
        <v>225.83333333333329</v>
      </c>
      <c r="M49" s="4">
        <v>241.3</v>
      </c>
      <c r="N49" s="4">
        <v>137.5</v>
      </c>
      <c r="O49" s="4">
        <v>12.074999999999999</v>
      </c>
      <c r="P49" s="4">
        <v>122.25</v>
      </c>
      <c r="Q49" s="4">
        <v>139.5</v>
      </c>
      <c r="R49" s="4">
        <v>241</v>
      </c>
      <c r="S49" s="4" t="str" cm="1">
        <f t="array" ref="S49">_xlfn.IFS($R49&lt;=50,"Good",$R49&lt;=100,"Moderate",$R49&lt;=200,"Poor",$R49&lt;=300,"Very Poor",$R49&lt;=500,"Hazardous")</f>
        <v>Very Poor</v>
      </c>
      <c r="T49" t="s">
        <v>28</v>
      </c>
      <c r="X49" s="2"/>
      <c r="Y49" s="2"/>
    </row>
    <row r="50" spans="1:25" x14ac:dyDescent="0.3">
      <c r="A50" s="2">
        <v>45301</v>
      </c>
      <c r="B50" t="s">
        <v>23</v>
      </c>
      <c r="C50" s="4">
        <v>83.1</v>
      </c>
      <c r="D50" s="4">
        <v>260.89999999999998</v>
      </c>
      <c r="E50" s="4">
        <v>120.1</v>
      </c>
      <c r="F50" s="4">
        <v>13.39</v>
      </c>
      <c r="G50" s="4">
        <v>72.599999999999994</v>
      </c>
      <c r="H50" s="4">
        <v>0.6</v>
      </c>
      <c r="I50" s="4">
        <v>8.1</v>
      </c>
      <c r="J50" s="4">
        <v>59</v>
      </c>
      <c r="K50" s="4">
        <v>2.96</v>
      </c>
      <c r="L50" s="4">
        <v>138.5</v>
      </c>
      <c r="M50" s="4">
        <v>260.89999999999998</v>
      </c>
      <c r="N50" s="4">
        <v>150.125</v>
      </c>
      <c r="O50" s="4">
        <v>33.475000000000001</v>
      </c>
      <c r="P50" s="4">
        <v>181.5</v>
      </c>
      <c r="Q50" s="4">
        <v>30</v>
      </c>
      <c r="R50" s="4">
        <v>261</v>
      </c>
      <c r="S50" s="4" t="str" cm="1">
        <f t="array" ref="S50">_xlfn.IFS($R50&lt;=50,"Good",$R50&lt;=100,"Moderate",$R50&lt;=200,"Poor",$R50&lt;=300,"Very Poor",$R50&lt;=500,"Hazardous")</f>
        <v>Very Poor</v>
      </c>
      <c r="T50" t="s">
        <v>28</v>
      </c>
      <c r="X50" s="2"/>
      <c r="Y50" s="2"/>
    </row>
    <row r="51" spans="1:25" x14ac:dyDescent="0.3">
      <c r="A51" s="2">
        <v>45301</v>
      </c>
      <c r="B51" t="s">
        <v>24</v>
      </c>
      <c r="C51" s="4">
        <v>103.9</v>
      </c>
      <c r="D51" s="4">
        <v>5</v>
      </c>
      <c r="E51" s="4">
        <v>76.099999999999994</v>
      </c>
      <c r="F51" s="4">
        <v>2.6</v>
      </c>
      <c r="G51" s="4">
        <v>56.2</v>
      </c>
      <c r="H51" s="4">
        <v>2.5</v>
      </c>
      <c r="I51" s="4">
        <v>13.4</v>
      </c>
      <c r="J51" s="4">
        <v>50.8</v>
      </c>
      <c r="K51" s="4">
        <v>1.73</v>
      </c>
      <c r="L51" s="4">
        <v>173.16666666666671</v>
      </c>
      <c r="M51" s="4">
        <v>5</v>
      </c>
      <c r="N51" s="4">
        <v>95.124999999999986</v>
      </c>
      <c r="O51" s="4">
        <v>6.5000000000000009</v>
      </c>
      <c r="P51" s="4">
        <v>140.5</v>
      </c>
      <c r="Q51" s="4">
        <v>125</v>
      </c>
      <c r="R51" s="4">
        <v>173</v>
      </c>
      <c r="S51" s="4" t="str" cm="1">
        <f t="array" ref="S51">_xlfn.IFS($R51&lt;=50,"Good",$R51&lt;=100,"Moderate",$R51&lt;=200,"Poor",$R51&lt;=300,"Very Poor",$R51&lt;=500,"Hazardous")</f>
        <v>Poor</v>
      </c>
      <c r="T51" t="s">
        <v>25</v>
      </c>
      <c r="X51" s="2"/>
      <c r="Y51" s="2"/>
    </row>
    <row r="52" spans="1:25" x14ac:dyDescent="0.3">
      <c r="A52" s="2">
        <v>45302</v>
      </c>
      <c r="B52" t="s">
        <v>20</v>
      </c>
      <c r="C52" s="4">
        <v>106.9</v>
      </c>
      <c r="D52" s="4">
        <v>326.2</v>
      </c>
      <c r="E52" s="4">
        <v>46.5</v>
      </c>
      <c r="F52" s="4">
        <v>19.36</v>
      </c>
      <c r="G52" s="4">
        <v>27.7</v>
      </c>
      <c r="H52" s="4">
        <v>1.33</v>
      </c>
      <c r="I52" s="4">
        <v>19.3</v>
      </c>
      <c r="J52" s="4">
        <v>41.4</v>
      </c>
      <c r="K52" s="4">
        <v>1.84</v>
      </c>
      <c r="L52" s="4">
        <v>178.16666666666671</v>
      </c>
      <c r="M52" s="4">
        <v>326.2</v>
      </c>
      <c r="N52" s="4">
        <v>58.125</v>
      </c>
      <c r="O52" s="4">
        <v>48.4</v>
      </c>
      <c r="P52" s="4">
        <v>69.249999999999986</v>
      </c>
      <c r="Q52" s="4">
        <v>66.5</v>
      </c>
      <c r="R52" s="4">
        <v>326</v>
      </c>
      <c r="S52" s="4" t="str" cm="1">
        <f t="array" ref="S52">_xlfn.IFS($R52&lt;=50,"Good",$R52&lt;=100,"Moderate",$R52&lt;=200,"Poor",$R52&lt;=300,"Very Poor",$R52&lt;=500,"Hazardous")</f>
        <v>Hazardous</v>
      </c>
      <c r="T52" t="s">
        <v>28</v>
      </c>
      <c r="X52" s="2"/>
      <c r="Y52" s="2"/>
    </row>
    <row r="53" spans="1:25" x14ac:dyDescent="0.3">
      <c r="A53" s="2">
        <v>45302</v>
      </c>
      <c r="B53" t="s">
        <v>21</v>
      </c>
      <c r="C53" s="4">
        <v>48.1</v>
      </c>
      <c r="D53" s="4">
        <v>475.8</v>
      </c>
      <c r="E53" s="4">
        <v>91.4</v>
      </c>
      <c r="F53" s="4">
        <v>9</v>
      </c>
      <c r="G53" s="4">
        <v>51</v>
      </c>
      <c r="H53" s="4">
        <v>2.27</v>
      </c>
      <c r="I53" s="4">
        <v>18.5</v>
      </c>
      <c r="J53" s="4">
        <v>71.099999999999994</v>
      </c>
      <c r="K53" s="4">
        <v>3.41</v>
      </c>
      <c r="L53" s="4">
        <v>80.166666666666657</v>
      </c>
      <c r="M53" s="4">
        <v>475.8</v>
      </c>
      <c r="N53" s="4">
        <v>114.25</v>
      </c>
      <c r="O53" s="4">
        <v>22.5</v>
      </c>
      <c r="P53" s="4">
        <v>127.5</v>
      </c>
      <c r="Q53" s="4">
        <v>113.5</v>
      </c>
      <c r="R53" s="4">
        <v>476</v>
      </c>
      <c r="S53" s="4" t="str" cm="1">
        <f t="array" ref="S53">_xlfn.IFS($R53&lt;=50,"Good",$R53&lt;=100,"Moderate",$R53&lt;=200,"Poor",$R53&lt;=300,"Very Poor",$R53&lt;=500,"Hazardous")</f>
        <v>Hazardous</v>
      </c>
      <c r="T53" t="s">
        <v>28</v>
      </c>
      <c r="X53" s="2"/>
      <c r="Y53" s="2"/>
    </row>
    <row r="54" spans="1:25" x14ac:dyDescent="0.3">
      <c r="A54" s="2">
        <v>45302</v>
      </c>
      <c r="B54" t="s">
        <v>22</v>
      </c>
      <c r="C54" s="4">
        <v>67</v>
      </c>
      <c r="D54" s="4">
        <v>129.9</v>
      </c>
      <c r="E54" s="4">
        <v>60</v>
      </c>
      <c r="F54" s="4">
        <v>0.5</v>
      </c>
      <c r="G54" s="4">
        <v>1.8</v>
      </c>
      <c r="H54" s="4">
        <v>3.07</v>
      </c>
      <c r="I54" s="4">
        <v>31.5</v>
      </c>
      <c r="J54" s="4">
        <v>55.5</v>
      </c>
      <c r="K54" s="4">
        <v>3.19</v>
      </c>
      <c r="L54" s="4">
        <v>111.6666666666667</v>
      </c>
      <c r="M54" s="4">
        <v>129.9</v>
      </c>
      <c r="N54" s="4">
        <v>75</v>
      </c>
      <c r="O54" s="4">
        <v>1.25</v>
      </c>
      <c r="P54" s="4">
        <v>4.5000000000000009</v>
      </c>
      <c r="Q54" s="4">
        <v>153.5</v>
      </c>
      <c r="R54" s="4">
        <v>154</v>
      </c>
      <c r="S54" s="4" t="str" cm="1">
        <f t="array" ref="S54">_xlfn.IFS($R54&lt;=50,"Good",$R54&lt;=100,"Moderate",$R54&lt;=200,"Poor",$R54&lt;=300,"Very Poor",$R54&lt;=500,"Hazardous")</f>
        <v>Poor</v>
      </c>
      <c r="T54" t="s">
        <v>29</v>
      </c>
      <c r="X54" s="2"/>
      <c r="Y54" s="2"/>
    </row>
    <row r="55" spans="1:25" x14ac:dyDescent="0.3">
      <c r="A55" s="2">
        <v>45302</v>
      </c>
      <c r="B55" t="s">
        <v>23</v>
      </c>
      <c r="C55" s="4">
        <v>110.9</v>
      </c>
      <c r="D55" s="4">
        <v>487.6</v>
      </c>
      <c r="E55" s="4">
        <v>107.8</v>
      </c>
      <c r="F55" s="4">
        <v>11.78</v>
      </c>
      <c r="G55" s="4">
        <v>14.5</v>
      </c>
      <c r="H55" s="4">
        <v>0.38</v>
      </c>
      <c r="I55" s="4">
        <v>21.4</v>
      </c>
      <c r="J55" s="4">
        <v>46.4</v>
      </c>
      <c r="K55" s="4">
        <v>0.79</v>
      </c>
      <c r="L55" s="4">
        <v>184.83333333333329</v>
      </c>
      <c r="M55" s="4">
        <v>487.6</v>
      </c>
      <c r="N55" s="4">
        <v>134.75</v>
      </c>
      <c r="O55" s="4">
        <v>29.45</v>
      </c>
      <c r="P55" s="4">
        <v>36.25</v>
      </c>
      <c r="Q55" s="4">
        <v>19</v>
      </c>
      <c r="R55" s="4">
        <v>488</v>
      </c>
      <c r="S55" s="4" t="str" cm="1">
        <f t="array" ref="S55">_xlfn.IFS($R55&lt;=50,"Good",$R55&lt;=100,"Moderate",$R55&lt;=200,"Poor",$R55&lt;=300,"Very Poor",$R55&lt;=500,"Hazardous")</f>
        <v>Hazardous</v>
      </c>
      <c r="T55" t="s">
        <v>28</v>
      </c>
      <c r="X55" s="2"/>
      <c r="Y55" s="2"/>
    </row>
    <row r="56" spans="1:25" x14ac:dyDescent="0.3">
      <c r="A56" s="2">
        <v>45302</v>
      </c>
      <c r="B56" t="s">
        <v>24</v>
      </c>
      <c r="C56" s="4">
        <v>71.5</v>
      </c>
      <c r="D56" s="4">
        <v>97</v>
      </c>
      <c r="E56" s="4">
        <v>138.6</v>
      </c>
      <c r="F56" s="4">
        <v>21.84</v>
      </c>
      <c r="G56" s="4">
        <v>39.4</v>
      </c>
      <c r="H56" s="4">
        <v>3.67</v>
      </c>
      <c r="I56" s="4">
        <v>20.5</v>
      </c>
      <c r="J56" s="4">
        <v>44.5</v>
      </c>
      <c r="K56" s="4">
        <v>4.83</v>
      </c>
      <c r="L56" s="4">
        <v>119.1666666666667</v>
      </c>
      <c r="M56" s="4">
        <v>97</v>
      </c>
      <c r="N56" s="4">
        <v>173.25</v>
      </c>
      <c r="O56" s="4">
        <v>54.6</v>
      </c>
      <c r="P56" s="4">
        <v>98.499999999999986</v>
      </c>
      <c r="Q56" s="4">
        <v>183.5</v>
      </c>
      <c r="R56" s="4">
        <v>184</v>
      </c>
      <c r="S56" s="4" t="str" cm="1">
        <f t="array" ref="S56">_xlfn.IFS($R56&lt;=50,"Good",$R56&lt;=100,"Moderate",$R56&lt;=200,"Poor",$R56&lt;=300,"Very Poor",$R56&lt;=500,"Hazardous")</f>
        <v>Poor</v>
      </c>
      <c r="T56" t="s">
        <v>29</v>
      </c>
      <c r="X56" s="2"/>
      <c r="Y56" s="2"/>
    </row>
    <row r="57" spans="1:25" x14ac:dyDescent="0.3">
      <c r="A57" s="2">
        <v>45303</v>
      </c>
      <c r="B57" t="s">
        <v>20</v>
      </c>
      <c r="C57" s="4">
        <v>140.1</v>
      </c>
      <c r="D57" s="4">
        <v>106.3</v>
      </c>
      <c r="E57" s="4">
        <v>75.8</v>
      </c>
      <c r="F57" s="4">
        <v>6.66</v>
      </c>
      <c r="G57" s="4">
        <v>5.6</v>
      </c>
      <c r="H57" s="4">
        <v>3.23</v>
      </c>
      <c r="I57" s="4">
        <v>33.4</v>
      </c>
      <c r="J57" s="4">
        <v>34.799999999999997</v>
      </c>
      <c r="K57" s="4">
        <v>3.18</v>
      </c>
      <c r="L57" s="4">
        <v>233.5</v>
      </c>
      <c r="M57" s="4">
        <v>106.3</v>
      </c>
      <c r="N57" s="4">
        <v>94.75</v>
      </c>
      <c r="O57" s="4">
        <v>16.649999999999999</v>
      </c>
      <c r="P57" s="4">
        <v>14</v>
      </c>
      <c r="Q57" s="4">
        <v>161.5</v>
      </c>
      <c r="R57" s="4">
        <v>233</v>
      </c>
      <c r="S57" s="4" t="str" cm="1">
        <f t="array" ref="S57">_xlfn.IFS($R57&lt;=50,"Good",$R57&lt;=100,"Moderate",$R57&lt;=200,"Poor",$R57&lt;=300,"Very Poor",$R57&lt;=500,"Hazardous")</f>
        <v>Very Poor</v>
      </c>
      <c r="T57" t="s">
        <v>25</v>
      </c>
      <c r="X57" s="2"/>
      <c r="Y57" s="2"/>
    </row>
    <row r="58" spans="1:25" x14ac:dyDescent="0.3">
      <c r="A58" s="2">
        <v>45303</v>
      </c>
      <c r="B58" t="s">
        <v>21</v>
      </c>
      <c r="C58" s="4">
        <v>81</v>
      </c>
      <c r="D58" s="4">
        <v>181.5</v>
      </c>
      <c r="E58" s="4">
        <v>66.3</v>
      </c>
      <c r="F58" s="4">
        <v>7.36</v>
      </c>
      <c r="G58" s="4">
        <v>46.4</v>
      </c>
      <c r="H58" s="4">
        <v>1.4</v>
      </c>
      <c r="I58" s="4">
        <v>21.9</v>
      </c>
      <c r="J58" s="4">
        <v>59.1</v>
      </c>
      <c r="K58" s="4">
        <v>2.21</v>
      </c>
      <c r="L58" s="4">
        <v>135</v>
      </c>
      <c r="M58" s="4">
        <v>181.5</v>
      </c>
      <c r="N58" s="4">
        <v>82.874999999999986</v>
      </c>
      <c r="O58" s="4">
        <v>18.399999999999999</v>
      </c>
      <c r="P58" s="4">
        <v>116</v>
      </c>
      <c r="Q58" s="4">
        <v>69.999999999999986</v>
      </c>
      <c r="R58" s="4">
        <v>182</v>
      </c>
      <c r="S58" s="4" t="str" cm="1">
        <f t="array" ref="S58">_xlfn.IFS($R58&lt;=50,"Good",$R58&lt;=100,"Moderate",$R58&lt;=200,"Poor",$R58&lt;=300,"Very Poor",$R58&lt;=500,"Hazardous")</f>
        <v>Poor</v>
      </c>
      <c r="T58" t="s">
        <v>28</v>
      </c>
      <c r="X58" s="2"/>
      <c r="Y58" s="2"/>
    </row>
    <row r="59" spans="1:25" x14ac:dyDescent="0.3">
      <c r="A59" s="2">
        <v>45303</v>
      </c>
      <c r="B59" t="s">
        <v>22</v>
      </c>
      <c r="C59" s="4">
        <v>49.8</v>
      </c>
      <c r="D59" s="4">
        <v>129.80000000000001</v>
      </c>
      <c r="E59" s="4">
        <v>91.4</v>
      </c>
      <c r="F59" s="4">
        <v>15.97</v>
      </c>
      <c r="G59" s="4">
        <v>13.3</v>
      </c>
      <c r="H59" s="4">
        <v>1.91</v>
      </c>
      <c r="I59" s="4">
        <v>25.3</v>
      </c>
      <c r="J59" s="4">
        <v>30</v>
      </c>
      <c r="K59" s="4">
        <v>3.15</v>
      </c>
      <c r="L59" s="4">
        <v>82.999999999999986</v>
      </c>
      <c r="M59" s="4">
        <v>129.80000000000001</v>
      </c>
      <c r="N59" s="4">
        <v>114.25</v>
      </c>
      <c r="O59" s="4">
        <v>39.924999999999997</v>
      </c>
      <c r="P59" s="4">
        <v>33.25</v>
      </c>
      <c r="Q59" s="4">
        <v>95.5</v>
      </c>
      <c r="R59" s="4">
        <v>130</v>
      </c>
      <c r="S59" s="4" t="str" cm="1">
        <f t="array" ref="S59">_xlfn.IFS($R59&lt;=50,"Good",$R59&lt;=100,"Moderate",$R59&lt;=200,"Poor",$R59&lt;=300,"Very Poor",$R59&lt;=500,"Hazardous")</f>
        <v>Poor</v>
      </c>
      <c r="T59" t="s">
        <v>28</v>
      </c>
      <c r="X59" s="2"/>
      <c r="Y59" s="2"/>
    </row>
    <row r="60" spans="1:25" x14ac:dyDescent="0.3">
      <c r="A60" s="2">
        <v>45303</v>
      </c>
      <c r="B60" t="s">
        <v>23</v>
      </c>
      <c r="C60" s="4">
        <v>64.2</v>
      </c>
      <c r="D60" s="4">
        <v>246.8</v>
      </c>
      <c r="E60" s="4">
        <v>47.6</v>
      </c>
      <c r="F60" s="4">
        <v>0.5</v>
      </c>
      <c r="G60" s="4">
        <v>1</v>
      </c>
      <c r="H60" s="4">
        <v>1.97</v>
      </c>
      <c r="I60" s="4">
        <v>21.8</v>
      </c>
      <c r="J60" s="4">
        <v>43.7</v>
      </c>
      <c r="K60" s="4">
        <v>3.27</v>
      </c>
      <c r="L60" s="4">
        <v>107</v>
      </c>
      <c r="M60" s="4">
        <v>246.8</v>
      </c>
      <c r="N60" s="4">
        <v>59.500000000000007</v>
      </c>
      <c r="O60" s="4">
        <v>1.25</v>
      </c>
      <c r="P60" s="4">
        <v>2.5</v>
      </c>
      <c r="Q60" s="4">
        <v>98.5</v>
      </c>
      <c r="R60" s="4">
        <v>247</v>
      </c>
      <c r="S60" s="4" t="str" cm="1">
        <f t="array" ref="S60">_xlfn.IFS($R60&lt;=50,"Good",$R60&lt;=100,"Moderate",$R60&lt;=200,"Poor",$R60&lt;=300,"Very Poor",$R60&lt;=500,"Hazardous")</f>
        <v>Very Poor</v>
      </c>
      <c r="T60" t="s">
        <v>28</v>
      </c>
      <c r="X60" s="2"/>
      <c r="Y60" s="2"/>
    </row>
    <row r="61" spans="1:25" x14ac:dyDescent="0.3">
      <c r="A61" s="2">
        <v>45303</v>
      </c>
      <c r="B61" t="s">
        <v>24</v>
      </c>
      <c r="C61" s="4">
        <v>17.899999999999999</v>
      </c>
      <c r="D61" s="4">
        <v>204.2</v>
      </c>
      <c r="E61" s="4">
        <v>36.6</v>
      </c>
      <c r="F61" s="4">
        <v>8.34</v>
      </c>
      <c r="G61" s="4">
        <v>40.799999999999997</v>
      </c>
      <c r="H61" s="4">
        <v>1.2</v>
      </c>
      <c r="I61" s="4">
        <v>17.3</v>
      </c>
      <c r="J61" s="4">
        <v>78.099999999999994</v>
      </c>
      <c r="K61" s="4">
        <v>2.31</v>
      </c>
      <c r="L61" s="4">
        <v>29.833333333333329</v>
      </c>
      <c r="M61" s="4">
        <v>204.2</v>
      </c>
      <c r="N61" s="4">
        <v>45.75</v>
      </c>
      <c r="O61" s="4">
        <v>20.85</v>
      </c>
      <c r="P61" s="4">
        <v>102</v>
      </c>
      <c r="Q61" s="4">
        <v>60</v>
      </c>
      <c r="R61" s="4">
        <v>204</v>
      </c>
      <c r="S61" s="4" t="str" cm="1">
        <f t="array" ref="S61">_xlfn.IFS($R61&lt;=50,"Good",$R61&lt;=100,"Moderate",$R61&lt;=200,"Poor",$R61&lt;=300,"Very Poor",$R61&lt;=500,"Hazardous")</f>
        <v>Very Poor</v>
      </c>
      <c r="T61" t="s">
        <v>28</v>
      </c>
      <c r="X61" s="2"/>
      <c r="Y61" s="2"/>
    </row>
    <row r="62" spans="1:25" x14ac:dyDescent="0.3">
      <c r="A62" s="2">
        <v>45304</v>
      </c>
      <c r="B62" t="s">
        <v>20</v>
      </c>
      <c r="C62" s="4">
        <v>156.5</v>
      </c>
      <c r="D62" s="4">
        <v>96.1</v>
      </c>
      <c r="E62" s="4">
        <v>102.3</v>
      </c>
      <c r="F62" s="4">
        <v>27.98</v>
      </c>
      <c r="G62" s="4">
        <v>1</v>
      </c>
      <c r="H62" s="4">
        <v>1.33</v>
      </c>
      <c r="I62" s="4">
        <v>24</v>
      </c>
      <c r="J62" s="4">
        <v>56.3</v>
      </c>
      <c r="K62" s="4">
        <v>2.95</v>
      </c>
      <c r="L62" s="4">
        <v>260.83333333333331</v>
      </c>
      <c r="M62" s="4">
        <v>96.1</v>
      </c>
      <c r="N62" s="4">
        <v>127.875</v>
      </c>
      <c r="O62" s="4">
        <v>69.95</v>
      </c>
      <c r="P62" s="4">
        <v>2.5</v>
      </c>
      <c r="Q62" s="4">
        <v>66.5</v>
      </c>
      <c r="R62" s="4">
        <v>261</v>
      </c>
      <c r="S62" s="4" t="str" cm="1">
        <f t="array" ref="S62">_xlfn.IFS($R62&lt;=50,"Good",$R62&lt;=100,"Moderate",$R62&lt;=200,"Poor",$R62&lt;=300,"Very Poor",$R62&lt;=500,"Hazardous")</f>
        <v>Very Poor</v>
      </c>
      <c r="T62" t="s">
        <v>25</v>
      </c>
      <c r="X62" s="2"/>
      <c r="Y62" s="2"/>
    </row>
    <row r="63" spans="1:25" x14ac:dyDescent="0.3">
      <c r="A63" s="2">
        <v>45304</v>
      </c>
      <c r="B63" t="s">
        <v>21</v>
      </c>
      <c r="C63" s="4">
        <v>83.8</v>
      </c>
      <c r="D63" s="4">
        <v>250.4</v>
      </c>
      <c r="E63" s="4">
        <v>83.8</v>
      </c>
      <c r="F63" s="4">
        <v>27.68</v>
      </c>
      <c r="G63" s="4">
        <v>52.2</v>
      </c>
      <c r="H63" s="4">
        <v>2.81</v>
      </c>
      <c r="I63" s="4">
        <v>17.100000000000001</v>
      </c>
      <c r="J63" s="4">
        <v>51.2</v>
      </c>
      <c r="K63" s="4">
        <v>1.98</v>
      </c>
      <c r="L63" s="4">
        <v>139.66666666666671</v>
      </c>
      <c r="M63" s="4">
        <v>250.4</v>
      </c>
      <c r="N63" s="4">
        <v>104.75</v>
      </c>
      <c r="O63" s="4">
        <v>69.2</v>
      </c>
      <c r="P63" s="4">
        <v>130.5</v>
      </c>
      <c r="Q63" s="4">
        <v>140.5</v>
      </c>
      <c r="R63" s="4">
        <v>250</v>
      </c>
      <c r="S63" s="4" t="str" cm="1">
        <f t="array" ref="S63">_xlfn.IFS($R63&lt;=50,"Good",$R63&lt;=100,"Moderate",$R63&lt;=200,"Poor",$R63&lt;=300,"Very Poor",$R63&lt;=500,"Hazardous")</f>
        <v>Very Poor</v>
      </c>
      <c r="T63" t="s">
        <v>28</v>
      </c>
      <c r="X63" s="2"/>
      <c r="Y63" s="2"/>
    </row>
    <row r="64" spans="1:25" x14ac:dyDescent="0.3">
      <c r="A64" s="2">
        <v>45304</v>
      </c>
      <c r="B64" t="s">
        <v>22</v>
      </c>
      <c r="C64" s="4">
        <v>109.2</v>
      </c>
      <c r="D64" s="4">
        <v>144</v>
      </c>
      <c r="E64" s="4">
        <v>77.2</v>
      </c>
      <c r="F64" s="4">
        <v>27.93</v>
      </c>
      <c r="G64" s="4">
        <v>52.8</v>
      </c>
      <c r="H64" s="4">
        <v>1.53</v>
      </c>
      <c r="I64" s="4">
        <v>28.4</v>
      </c>
      <c r="J64" s="4">
        <v>52.7</v>
      </c>
      <c r="K64" s="4">
        <v>0.2</v>
      </c>
      <c r="L64" s="4">
        <v>182</v>
      </c>
      <c r="M64" s="4">
        <v>144</v>
      </c>
      <c r="N64" s="4">
        <v>96.5</v>
      </c>
      <c r="O64" s="4">
        <v>69.825000000000003</v>
      </c>
      <c r="P64" s="4">
        <v>132</v>
      </c>
      <c r="Q64" s="4">
        <v>76.5</v>
      </c>
      <c r="R64" s="4">
        <v>182</v>
      </c>
      <c r="S64" s="4" t="str" cm="1">
        <f t="array" ref="S64">_xlfn.IFS($R64&lt;=50,"Good",$R64&lt;=100,"Moderate",$R64&lt;=200,"Poor",$R64&lt;=300,"Very Poor",$R64&lt;=500,"Hazardous")</f>
        <v>Poor</v>
      </c>
      <c r="T64" t="s">
        <v>25</v>
      </c>
      <c r="X64" s="2"/>
      <c r="Y64" s="2"/>
    </row>
    <row r="65" spans="1:25" x14ac:dyDescent="0.3">
      <c r="A65" s="2">
        <v>45304</v>
      </c>
      <c r="B65" t="s">
        <v>23</v>
      </c>
      <c r="C65" s="4">
        <v>47.6</v>
      </c>
      <c r="D65" s="4">
        <v>12.4</v>
      </c>
      <c r="E65" s="4">
        <v>60.8</v>
      </c>
      <c r="F65" s="4">
        <v>12.95</v>
      </c>
      <c r="G65" s="4">
        <v>73.7</v>
      </c>
      <c r="H65" s="4">
        <v>2.23</v>
      </c>
      <c r="I65" s="4">
        <v>18.5</v>
      </c>
      <c r="J65" s="4">
        <v>74.900000000000006</v>
      </c>
      <c r="K65" s="4">
        <v>0.2</v>
      </c>
      <c r="L65" s="4">
        <v>79.333333333333343</v>
      </c>
      <c r="M65" s="4">
        <v>12.4</v>
      </c>
      <c r="N65" s="4">
        <v>76</v>
      </c>
      <c r="O65" s="4">
        <v>32.375</v>
      </c>
      <c r="P65" s="4">
        <v>184.25</v>
      </c>
      <c r="Q65" s="4">
        <v>111.5</v>
      </c>
      <c r="R65" s="4">
        <v>184</v>
      </c>
      <c r="S65" s="4" t="str" cm="1">
        <f t="array" ref="S65">_xlfn.IFS($R65&lt;=50,"Good",$R65&lt;=100,"Moderate",$R65&lt;=200,"Poor",$R65&lt;=300,"Very Poor",$R65&lt;=500,"Hazardous")</f>
        <v>Poor</v>
      </c>
      <c r="T65" t="s">
        <v>27</v>
      </c>
      <c r="X65" s="2"/>
      <c r="Y65" s="2"/>
    </row>
    <row r="66" spans="1:25" x14ac:dyDescent="0.3">
      <c r="A66" s="2">
        <v>45304</v>
      </c>
      <c r="B66" t="s">
        <v>24</v>
      </c>
      <c r="C66" s="4">
        <v>118</v>
      </c>
      <c r="D66" s="4">
        <v>292.60000000000002</v>
      </c>
      <c r="E66" s="4">
        <v>27.2</v>
      </c>
      <c r="F66" s="4">
        <v>24.15</v>
      </c>
      <c r="G66" s="4">
        <v>48</v>
      </c>
      <c r="H66" s="4">
        <v>1.67</v>
      </c>
      <c r="I66" s="4">
        <v>24.4</v>
      </c>
      <c r="J66" s="4">
        <v>100</v>
      </c>
      <c r="K66" s="4">
        <v>3.22</v>
      </c>
      <c r="L66" s="4">
        <v>196.66666666666671</v>
      </c>
      <c r="M66" s="4">
        <v>292.60000000000002</v>
      </c>
      <c r="N66" s="4">
        <v>34</v>
      </c>
      <c r="O66" s="4">
        <v>60.375</v>
      </c>
      <c r="P66" s="4">
        <v>120</v>
      </c>
      <c r="Q66" s="4">
        <v>83.499999999999986</v>
      </c>
      <c r="R66" s="4">
        <v>293</v>
      </c>
      <c r="S66" s="4" t="str" cm="1">
        <f t="array" ref="S66">_xlfn.IFS($R66&lt;=50,"Good",$R66&lt;=100,"Moderate",$R66&lt;=200,"Poor",$R66&lt;=300,"Very Poor",$R66&lt;=500,"Hazardous")</f>
        <v>Very Poor</v>
      </c>
      <c r="T66" t="s">
        <v>28</v>
      </c>
      <c r="X66" s="2"/>
      <c r="Y66" s="2"/>
    </row>
    <row r="67" spans="1:25" x14ac:dyDescent="0.3">
      <c r="A67" s="2">
        <v>45305</v>
      </c>
      <c r="B67" t="s">
        <v>20</v>
      </c>
      <c r="C67" s="4">
        <v>124.1</v>
      </c>
      <c r="D67" s="4">
        <v>170.1</v>
      </c>
      <c r="E67" s="4">
        <v>51.5</v>
      </c>
      <c r="F67" s="4">
        <v>22.36</v>
      </c>
      <c r="G67" s="4">
        <v>19.2</v>
      </c>
      <c r="H67" s="4">
        <v>2.29</v>
      </c>
      <c r="I67" s="4">
        <v>16.7</v>
      </c>
      <c r="J67" s="4">
        <v>68.599999999999994</v>
      </c>
      <c r="K67" s="4">
        <v>2.9</v>
      </c>
      <c r="L67" s="4">
        <v>206.83333333333329</v>
      </c>
      <c r="M67" s="4">
        <v>170.1</v>
      </c>
      <c r="N67" s="4">
        <v>64.375</v>
      </c>
      <c r="O67" s="4">
        <v>55.9</v>
      </c>
      <c r="P67" s="4">
        <v>48</v>
      </c>
      <c r="Q67" s="4">
        <v>114.5</v>
      </c>
      <c r="R67" s="4">
        <v>207</v>
      </c>
      <c r="S67" s="4" t="str" cm="1">
        <f t="array" ref="S67">_xlfn.IFS($R67&lt;=50,"Good",$R67&lt;=100,"Moderate",$R67&lt;=200,"Poor",$R67&lt;=300,"Very Poor",$R67&lt;=500,"Hazardous")</f>
        <v>Very Poor</v>
      </c>
      <c r="T67" t="s">
        <v>25</v>
      </c>
      <c r="X67" s="2"/>
      <c r="Y67" s="2"/>
    </row>
    <row r="68" spans="1:25" x14ac:dyDescent="0.3">
      <c r="A68" s="2">
        <v>45305</v>
      </c>
      <c r="B68" t="s">
        <v>21</v>
      </c>
      <c r="C68" s="4">
        <v>182.3</v>
      </c>
      <c r="D68" s="4">
        <v>178.8</v>
      </c>
      <c r="E68" s="4">
        <v>79.2</v>
      </c>
      <c r="F68" s="4">
        <v>6.21</v>
      </c>
      <c r="G68" s="4">
        <v>32.5</v>
      </c>
      <c r="H68" s="4">
        <v>2.85</v>
      </c>
      <c r="I68" s="4">
        <v>25.3</v>
      </c>
      <c r="J68" s="4">
        <v>43.4</v>
      </c>
      <c r="K68" s="4">
        <v>3.54</v>
      </c>
      <c r="L68" s="4">
        <v>303.83333333333343</v>
      </c>
      <c r="M68" s="4">
        <v>178.8</v>
      </c>
      <c r="N68" s="4">
        <v>99</v>
      </c>
      <c r="O68" s="4">
        <v>15.525</v>
      </c>
      <c r="P68" s="4">
        <v>81.25</v>
      </c>
      <c r="Q68" s="4">
        <v>142.5</v>
      </c>
      <c r="R68" s="4">
        <v>304</v>
      </c>
      <c r="S68" s="4" t="str" cm="1">
        <f t="array" ref="S68">_xlfn.IFS($R68&lt;=50,"Good",$R68&lt;=100,"Moderate",$R68&lt;=200,"Poor",$R68&lt;=300,"Very Poor",$R68&lt;=500,"Hazardous")</f>
        <v>Hazardous</v>
      </c>
      <c r="T68" t="s">
        <v>25</v>
      </c>
      <c r="X68" s="2"/>
      <c r="Y68" s="2"/>
    </row>
    <row r="69" spans="1:25" x14ac:dyDescent="0.3">
      <c r="A69" s="2">
        <v>45305</v>
      </c>
      <c r="B69" t="s">
        <v>22</v>
      </c>
      <c r="C69" s="4">
        <v>153</v>
      </c>
      <c r="D69" s="4">
        <v>220.1</v>
      </c>
      <c r="E69" s="4">
        <v>125.5</v>
      </c>
      <c r="F69" s="4">
        <v>6.28</v>
      </c>
      <c r="G69" s="4">
        <v>7.6</v>
      </c>
      <c r="H69" s="4">
        <v>0.2</v>
      </c>
      <c r="I69" s="4">
        <v>30.5</v>
      </c>
      <c r="J69" s="4">
        <v>71.8</v>
      </c>
      <c r="K69" s="4">
        <v>2.4300000000000002</v>
      </c>
      <c r="L69" s="4">
        <v>255</v>
      </c>
      <c r="M69" s="4">
        <v>220.1</v>
      </c>
      <c r="N69" s="4">
        <v>156.875</v>
      </c>
      <c r="O69" s="4">
        <v>15.7</v>
      </c>
      <c r="P69" s="4">
        <v>19</v>
      </c>
      <c r="Q69" s="4">
        <v>10</v>
      </c>
      <c r="R69" s="4">
        <v>255</v>
      </c>
      <c r="S69" s="4" t="str" cm="1">
        <f t="array" ref="S69">_xlfn.IFS($R69&lt;=50,"Good",$R69&lt;=100,"Moderate",$R69&lt;=200,"Poor",$R69&lt;=300,"Very Poor",$R69&lt;=500,"Hazardous")</f>
        <v>Very Poor</v>
      </c>
      <c r="T69" t="s">
        <v>25</v>
      </c>
      <c r="X69" s="2"/>
      <c r="Y69" s="2"/>
    </row>
    <row r="70" spans="1:25" x14ac:dyDescent="0.3">
      <c r="A70" s="2">
        <v>45305</v>
      </c>
      <c r="B70" t="s">
        <v>23</v>
      </c>
      <c r="C70" s="4">
        <v>109.4</v>
      </c>
      <c r="D70" s="4">
        <v>84</v>
      </c>
      <c r="E70" s="4">
        <v>150.30000000000001</v>
      </c>
      <c r="F70" s="4">
        <v>13.83</v>
      </c>
      <c r="G70" s="4">
        <v>38.5</v>
      </c>
      <c r="H70" s="4">
        <v>2.62</v>
      </c>
      <c r="I70" s="4">
        <v>23.4</v>
      </c>
      <c r="J70" s="4">
        <v>64</v>
      </c>
      <c r="K70" s="4">
        <v>1.55</v>
      </c>
      <c r="L70" s="4">
        <v>182.33333333333329</v>
      </c>
      <c r="M70" s="4">
        <v>84</v>
      </c>
      <c r="N70" s="4">
        <v>187.875</v>
      </c>
      <c r="O70" s="4">
        <v>34.575000000000003</v>
      </c>
      <c r="P70" s="4">
        <v>96.25</v>
      </c>
      <c r="Q70" s="4">
        <v>131</v>
      </c>
      <c r="R70" s="4">
        <v>188</v>
      </c>
      <c r="S70" s="4" t="str" cm="1">
        <f t="array" ref="S70">_xlfn.IFS($R70&lt;=50,"Good",$R70&lt;=100,"Moderate",$R70&lt;=200,"Poor",$R70&lt;=300,"Very Poor",$R70&lt;=500,"Hazardous")</f>
        <v>Poor</v>
      </c>
      <c r="T70" t="s">
        <v>26</v>
      </c>
      <c r="X70" s="2"/>
      <c r="Y70" s="2"/>
    </row>
    <row r="71" spans="1:25" x14ac:dyDescent="0.3">
      <c r="A71" s="2">
        <v>45305</v>
      </c>
      <c r="B71" t="s">
        <v>24</v>
      </c>
      <c r="C71" s="4">
        <v>130.5</v>
      </c>
      <c r="D71" s="4">
        <v>409.9</v>
      </c>
      <c r="E71" s="4">
        <v>126.6</v>
      </c>
      <c r="F71" s="4">
        <v>28.1</v>
      </c>
      <c r="G71" s="4">
        <v>26.9</v>
      </c>
      <c r="H71" s="4">
        <v>1.07</v>
      </c>
      <c r="I71" s="4">
        <v>19.100000000000001</v>
      </c>
      <c r="J71" s="4">
        <v>61</v>
      </c>
      <c r="K71" s="4">
        <v>4.3099999999999996</v>
      </c>
      <c r="L71" s="4">
        <v>217.5</v>
      </c>
      <c r="M71" s="4">
        <v>409.9</v>
      </c>
      <c r="N71" s="4">
        <v>158.25</v>
      </c>
      <c r="O71" s="4">
        <v>70.25</v>
      </c>
      <c r="P71" s="4">
        <v>67.249999999999986</v>
      </c>
      <c r="Q71" s="4">
        <v>53.500000000000007</v>
      </c>
      <c r="R71" s="4">
        <v>410</v>
      </c>
      <c r="S71" s="4" t="str" cm="1">
        <f t="array" ref="S71">_xlfn.IFS($R71&lt;=50,"Good",$R71&lt;=100,"Moderate",$R71&lt;=200,"Poor",$R71&lt;=300,"Very Poor",$R71&lt;=500,"Hazardous")</f>
        <v>Hazardous</v>
      </c>
      <c r="T71" t="s">
        <v>28</v>
      </c>
      <c r="X71" s="2"/>
      <c r="Y71" s="2"/>
    </row>
    <row r="72" spans="1:25" x14ac:dyDescent="0.3">
      <c r="A72" s="2">
        <v>45306</v>
      </c>
      <c r="B72" t="s">
        <v>20</v>
      </c>
      <c r="C72" s="4">
        <v>17</v>
      </c>
      <c r="D72" s="4">
        <v>389.7</v>
      </c>
      <c r="E72" s="4">
        <v>77</v>
      </c>
      <c r="F72" s="4">
        <v>10.79</v>
      </c>
      <c r="G72" s="4">
        <v>15.2</v>
      </c>
      <c r="H72" s="4">
        <v>0.38</v>
      </c>
      <c r="I72" s="4">
        <v>25.8</v>
      </c>
      <c r="J72" s="4">
        <v>61.3</v>
      </c>
      <c r="K72" s="4">
        <v>0.95</v>
      </c>
      <c r="L72" s="4">
        <v>28.333333333333329</v>
      </c>
      <c r="M72" s="4">
        <v>389.7</v>
      </c>
      <c r="N72" s="4">
        <v>96.25</v>
      </c>
      <c r="O72" s="4">
        <v>26.975000000000001</v>
      </c>
      <c r="P72" s="4">
        <v>38</v>
      </c>
      <c r="Q72" s="4">
        <v>19</v>
      </c>
      <c r="R72" s="4">
        <v>390</v>
      </c>
      <c r="S72" s="4" t="str" cm="1">
        <f t="array" ref="S72">_xlfn.IFS($R72&lt;=50,"Good",$R72&lt;=100,"Moderate",$R72&lt;=200,"Poor",$R72&lt;=300,"Very Poor",$R72&lt;=500,"Hazardous")</f>
        <v>Hazardous</v>
      </c>
      <c r="T72" t="s">
        <v>28</v>
      </c>
      <c r="X72" s="2"/>
      <c r="Y72" s="2"/>
    </row>
    <row r="73" spans="1:25" x14ac:dyDescent="0.3">
      <c r="A73" s="2">
        <v>45306</v>
      </c>
      <c r="B73" t="s">
        <v>21</v>
      </c>
      <c r="C73" s="4">
        <v>42.3</v>
      </c>
      <c r="D73" s="4">
        <v>199.7</v>
      </c>
      <c r="E73" s="4">
        <v>156.80000000000001</v>
      </c>
      <c r="F73" s="4">
        <v>13.4</v>
      </c>
      <c r="G73" s="4">
        <v>2.7</v>
      </c>
      <c r="H73" s="4">
        <v>2.11</v>
      </c>
      <c r="I73" s="4">
        <v>18.100000000000001</v>
      </c>
      <c r="J73" s="4">
        <v>11.5</v>
      </c>
      <c r="K73" s="4">
        <v>2.4300000000000002</v>
      </c>
      <c r="L73" s="4">
        <v>70.5</v>
      </c>
      <c r="M73" s="4">
        <v>199.7</v>
      </c>
      <c r="N73" s="4">
        <v>196</v>
      </c>
      <c r="O73" s="4">
        <v>33.5</v>
      </c>
      <c r="P73" s="4">
        <v>6.7500000000000009</v>
      </c>
      <c r="Q73" s="4">
        <v>105.5</v>
      </c>
      <c r="R73" s="4">
        <v>200</v>
      </c>
      <c r="S73" s="4" t="str" cm="1">
        <f t="array" ref="S73">_xlfn.IFS($R73&lt;=50,"Good",$R73&lt;=100,"Moderate",$R73&lt;=200,"Poor",$R73&lt;=300,"Very Poor",$R73&lt;=500,"Hazardous")</f>
        <v>Poor</v>
      </c>
      <c r="T73" t="s">
        <v>28</v>
      </c>
      <c r="X73" s="2"/>
      <c r="Y73" s="2"/>
    </row>
    <row r="74" spans="1:25" x14ac:dyDescent="0.3">
      <c r="A74" s="2">
        <v>45306</v>
      </c>
      <c r="B74" t="s">
        <v>22</v>
      </c>
      <c r="C74" s="4">
        <v>80.7</v>
      </c>
      <c r="D74" s="4">
        <v>245.9</v>
      </c>
      <c r="E74" s="4">
        <v>124.6</v>
      </c>
      <c r="F74" s="4">
        <v>20.72</v>
      </c>
      <c r="G74" s="4">
        <v>28.5</v>
      </c>
      <c r="H74" s="4">
        <v>0.81</v>
      </c>
      <c r="I74" s="4">
        <v>38</v>
      </c>
      <c r="J74" s="4">
        <v>61.1</v>
      </c>
      <c r="K74" s="4">
        <v>2.52</v>
      </c>
      <c r="L74" s="4">
        <v>134.5</v>
      </c>
      <c r="M74" s="4">
        <v>245.9</v>
      </c>
      <c r="N74" s="4">
        <v>155.75</v>
      </c>
      <c r="O74" s="4">
        <v>51.8</v>
      </c>
      <c r="P74" s="4">
        <v>71.25</v>
      </c>
      <c r="Q74" s="4">
        <v>40.5</v>
      </c>
      <c r="R74" s="4">
        <v>246</v>
      </c>
      <c r="S74" s="4" t="str" cm="1">
        <f t="array" ref="S74">_xlfn.IFS($R74&lt;=50,"Good",$R74&lt;=100,"Moderate",$R74&lt;=200,"Poor",$R74&lt;=300,"Very Poor",$R74&lt;=500,"Hazardous")</f>
        <v>Very Poor</v>
      </c>
      <c r="T74" t="s">
        <v>28</v>
      </c>
      <c r="X74" s="2"/>
      <c r="Y74" s="2"/>
    </row>
    <row r="75" spans="1:25" x14ac:dyDescent="0.3">
      <c r="A75" s="2">
        <v>45306</v>
      </c>
      <c r="B75" t="s">
        <v>23</v>
      </c>
      <c r="C75" s="4">
        <v>94.8</v>
      </c>
      <c r="D75" s="4">
        <v>211</v>
      </c>
      <c r="E75" s="4">
        <v>67.400000000000006</v>
      </c>
      <c r="F75" s="4">
        <v>8.2100000000000009</v>
      </c>
      <c r="G75" s="4">
        <v>23.7</v>
      </c>
      <c r="H75" s="4">
        <v>1.89</v>
      </c>
      <c r="I75" s="4">
        <v>16.2</v>
      </c>
      <c r="J75" s="4">
        <v>47.2</v>
      </c>
      <c r="K75" s="4">
        <v>2.63</v>
      </c>
      <c r="L75" s="4">
        <v>158</v>
      </c>
      <c r="M75" s="4">
        <v>211</v>
      </c>
      <c r="N75" s="4">
        <v>84.25</v>
      </c>
      <c r="O75" s="4">
        <v>20.524999999999999</v>
      </c>
      <c r="P75" s="4">
        <v>59.25</v>
      </c>
      <c r="Q75" s="4">
        <v>94.5</v>
      </c>
      <c r="R75" s="4">
        <v>211</v>
      </c>
      <c r="S75" s="4" t="str" cm="1">
        <f t="array" ref="S75">_xlfn.IFS($R75&lt;=50,"Good",$R75&lt;=100,"Moderate",$R75&lt;=200,"Poor",$R75&lt;=300,"Very Poor",$R75&lt;=500,"Hazardous")</f>
        <v>Very Poor</v>
      </c>
      <c r="T75" t="s">
        <v>28</v>
      </c>
      <c r="X75" s="2"/>
      <c r="Y75" s="2"/>
    </row>
    <row r="76" spans="1:25" x14ac:dyDescent="0.3">
      <c r="A76" s="2">
        <v>45306</v>
      </c>
      <c r="B76" t="s">
        <v>24</v>
      </c>
      <c r="C76" s="4">
        <v>92.1</v>
      </c>
      <c r="D76" s="4">
        <v>370</v>
      </c>
      <c r="E76" s="4">
        <v>2</v>
      </c>
      <c r="F76" s="4">
        <v>23.69</v>
      </c>
      <c r="G76" s="4">
        <v>70.400000000000006</v>
      </c>
      <c r="H76" s="4">
        <v>0.05</v>
      </c>
      <c r="I76" s="4">
        <v>17.600000000000001</v>
      </c>
      <c r="J76" s="4">
        <v>53.3</v>
      </c>
      <c r="K76" s="4">
        <v>1.31</v>
      </c>
      <c r="L76" s="4">
        <v>153.5</v>
      </c>
      <c r="M76" s="4">
        <v>370</v>
      </c>
      <c r="N76" s="4">
        <v>2.5</v>
      </c>
      <c r="O76" s="4">
        <v>59.225000000000001</v>
      </c>
      <c r="P76" s="4">
        <v>176</v>
      </c>
      <c r="Q76" s="4">
        <v>2.5</v>
      </c>
      <c r="R76" s="4">
        <v>370</v>
      </c>
      <c r="S76" s="4" t="str" cm="1">
        <f t="array" ref="S76">_xlfn.IFS($R76&lt;=50,"Good",$R76&lt;=100,"Moderate",$R76&lt;=200,"Poor",$R76&lt;=300,"Very Poor",$R76&lt;=500,"Hazardous")</f>
        <v>Hazardous</v>
      </c>
      <c r="T76" t="s">
        <v>28</v>
      </c>
      <c r="X76" s="2"/>
      <c r="Y76" s="2"/>
    </row>
    <row r="77" spans="1:25" x14ac:dyDescent="0.3">
      <c r="A77" s="2">
        <v>45307</v>
      </c>
      <c r="B77" t="s">
        <v>20</v>
      </c>
      <c r="C77" s="4">
        <v>67.5</v>
      </c>
      <c r="D77" s="4">
        <v>98.2</v>
      </c>
      <c r="E77" s="4">
        <v>147.30000000000001</v>
      </c>
      <c r="F77" s="4">
        <v>23.33</v>
      </c>
      <c r="G77" s="4">
        <v>74.3</v>
      </c>
      <c r="H77" s="4">
        <v>3</v>
      </c>
      <c r="I77" s="4">
        <v>12.1</v>
      </c>
      <c r="J77" s="4">
        <v>50.6</v>
      </c>
      <c r="K77" s="4">
        <v>3.09</v>
      </c>
      <c r="L77" s="4">
        <v>112.5</v>
      </c>
      <c r="M77" s="4">
        <v>98.2</v>
      </c>
      <c r="N77" s="4">
        <v>184.125</v>
      </c>
      <c r="O77" s="4">
        <v>58.325000000000003</v>
      </c>
      <c r="P77" s="4">
        <v>185.75</v>
      </c>
      <c r="Q77" s="4">
        <v>150</v>
      </c>
      <c r="R77" s="4">
        <v>186</v>
      </c>
      <c r="S77" s="4" t="str" cm="1">
        <f t="array" ref="S77">_xlfn.IFS($R77&lt;=50,"Good",$R77&lt;=100,"Moderate",$R77&lt;=200,"Poor",$R77&lt;=300,"Very Poor",$R77&lt;=500,"Hazardous")</f>
        <v>Poor</v>
      </c>
      <c r="T77" t="s">
        <v>27</v>
      </c>
      <c r="X77" s="2"/>
      <c r="Y77" s="2"/>
    </row>
    <row r="78" spans="1:25" x14ac:dyDescent="0.3">
      <c r="A78" s="2">
        <v>45307</v>
      </c>
      <c r="B78" t="s">
        <v>21</v>
      </c>
      <c r="C78" s="4">
        <v>46.7</v>
      </c>
      <c r="D78" s="4">
        <v>325.60000000000002</v>
      </c>
      <c r="E78" s="4">
        <v>80.400000000000006</v>
      </c>
      <c r="F78" s="4">
        <v>12.25</v>
      </c>
      <c r="G78" s="4">
        <v>65</v>
      </c>
      <c r="H78" s="4">
        <v>2.93</v>
      </c>
      <c r="I78" s="4">
        <v>17.5</v>
      </c>
      <c r="J78" s="4">
        <v>80.900000000000006</v>
      </c>
      <c r="K78" s="4">
        <v>1.2</v>
      </c>
      <c r="L78" s="4">
        <v>77.833333333333343</v>
      </c>
      <c r="M78" s="4">
        <v>325.60000000000002</v>
      </c>
      <c r="N78" s="4">
        <v>100.5</v>
      </c>
      <c r="O78" s="4">
        <v>30.625</v>
      </c>
      <c r="P78" s="4">
        <v>162.5</v>
      </c>
      <c r="Q78" s="4">
        <v>146.5</v>
      </c>
      <c r="R78" s="4">
        <v>326</v>
      </c>
      <c r="S78" s="4" t="str" cm="1">
        <f t="array" ref="S78">_xlfn.IFS($R78&lt;=50,"Good",$R78&lt;=100,"Moderate",$R78&lt;=200,"Poor",$R78&lt;=300,"Very Poor",$R78&lt;=500,"Hazardous")</f>
        <v>Hazardous</v>
      </c>
      <c r="T78" t="s">
        <v>28</v>
      </c>
      <c r="X78" s="2"/>
      <c r="Y78" s="2"/>
    </row>
    <row r="79" spans="1:25" x14ac:dyDescent="0.3">
      <c r="A79" s="2">
        <v>45307</v>
      </c>
      <c r="B79" t="s">
        <v>22</v>
      </c>
      <c r="C79" s="4">
        <v>119.3</v>
      </c>
      <c r="D79" s="4">
        <v>236.5</v>
      </c>
      <c r="E79" s="4">
        <v>59</v>
      </c>
      <c r="F79" s="4">
        <v>14.64</v>
      </c>
      <c r="G79" s="4">
        <v>7.5</v>
      </c>
      <c r="H79" s="4">
        <v>2.67</v>
      </c>
      <c r="I79" s="4">
        <v>18.7</v>
      </c>
      <c r="J79" s="4">
        <v>50.6</v>
      </c>
      <c r="K79" s="4">
        <v>3.76</v>
      </c>
      <c r="L79" s="4">
        <v>198.83333333333329</v>
      </c>
      <c r="M79" s="4">
        <v>236.5</v>
      </c>
      <c r="N79" s="4">
        <v>73.75</v>
      </c>
      <c r="O79" s="4">
        <v>36.6</v>
      </c>
      <c r="P79" s="4">
        <v>18.75</v>
      </c>
      <c r="Q79" s="4">
        <v>133.5</v>
      </c>
      <c r="R79" s="4">
        <v>236</v>
      </c>
      <c r="S79" s="4" t="str" cm="1">
        <f t="array" ref="S79">_xlfn.IFS($R79&lt;=50,"Good",$R79&lt;=100,"Moderate",$R79&lt;=200,"Poor",$R79&lt;=300,"Very Poor",$R79&lt;=500,"Hazardous")</f>
        <v>Very Poor</v>
      </c>
      <c r="T79" t="s">
        <v>28</v>
      </c>
      <c r="X79" s="2"/>
      <c r="Y79" s="2"/>
    </row>
    <row r="80" spans="1:25" x14ac:dyDescent="0.3">
      <c r="A80" s="2">
        <v>45307</v>
      </c>
      <c r="B80" t="s">
        <v>23</v>
      </c>
      <c r="C80" s="4">
        <v>62.2</v>
      </c>
      <c r="D80" s="4">
        <v>56.8</v>
      </c>
      <c r="E80" s="4">
        <v>22.2</v>
      </c>
      <c r="F80" s="4">
        <v>17.649999999999999</v>
      </c>
      <c r="G80" s="4">
        <v>7.2</v>
      </c>
      <c r="H80" s="4">
        <v>3.6</v>
      </c>
      <c r="I80" s="4">
        <v>5.4</v>
      </c>
      <c r="J80" s="4">
        <v>90.5</v>
      </c>
      <c r="K80" s="4">
        <v>2.75</v>
      </c>
      <c r="L80" s="4">
        <v>103.6666666666667</v>
      </c>
      <c r="M80" s="4">
        <v>56.8</v>
      </c>
      <c r="N80" s="4">
        <v>27.75</v>
      </c>
      <c r="O80" s="4">
        <v>44.125</v>
      </c>
      <c r="P80" s="4">
        <v>18</v>
      </c>
      <c r="Q80" s="4">
        <v>180</v>
      </c>
      <c r="R80" s="4">
        <v>180</v>
      </c>
      <c r="S80" s="4" t="str" cm="1">
        <f t="array" ref="S80">_xlfn.IFS($R80&lt;=50,"Good",$R80&lt;=100,"Moderate",$R80&lt;=200,"Poor",$R80&lt;=300,"Very Poor",$R80&lt;=500,"Hazardous")</f>
        <v>Poor</v>
      </c>
      <c r="T80" t="s">
        <v>29</v>
      </c>
      <c r="X80" s="2"/>
      <c r="Y80" s="2"/>
    </row>
    <row r="81" spans="1:25" x14ac:dyDescent="0.3">
      <c r="A81" s="2">
        <v>45307</v>
      </c>
      <c r="B81" t="s">
        <v>24</v>
      </c>
      <c r="C81" s="4">
        <v>100.5</v>
      </c>
      <c r="D81" s="4">
        <v>153.69999999999999</v>
      </c>
      <c r="E81" s="4">
        <v>93.2</v>
      </c>
      <c r="F81" s="4">
        <v>13.75</v>
      </c>
      <c r="G81" s="4">
        <v>66.900000000000006</v>
      </c>
      <c r="H81" s="4">
        <v>2.23</v>
      </c>
      <c r="I81" s="4">
        <v>21.1</v>
      </c>
      <c r="J81" s="4">
        <v>53.5</v>
      </c>
      <c r="K81" s="4">
        <v>2.93</v>
      </c>
      <c r="L81" s="4">
        <v>167.5</v>
      </c>
      <c r="M81" s="4">
        <v>153.69999999999999</v>
      </c>
      <c r="N81" s="4">
        <v>116.5</v>
      </c>
      <c r="O81" s="4">
        <v>34.375</v>
      </c>
      <c r="P81" s="4">
        <v>167.25</v>
      </c>
      <c r="Q81" s="4">
        <v>111.5</v>
      </c>
      <c r="R81" s="4">
        <v>168</v>
      </c>
      <c r="S81" s="4" t="str" cm="1">
        <f t="array" ref="S81">_xlfn.IFS($R81&lt;=50,"Good",$R81&lt;=100,"Moderate",$R81&lt;=200,"Poor",$R81&lt;=300,"Very Poor",$R81&lt;=500,"Hazardous")</f>
        <v>Poor</v>
      </c>
      <c r="T81" t="s">
        <v>25</v>
      </c>
      <c r="X81" s="2"/>
      <c r="Y81" s="2"/>
    </row>
    <row r="82" spans="1:25" x14ac:dyDescent="0.3">
      <c r="A82" s="2">
        <v>45308</v>
      </c>
      <c r="B82" t="s">
        <v>20</v>
      </c>
      <c r="C82" s="4">
        <v>127.4</v>
      </c>
      <c r="D82" s="4">
        <v>32</v>
      </c>
      <c r="E82" s="4">
        <v>33.200000000000003</v>
      </c>
      <c r="F82" s="4">
        <v>21.56</v>
      </c>
      <c r="G82" s="4">
        <v>45.8</v>
      </c>
      <c r="H82" s="4">
        <v>2</v>
      </c>
      <c r="I82" s="4">
        <v>20.100000000000001</v>
      </c>
      <c r="J82" s="4">
        <v>66.3</v>
      </c>
      <c r="K82" s="4">
        <v>1.85</v>
      </c>
      <c r="L82" s="4">
        <v>212.33333333333329</v>
      </c>
      <c r="M82" s="4">
        <v>32</v>
      </c>
      <c r="N82" s="4">
        <v>41.5</v>
      </c>
      <c r="O82" s="4">
        <v>53.9</v>
      </c>
      <c r="P82" s="4">
        <v>114.5</v>
      </c>
      <c r="Q82" s="4">
        <v>100</v>
      </c>
      <c r="R82" s="4">
        <v>212</v>
      </c>
      <c r="S82" s="4" t="str" cm="1">
        <f t="array" ref="S82">_xlfn.IFS($R82&lt;=50,"Good",$R82&lt;=100,"Moderate",$R82&lt;=200,"Poor",$R82&lt;=300,"Very Poor",$R82&lt;=500,"Hazardous")</f>
        <v>Very Poor</v>
      </c>
      <c r="T82" t="s">
        <v>25</v>
      </c>
      <c r="X82" s="2"/>
      <c r="Y82" s="2"/>
    </row>
    <row r="83" spans="1:25" x14ac:dyDescent="0.3">
      <c r="A83" s="2">
        <v>45308</v>
      </c>
      <c r="B83" t="s">
        <v>21</v>
      </c>
      <c r="C83" s="4">
        <v>73.3</v>
      </c>
      <c r="D83" s="4">
        <v>263.5</v>
      </c>
      <c r="E83" s="4">
        <v>50.9</v>
      </c>
      <c r="F83" s="4">
        <v>20.079999999999998</v>
      </c>
      <c r="G83" s="4">
        <v>1</v>
      </c>
      <c r="H83" s="4">
        <v>3.63</v>
      </c>
      <c r="I83" s="4">
        <v>23.3</v>
      </c>
      <c r="J83" s="4">
        <v>64.599999999999994</v>
      </c>
      <c r="K83" s="4">
        <v>3.68</v>
      </c>
      <c r="L83" s="4">
        <v>122.1666666666667</v>
      </c>
      <c r="M83" s="4">
        <v>263.5</v>
      </c>
      <c r="N83" s="4">
        <v>63.625</v>
      </c>
      <c r="O83" s="4">
        <v>50.2</v>
      </c>
      <c r="P83" s="4">
        <v>2.5</v>
      </c>
      <c r="Q83" s="4">
        <v>181.5</v>
      </c>
      <c r="R83" s="4">
        <v>264</v>
      </c>
      <c r="S83" s="4" t="str" cm="1">
        <f t="array" ref="S83">_xlfn.IFS($R83&lt;=50,"Good",$R83&lt;=100,"Moderate",$R83&lt;=200,"Poor",$R83&lt;=300,"Very Poor",$R83&lt;=500,"Hazardous")</f>
        <v>Very Poor</v>
      </c>
      <c r="T83" t="s">
        <v>28</v>
      </c>
      <c r="X83" s="2"/>
      <c r="Y83" s="2"/>
    </row>
    <row r="84" spans="1:25" x14ac:dyDescent="0.3">
      <c r="A84" s="2">
        <v>45308</v>
      </c>
      <c r="B84" t="s">
        <v>22</v>
      </c>
      <c r="C84" s="4">
        <v>167.1</v>
      </c>
      <c r="D84" s="4">
        <v>274.89999999999998</v>
      </c>
      <c r="E84" s="4">
        <v>12.4</v>
      </c>
      <c r="F84" s="4">
        <v>2.44</v>
      </c>
      <c r="G84" s="4">
        <v>20.8</v>
      </c>
      <c r="H84" s="4">
        <v>1.85</v>
      </c>
      <c r="I84" s="4">
        <v>23.6</v>
      </c>
      <c r="J84" s="4">
        <v>46.9</v>
      </c>
      <c r="K84" s="4">
        <v>2.72</v>
      </c>
      <c r="L84" s="4">
        <v>278.49999999999989</v>
      </c>
      <c r="M84" s="4">
        <v>274.89999999999998</v>
      </c>
      <c r="N84" s="4">
        <v>15.5</v>
      </c>
      <c r="O84" s="4">
        <v>6.1</v>
      </c>
      <c r="P84" s="4">
        <v>52.000000000000007</v>
      </c>
      <c r="Q84" s="4">
        <v>92.5</v>
      </c>
      <c r="R84" s="4">
        <v>278</v>
      </c>
      <c r="S84" s="4" t="str" cm="1">
        <f t="array" ref="S84">_xlfn.IFS($R84&lt;=50,"Good",$R84&lt;=100,"Moderate",$R84&lt;=200,"Poor",$R84&lt;=300,"Very Poor",$R84&lt;=500,"Hazardous")</f>
        <v>Very Poor</v>
      </c>
      <c r="T84" t="s">
        <v>25</v>
      </c>
      <c r="X84" s="2"/>
      <c r="Y84" s="2"/>
    </row>
    <row r="85" spans="1:25" x14ac:dyDescent="0.3">
      <c r="A85" s="2">
        <v>45308</v>
      </c>
      <c r="B85" t="s">
        <v>23</v>
      </c>
      <c r="C85" s="4">
        <v>59.7</v>
      </c>
      <c r="D85" s="4">
        <v>133.30000000000001</v>
      </c>
      <c r="E85" s="4">
        <v>27</v>
      </c>
      <c r="F85" s="4">
        <v>5.41</v>
      </c>
      <c r="G85" s="4">
        <v>5.6</v>
      </c>
      <c r="H85" s="4">
        <v>0.98</v>
      </c>
      <c r="I85" s="4">
        <v>27.4</v>
      </c>
      <c r="J85" s="4">
        <v>42.9</v>
      </c>
      <c r="K85" s="4">
        <v>5.66</v>
      </c>
      <c r="L85" s="4">
        <v>99.5</v>
      </c>
      <c r="M85" s="4">
        <v>133.30000000000001</v>
      </c>
      <c r="N85" s="4">
        <v>33.75</v>
      </c>
      <c r="O85" s="4">
        <v>13.525</v>
      </c>
      <c r="P85" s="4">
        <v>14</v>
      </c>
      <c r="Q85" s="4">
        <v>49</v>
      </c>
      <c r="R85" s="4">
        <v>133</v>
      </c>
      <c r="S85" s="4" t="str" cm="1">
        <f t="array" ref="S85">_xlfn.IFS($R85&lt;=50,"Good",$R85&lt;=100,"Moderate",$R85&lt;=200,"Poor",$R85&lt;=300,"Very Poor",$R85&lt;=500,"Hazardous")</f>
        <v>Poor</v>
      </c>
      <c r="T85" t="s">
        <v>28</v>
      </c>
      <c r="X85" s="2"/>
      <c r="Y85" s="2"/>
    </row>
    <row r="86" spans="1:25" x14ac:dyDescent="0.3">
      <c r="A86" s="2">
        <v>45308</v>
      </c>
      <c r="B86" t="s">
        <v>24</v>
      </c>
      <c r="C86" s="4">
        <v>131.6</v>
      </c>
      <c r="D86" s="4">
        <v>230.7</v>
      </c>
      <c r="E86" s="4">
        <v>49</v>
      </c>
      <c r="F86" s="4">
        <v>20.239999999999998</v>
      </c>
      <c r="G86" s="4">
        <v>25.4</v>
      </c>
      <c r="H86" s="4">
        <v>2.2400000000000002</v>
      </c>
      <c r="I86" s="4">
        <v>37.9</v>
      </c>
      <c r="J86" s="4">
        <v>58.3</v>
      </c>
      <c r="K86" s="4">
        <v>4.38</v>
      </c>
      <c r="L86" s="4">
        <v>219.33333333333329</v>
      </c>
      <c r="M86" s="4">
        <v>230.7</v>
      </c>
      <c r="N86" s="4">
        <v>61.25</v>
      </c>
      <c r="O86" s="4">
        <v>50.6</v>
      </c>
      <c r="P86" s="4">
        <v>63.5</v>
      </c>
      <c r="Q86" s="4">
        <v>112</v>
      </c>
      <c r="R86" s="4">
        <v>231</v>
      </c>
      <c r="S86" s="4" t="str" cm="1">
        <f t="array" ref="S86">_xlfn.IFS($R86&lt;=50,"Good",$R86&lt;=100,"Moderate",$R86&lt;=200,"Poor",$R86&lt;=300,"Very Poor",$R86&lt;=500,"Hazardous")</f>
        <v>Very Poor</v>
      </c>
      <c r="T86" t="s">
        <v>28</v>
      </c>
      <c r="X86" s="2"/>
      <c r="Y86" s="2"/>
    </row>
    <row r="87" spans="1:25" x14ac:dyDescent="0.3">
      <c r="A87" s="2">
        <v>45309</v>
      </c>
      <c r="B87" t="s">
        <v>20</v>
      </c>
      <c r="C87" s="4">
        <v>71.599999999999994</v>
      </c>
      <c r="D87" s="4">
        <v>216.9</v>
      </c>
      <c r="E87" s="4">
        <v>148</v>
      </c>
      <c r="F87" s="4">
        <v>8.9499999999999993</v>
      </c>
      <c r="G87" s="4">
        <v>88.3</v>
      </c>
      <c r="H87" s="4">
        <v>2.99</v>
      </c>
      <c r="I87" s="4">
        <v>16.100000000000001</v>
      </c>
      <c r="J87" s="4">
        <v>71.400000000000006</v>
      </c>
      <c r="K87" s="4">
        <v>3.67</v>
      </c>
      <c r="L87" s="4">
        <v>119.3333333333333</v>
      </c>
      <c r="M87" s="4">
        <v>216.9</v>
      </c>
      <c r="N87" s="4">
        <v>185</v>
      </c>
      <c r="O87" s="4">
        <v>22.375</v>
      </c>
      <c r="P87" s="4">
        <v>220.75</v>
      </c>
      <c r="Q87" s="4">
        <v>149.5</v>
      </c>
      <c r="R87" s="4">
        <v>221</v>
      </c>
      <c r="S87" s="4" t="str" cm="1">
        <f t="array" ref="S87">_xlfn.IFS($R87&lt;=50,"Good",$R87&lt;=100,"Moderate",$R87&lt;=200,"Poor",$R87&lt;=300,"Very Poor",$R87&lt;=500,"Hazardous")</f>
        <v>Very Poor</v>
      </c>
      <c r="T87" t="s">
        <v>27</v>
      </c>
      <c r="X87" s="2"/>
      <c r="Y87" s="2"/>
    </row>
    <row r="88" spans="1:25" x14ac:dyDescent="0.3">
      <c r="A88" s="2">
        <v>45309</v>
      </c>
      <c r="B88" t="s">
        <v>21</v>
      </c>
      <c r="C88" s="4">
        <v>157.30000000000001</v>
      </c>
      <c r="D88" s="4">
        <v>51.6</v>
      </c>
      <c r="E88" s="4">
        <v>60.9</v>
      </c>
      <c r="F88" s="4">
        <v>13.52</v>
      </c>
      <c r="G88" s="4">
        <v>42.9</v>
      </c>
      <c r="H88" s="4">
        <v>3.14</v>
      </c>
      <c r="I88" s="4">
        <v>21.2</v>
      </c>
      <c r="J88" s="4">
        <v>36</v>
      </c>
      <c r="K88" s="4">
        <v>2.96</v>
      </c>
      <c r="L88" s="4">
        <v>262.16666666666669</v>
      </c>
      <c r="M88" s="4">
        <v>51.6</v>
      </c>
      <c r="N88" s="4">
        <v>76.125</v>
      </c>
      <c r="O88" s="4">
        <v>33.799999999999997</v>
      </c>
      <c r="P88" s="4">
        <v>107.25</v>
      </c>
      <c r="Q88" s="4">
        <v>157</v>
      </c>
      <c r="R88" s="4">
        <v>262</v>
      </c>
      <c r="S88" s="4" t="str" cm="1">
        <f t="array" ref="S88">_xlfn.IFS($R88&lt;=50,"Good",$R88&lt;=100,"Moderate",$R88&lt;=200,"Poor",$R88&lt;=300,"Very Poor",$R88&lt;=500,"Hazardous")</f>
        <v>Very Poor</v>
      </c>
      <c r="T88" t="s">
        <v>25</v>
      </c>
      <c r="X88" s="2"/>
      <c r="Y88" s="2"/>
    </row>
    <row r="89" spans="1:25" x14ac:dyDescent="0.3">
      <c r="A89" s="2">
        <v>45309</v>
      </c>
      <c r="B89" t="s">
        <v>22</v>
      </c>
      <c r="C89" s="4">
        <v>119</v>
      </c>
      <c r="D89" s="4">
        <v>233.5</v>
      </c>
      <c r="E89" s="4">
        <v>101.3</v>
      </c>
      <c r="F89" s="4">
        <v>18.5</v>
      </c>
      <c r="G89" s="4">
        <v>44</v>
      </c>
      <c r="H89" s="4">
        <v>1.76</v>
      </c>
      <c r="I89" s="4">
        <v>8.4</v>
      </c>
      <c r="J89" s="4">
        <v>67.7</v>
      </c>
      <c r="K89" s="4">
        <v>2.75</v>
      </c>
      <c r="L89" s="4">
        <v>198.33333333333329</v>
      </c>
      <c r="M89" s="4">
        <v>233.5</v>
      </c>
      <c r="N89" s="4">
        <v>126.625</v>
      </c>
      <c r="O89" s="4">
        <v>46.25</v>
      </c>
      <c r="P89" s="4">
        <v>110</v>
      </c>
      <c r="Q89" s="4">
        <v>88</v>
      </c>
      <c r="R89" s="4">
        <v>234</v>
      </c>
      <c r="S89" s="4" t="str" cm="1">
        <f t="array" ref="S89">_xlfn.IFS($R89&lt;=50,"Good",$R89&lt;=100,"Moderate",$R89&lt;=200,"Poor",$R89&lt;=300,"Very Poor",$R89&lt;=500,"Hazardous")</f>
        <v>Very Poor</v>
      </c>
      <c r="T89" t="s">
        <v>28</v>
      </c>
      <c r="X89" s="2"/>
      <c r="Y89" s="2"/>
    </row>
    <row r="90" spans="1:25" x14ac:dyDescent="0.3">
      <c r="A90" s="2">
        <v>45309</v>
      </c>
      <c r="B90" t="s">
        <v>23</v>
      </c>
      <c r="C90" s="4">
        <v>109</v>
      </c>
      <c r="D90" s="4">
        <v>69.400000000000006</v>
      </c>
      <c r="E90" s="4">
        <v>37.4</v>
      </c>
      <c r="F90" s="4">
        <v>21.23</v>
      </c>
      <c r="G90" s="4">
        <v>35.1</v>
      </c>
      <c r="H90" s="4">
        <v>2.57</v>
      </c>
      <c r="I90" s="4">
        <v>20.2</v>
      </c>
      <c r="J90" s="4">
        <v>60.5</v>
      </c>
      <c r="K90" s="4">
        <v>3.63</v>
      </c>
      <c r="L90" s="4">
        <v>181.66666666666671</v>
      </c>
      <c r="M90" s="4">
        <v>69.400000000000006</v>
      </c>
      <c r="N90" s="4">
        <v>46.75</v>
      </c>
      <c r="O90" s="4">
        <v>53.075000000000003</v>
      </c>
      <c r="P90" s="4">
        <v>87.750000000000014</v>
      </c>
      <c r="Q90" s="4">
        <v>128.5</v>
      </c>
      <c r="R90" s="4">
        <v>182</v>
      </c>
      <c r="S90" s="4" t="str" cm="1">
        <f t="array" ref="S90">_xlfn.IFS($R90&lt;=50,"Good",$R90&lt;=100,"Moderate",$R90&lt;=200,"Poor",$R90&lt;=300,"Very Poor",$R90&lt;=500,"Hazardous")</f>
        <v>Poor</v>
      </c>
      <c r="T90" t="s">
        <v>25</v>
      </c>
      <c r="X90" s="2"/>
      <c r="Y90" s="2"/>
    </row>
    <row r="91" spans="1:25" x14ac:dyDescent="0.3">
      <c r="A91" s="2">
        <v>45309</v>
      </c>
      <c r="B91" t="s">
        <v>24</v>
      </c>
      <c r="C91" s="4">
        <v>78.400000000000006</v>
      </c>
      <c r="D91" s="4">
        <v>221.4</v>
      </c>
      <c r="E91" s="4">
        <v>62.9</v>
      </c>
      <c r="F91" s="4">
        <v>10.26</v>
      </c>
      <c r="G91" s="4">
        <v>31.9</v>
      </c>
      <c r="H91" s="4">
        <v>2.35</v>
      </c>
      <c r="I91" s="4">
        <v>16.600000000000001</v>
      </c>
      <c r="J91" s="4">
        <v>82.6</v>
      </c>
      <c r="K91" s="4">
        <v>1.93</v>
      </c>
      <c r="L91" s="4">
        <v>130.66666666666671</v>
      </c>
      <c r="M91" s="4">
        <v>221.4</v>
      </c>
      <c r="N91" s="4">
        <v>78.625</v>
      </c>
      <c r="O91" s="4">
        <v>25.65</v>
      </c>
      <c r="P91" s="4">
        <v>79.75</v>
      </c>
      <c r="Q91" s="4">
        <v>117.5</v>
      </c>
      <c r="R91" s="4">
        <v>221</v>
      </c>
      <c r="S91" s="4" t="str" cm="1">
        <f t="array" ref="S91">_xlfn.IFS($R91&lt;=50,"Good",$R91&lt;=100,"Moderate",$R91&lt;=200,"Poor",$R91&lt;=300,"Very Poor",$R91&lt;=500,"Hazardous")</f>
        <v>Very Poor</v>
      </c>
      <c r="T91" t="s">
        <v>28</v>
      </c>
      <c r="X91" s="2"/>
      <c r="Y91" s="2"/>
    </row>
    <row r="92" spans="1:25" x14ac:dyDescent="0.3">
      <c r="A92" s="2">
        <v>45310</v>
      </c>
      <c r="B92" t="s">
        <v>20</v>
      </c>
      <c r="C92" s="4">
        <v>100.1</v>
      </c>
      <c r="D92" s="4">
        <v>172.3</v>
      </c>
      <c r="E92" s="4">
        <v>136</v>
      </c>
      <c r="F92" s="4">
        <v>16.53</v>
      </c>
      <c r="G92" s="4">
        <v>68.099999999999994</v>
      </c>
      <c r="H92" s="4">
        <v>0.56999999999999995</v>
      </c>
      <c r="I92" s="4">
        <v>21.9</v>
      </c>
      <c r="J92" s="4">
        <v>76</v>
      </c>
      <c r="K92" s="4">
        <v>2.6</v>
      </c>
      <c r="L92" s="4">
        <v>166.83333333333329</v>
      </c>
      <c r="M92" s="4">
        <v>172.3</v>
      </c>
      <c r="N92" s="4">
        <v>170</v>
      </c>
      <c r="O92" s="4">
        <v>41.325000000000003</v>
      </c>
      <c r="P92" s="4">
        <v>170.25</v>
      </c>
      <c r="Q92" s="4">
        <v>28.5</v>
      </c>
      <c r="R92" s="4">
        <v>172</v>
      </c>
      <c r="S92" s="4" t="str" cm="1">
        <f t="array" ref="S92">_xlfn.IFS($R92&lt;=50,"Good",$R92&lt;=100,"Moderate",$R92&lt;=200,"Poor",$R92&lt;=300,"Very Poor",$R92&lt;=500,"Hazardous")</f>
        <v>Poor</v>
      </c>
      <c r="T92" t="s">
        <v>28</v>
      </c>
      <c r="X92" s="2"/>
      <c r="Y92" s="2"/>
    </row>
    <row r="93" spans="1:25" x14ac:dyDescent="0.3">
      <c r="A93" s="2">
        <v>45310</v>
      </c>
      <c r="B93" t="s">
        <v>21</v>
      </c>
      <c r="C93" s="4">
        <v>183.9</v>
      </c>
      <c r="D93" s="4">
        <v>177.9</v>
      </c>
      <c r="E93" s="4">
        <v>146.4</v>
      </c>
      <c r="F93" s="4">
        <v>38.99</v>
      </c>
      <c r="G93" s="4">
        <v>34.799999999999997</v>
      </c>
      <c r="H93" s="4">
        <v>1.87</v>
      </c>
      <c r="I93" s="4">
        <v>30.2</v>
      </c>
      <c r="J93" s="4">
        <v>88.4</v>
      </c>
      <c r="K93" s="4">
        <v>1.87</v>
      </c>
      <c r="L93" s="4">
        <v>306.5</v>
      </c>
      <c r="M93" s="4">
        <v>177.9</v>
      </c>
      <c r="N93" s="4">
        <v>183</v>
      </c>
      <c r="O93" s="4">
        <v>97.475000000000009</v>
      </c>
      <c r="P93" s="4">
        <v>87</v>
      </c>
      <c r="Q93" s="4">
        <v>93.5</v>
      </c>
      <c r="R93" s="4">
        <v>306</v>
      </c>
      <c r="S93" s="4" t="str" cm="1">
        <f t="array" ref="S93">_xlfn.IFS($R93&lt;=50,"Good",$R93&lt;=100,"Moderate",$R93&lt;=200,"Poor",$R93&lt;=300,"Very Poor",$R93&lt;=500,"Hazardous")</f>
        <v>Hazardous</v>
      </c>
      <c r="T93" t="s">
        <v>25</v>
      </c>
      <c r="X93" s="2"/>
      <c r="Y93" s="2"/>
    </row>
    <row r="94" spans="1:25" x14ac:dyDescent="0.3">
      <c r="A94" s="2">
        <v>45310</v>
      </c>
      <c r="B94" t="s">
        <v>22</v>
      </c>
      <c r="C94" s="4">
        <v>72</v>
      </c>
      <c r="D94" s="4">
        <v>156.69999999999999</v>
      </c>
      <c r="E94" s="4">
        <v>27.5</v>
      </c>
      <c r="F94" s="4">
        <v>5.18</v>
      </c>
      <c r="G94" s="4">
        <v>12.7</v>
      </c>
      <c r="H94" s="4">
        <v>1.1200000000000001</v>
      </c>
      <c r="I94" s="4">
        <v>19.8</v>
      </c>
      <c r="J94" s="4">
        <v>64.2</v>
      </c>
      <c r="K94" s="4">
        <v>4.3600000000000003</v>
      </c>
      <c r="L94" s="4">
        <v>120</v>
      </c>
      <c r="M94" s="4">
        <v>156.69999999999999</v>
      </c>
      <c r="N94" s="4">
        <v>34.375</v>
      </c>
      <c r="O94" s="4">
        <v>12.95</v>
      </c>
      <c r="P94" s="4">
        <v>31.75</v>
      </c>
      <c r="Q94" s="4">
        <v>56.000000000000007</v>
      </c>
      <c r="R94" s="4">
        <v>157</v>
      </c>
      <c r="S94" s="4" t="str" cm="1">
        <f t="array" ref="S94">_xlfn.IFS($R94&lt;=50,"Good",$R94&lt;=100,"Moderate",$R94&lt;=200,"Poor",$R94&lt;=300,"Very Poor",$R94&lt;=500,"Hazardous")</f>
        <v>Poor</v>
      </c>
      <c r="T94" t="s">
        <v>28</v>
      </c>
      <c r="X94" s="2"/>
      <c r="Y94" s="2"/>
    </row>
    <row r="95" spans="1:25" x14ac:dyDescent="0.3">
      <c r="A95" s="2">
        <v>45310</v>
      </c>
      <c r="B95" t="s">
        <v>23</v>
      </c>
      <c r="C95" s="4">
        <v>48.1</v>
      </c>
      <c r="D95" s="4">
        <v>286.5</v>
      </c>
      <c r="E95" s="4">
        <v>65.2</v>
      </c>
      <c r="F95" s="4">
        <v>12.4</v>
      </c>
      <c r="G95" s="4">
        <v>51.2</v>
      </c>
      <c r="H95" s="4">
        <v>0.84</v>
      </c>
      <c r="I95" s="4">
        <v>22.7</v>
      </c>
      <c r="J95" s="4">
        <v>63</v>
      </c>
      <c r="K95" s="4">
        <v>3.09</v>
      </c>
      <c r="L95" s="4">
        <v>80.166666666666657</v>
      </c>
      <c r="M95" s="4">
        <v>286.5</v>
      </c>
      <c r="N95" s="4">
        <v>81.5</v>
      </c>
      <c r="O95" s="4">
        <v>31</v>
      </c>
      <c r="P95" s="4">
        <v>128</v>
      </c>
      <c r="Q95" s="4">
        <v>41.999999999999993</v>
      </c>
      <c r="R95" s="4">
        <v>286</v>
      </c>
      <c r="S95" s="4" t="str" cm="1">
        <f t="array" ref="S95">_xlfn.IFS($R95&lt;=50,"Good",$R95&lt;=100,"Moderate",$R95&lt;=200,"Poor",$R95&lt;=300,"Very Poor",$R95&lt;=500,"Hazardous")</f>
        <v>Very Poor</v>
      </c>
      <c r="T95" t="s">
        <v>28</v>
      </c>
      <c r="X95" s="2"/>
      <c r="Y95" s="2"/>
    </row>
    <row r="96" spans="1:25" x14ac:dyDescent="0.3">
      <c r="A96" s="2">
        <v>45310</v>
      </c>
      <c r="B96" t="s">
        <v>24</v>
      </c>
      <c r="C96" s="4">
        <v>120.9</v>
      </c>
      <c r="D96" s="4">
        <v>470.5</v>
      </c>
      <c r="E96" s="4">
        <v>56.8</v>
      </c>
      <c r="F96" s="4">
        <v>9.41</v>
      </c>
      <c r="G96" s="4">
        <v>24.2</v>
      </c>
      <c r="H96" s="4">
        <v>1.53</v>
      </c>
      <c r="I96" s="4">
        <v>15.5</v>
      </c>
      <c r="J96" s="4">
        <v>81.400000000000006</v>
      </c>
      <c r="K96" s="4">
        <v>4.7</v>
      </c>
      <c r="L96" s="4">
        <v>201.5</v>
      </c>
      <c r="M96" s="4">
        <v>470.5</v>
      </c>
      <c r="N96" s="4">
        <v>71</v>
      </c>
      <c r="O96" s="4">
        <v>23.524999999999999</v>
      </c>
      <c r="P96" s="4">
        <v>60.5</v>
      </c>
      <c r="Q96" s="4">
        <v>76.5</v>
      </c>
      <c r="R96" s="4">
        <v>470</v>
      </c>
      <c r="S96" s="4" t="str" cm="1">
        <f t="array" ref="S96">_xlfn.IFS($R96&lt;=50,"Good",$R96&lt;=100,"Moderate",$R96&lt;=200,"Poor",$R96&lt;=300,"Very Poor",$R96&lt;=500,"Hazardous")</f>
        <v>Hazardous</v>
      </c>
      <c r="T96" t="s">
        <v>28</v>
      </c>
      <c r="X96" s="2"/>
      <c r="Y96" s="2"/>
    </row>
    <row r="97" spans="1:25" x14ac:dyDescent="0.3">
      <c r="A97" s="2">
        <v>45311</v>
      </c>
      <c r="B97" t="s">
        <v>20</v>
      </c>
      <c r="C97" s="4">
        <v>78.900000000000006</v>
      </c>
      <c r="D97" s="4">
        <v>128.9</v>
      </c>
      <c r="E97" s="4">
        <v>100.1</v>
      </c>
      <c r="F97" s="4">
        <v>9.64</v>
      </c>
      <c r="G97" s="4">
        <v>57.8</v>
      </c>
      <c r="H97" s="4">
        <v>2.4300000000000002</v>
      </c>
      <c r="I97" s="4">
        <v>9.4</v>
      </c>
      <c r="J97" s="4">
        <v>87.9</v>
      </c>
      <c r="K97" s="4">
        <v>4.66</v>
      </c>
      <c r="L97" s="4">
        <v>131.5</v>
      </c>
      <c r="M97" s="4">
        <v>128.9</v>
      </c>
      <c r="N97" s="4">
        <v>125.125</v>
      </c>
      <c r="O97" s="4">
        <v>24.1</v>
      </c>
      <c r="P97" s="4">
        <v>144.5</v>
      </c>
      <c r="Q97" s="4">
        <v>121.5</v>
      </c>
      <c r="R97" s="4">
        <v>144</v>
      </c>
      <c r="S97" s="4" t="str" cm="1">
        <f t="array" ref="S97">_xlfn.IFS($R97&lt;=50,"Good",$R97&lt;=100,"Moderate",$R97&lt;=200,"Poor",$R97&lt;=300,"Very Poor",$R97&lt;=500,"Hazardous")</f>
        <v>Poor</v>
      </c>
      <c r="T97" t="s">
        <v>27</v>
      </c>
      <c r="X97" s="2"/>
      <c r="Y97" s="2"/>
    </row>
    <row r="98" spans="1:25" x14ac:dyDescent="0.3">
      <c r="A98" s="2">
        <v>45311</v>
      </c>
      <c r="B98" t="s">
        <v>21</v>
      </c>
      <c r="C98" s="4">
        <v>83.2</v>
      </c>
      <c r="D98" s="4">
        <v>193.5</v>
      </c>
      <c r="E98" s="4">
        <v>101.4</v>
      </c>
      <c r="F98" s="4">
        <v>19.34</v>
      </c>
      <c r="G98" s="4">
        <v>63.5</v>
      </c>
      <c r="H98" s="4">
        <v>4.8099999999999996</v>
      </c>
      <c r="I98" s="4">
        <v>18.8</v>
      </c>
      <c r="J98" s="4">
        <v>45.6</v>
      </c>
      <c r="K98" s="4">
        <v>0.84</v>
      </c>
      <c r="L98" s="4">
        <v>138.66666666666671</v>
      </c>
      <c r="M98" s="4">
        <v>193.5</v>
      </c>
      <c r="N98" s="4">
        <v>126.75</v>
      </c>
      <c r="O98" s="4">
        <v>48.349999999999987</v>
      </c>
      <c r="P98" s="4">
        <v>158.75</v>
      </c>
      <c r="Q98" s="4">
        <v>240.5</v>
      </c>
      <c r="R98" s="4">
        <v>240</v>
      </c>
      <c r="S98" s="4" t="str" cm="1">
        <f t="array" ref="S98">_xlfn.IFS($R98&lt;=50,"Good",$R98&lt;=100,"Moderate",$R98&lt;=200,"Poor",$R98&lt;=300,"Very Poor",$R98&lt;=500,"Hazardous")</f>
        <v>Very Poor</v>
      </c>
      <c r="T98" t="s">
        <v>29</v>
      </c>
      <c r="X98" s="2"/>
      <c r="Y98" s="2"/>
    </row>
    <row r="99" spans="1:25" x14ac:dyDescent="0.3">
      <c r="A99" s="2">
        <v>45311</v>
      </c>
      <c r="B99" t="s">
        <v>22</v>
      </c>
      <c r="C99" s="4">
        <v>57.9</v>
      </c>
      <c r="D99" s="4">
        <v>179.4</v>
      </c>
      <c r="E99" s="4">
        <v>123</v>
      </c>
      <c r="F99" s="4">
        <v>8.23</v>
      </c>
      <c r="G99" s="4">
        <v>39</v>
      </c>
      <c r="H99" s="4">
        <v>1.81</v>
      </c>
      <c r="I99" s="4">
        <v>28.3</v>
      </c>
      <c r="J99" s="4">
        <v>100</v>
      </c>
      <c r="K99" s="4">
        <v>1.86</v>
      </c>
      <c r="L99" s="4">
        <v>96.5</v>
      </c>
      <c r="M99" s="4">
        <v>179.4</v>
      </c>
      <c r="N99" s="4">
        <v>153.75</v>
      </c>
      <c r="O99" s="4">
        <v>20.574999999999999</v>
      </c>
      <c r="P99" s="4">
        <v>97.5</v>
      </c>
      <c r="Q99" s="4">
        <v>90.5</v>
      </c>
      <c r="R99" s="4">
        <v>179</v>
      </c>
      <c r="S99" s="4" t="str" cm="1">
        <f t="array" ref="S99">_xlfn.IFS($R99&lt;=50,"Good",$R99&lt;=100,"Moderate",$R99&lt;=200,"Poor",$R99&lt;=300,"Very Poor",$R99&lt;=500,"Hazardous")</f>
        <v>Poor</v>
      </c>
      <c r="T99" t="s">
        <v>28</v>
      </c>
      <c r="X99" s="2"/>
      <c r="Y99" s="2"/>
    </row>
    <row r="100" spans="1:25" x14ac:dyDescent="0.3">
      <c r="A100" s="2">
        <v>45311</v>
      </c>
      <c r="B100" t="s">
        <v>23</v>
      </c>
      <c r="C100" s="4">
        <v>72.5</v>
      </c>
      <c r="D100" s="4">
        <v>292.2</v>
      </c>
      <c r="E100" s="4">
        <v>93.8</v>
      </c>
      <c r="F100" s="4">
        <v>27.57</v>
      </c>
      <c r="G100" s="4">
        <v>49.1</v>
      </c>
      <c r="H100" s="4">
        <v>1.58</v>
      </c>
      <c r="I100" s="4">
        <v>24.1</v>
      </c>
      <c r="J100" s="4">
        <v>80</v>
      </c>
      <c r="K100" s="4">
        <v>3.48</v>
      </c>
      <c r="L100" s="4">
        <v>120.8333333333333</v>
      </c>
      <c r="M100" s="4">
        <v>292.2</v>
      </c>
      <c r="N100" s="4">
        <v>117.25</v>
      </c>
      <c r="O100" s="4">
        <v>68.924999999999997</v>
      </c>
      <c r="P100" s="4">
        <v>122.75</v>
      </c>
      <c r="Q100" s="4">
        <v>79</v>
      </c>
      <c r="R100" s="4">
        <v>292</v>
      </c>
      <c r="S100" s="4" t="str" cm="1">
        <f t="array" ref="S100">_xlfn.IFS($R100&lt;=50,"Good",$R100&lt;=100,"Moderate",$R100&lt;=200,"Poor",$R100&lt;=300,"Very Poor",$R100&lt;=500,"Hazardous")</f>
        <v>Very Poor</v>
      </c>
      <c r="T100" t="s">
        <v>28</v>
      </c>
      <c r="X100" s="2"/>
      <c r="Y100" s="2"/>
    </row>
    <row r="101" spans="1:25" x14ac:dyDescent="0.3">
      <c r="A101" s="2">
        <v>45311</v>
      </c>
      <c r="B101" t="s">
        <v>24</v>
      </c>
      <c r="C101" s="4">
        <v>132.4</v>
      </c>
      <c r="D101" s="4">
        <v>323.8</v>
      </c>
      <c r="E101" s="4">
        <v>120.4</v>
      </c>
      <c r="F101" s="4">
        <v>26.24</v>
      </c>
      <c r="G101" s="4">
        <v>55.7</v>
      </c>
      <c r="H101" s="4">
        <v>1.94</v>
      </c>
      <c r="I101" s="4">
        <v>21</v>
      </c>
      <c r="J101" s="4">
        <v>81.7</v>
      </c>
      <c r="K101" s="4">
        <v>2.02</v>
      </c>
      <c r="L101" s="4">
        <v>220.66666666666671</v>
      </c>
      <c r="M101" s="4">
        <v>323.8</v>
      </c>
      <c r="N101" s="4">
        <v>150.5</v>
      </c>
      <c r="O101" s="4">
        <v>65.599999999999994</v>
      </c>
      <c r="P101" s="4">
        <v>139.25</v>
      </c>
      <c r="Q101" s="4">
        <v>97</v>
      </c>
      <c r="R101" s="4">
        <v>324</v>
      </c>
      <c r="S101" s="4" t="str" cm="1">
        <f t="array" ref="S101">_xlfn.IFS($R101&lt;=50,"Good",$R101&lt;=100,"Moderate",$R101&lt;=200,"Poor",$R101&lt;=300,"Very Poor",$R101&lt;=500,"Hazardous")</f>
        <v>Hazardous</v>
      </c>
      <c r="T101" t="s">
        <v>28</v>
      </c>
      <c r="X101" s="2"/>
      <c r="Y101" s="2"/>
    </row>
    <row r="102" spans="1:25" x14ac:dyDescent="0.3">
      <c r="A102" s="2">
        <v>45312</v>
      </c>
      <c r="B102" t="s">
        <v>20</v>
      </c>
      <c r="C102" s="4">
        <v>130.80000000000001</v>
      </c>
      <c r="D102" s="4">
        <v>177.4</v>
      </c>
      <c r="E102" s="4">
        <v>83.9</v>
      </c>
      <c r="F102" s="4">
        <v>26.48</v>
      </c>
      <c r="G102" s="4">
        <v>46.3</v>
      </c>
      <c r="H102" s="4">
        <v>2.2599999999999998</v>
      </c>
      <c r="I102" s="4">
        <v>10.5</v>
      </c>
      <c r="J102" s="4">
        <v>73.400000000000006</v>
      </c>
      <c r="K102" s="4">
        <v>3.27</v>
      </c>
      <c r="L102" s="4">
        <v>218</v>
      </c>
      <c r="M102" s="4">
        <v>177.4</v>
      </c>
      <c r="N102" s="4">
        <v>104.875</v>
      </c>
      <c r="O102" s="4">
        <v>66.199999999999989</v>
      </c>
      <c r="P102" s="4">
        <v>115.75</v>
      </c>
      <c r="Q102" s="4">
        <v>113</v>
      </c>
      <c r="R102" s="4">
        <v>218</v>
      </c>
      <c r="S102" s="4" t="str" cm="1">
        <f t="array" ref="S102">_xlfn.IFS($R102&lt;=50,"Good",$R102&lt;=100,"Moderate",$R102&lt;=200,"Poor",$R102&lt;=300,"Very Poor",$R102&lt;=500,"Hazardous")</f>
        <v>Very Poor</v>
      </c>
      <c r="T102" t="s">
        <v>25</v>
      </c>
      <c r="X102" s="2"/>
      <c r="Y102" s="2"/>
    </row>
    <row r="103" spans="1:25" x14ac:dyDescent="0.3">
      <c r="A103" s="2">
        <v>45312</v>
      </c>
      <c r="B103" t="s">
        <v>21</v>
      </c>
      <c r="C103" s="4">
        <v>249.8</v>
      </c>
      <c r="D103" s="4">
        <v>203.1</v>
      </c>
      <c r="E103" s="4">
        <v>98.8</v>
      </c>
      <c r="F103" s="4">
        <v>18.489999999999998</v>
      </c>
      <c r="G103" s="4">
        <v>89.4</v>
      </c>
      <c r="H103" s="4">
        <v>2.29</v>
      </c>
      <c r="I103" s="4">
        <v>22</v>
      </c>
      <c r="J103" s="4">
        <v>70.900000000000006</v>
      </c>
      <c r="K103" s="4">
        <v>2.72</v>
      </c>
      <c r="L103" s="4">
        <v>416.33333333333331</v>
      </c>
      <c r="M103" s="4">
        <v>203.1</v>
      </c>
      <c r="N103" s="4">
        <v>123.5</v>
      </c>
      <c r="O103" s="4">
        <v>46.224999999999987</v>
      </c>
      <c r="P103" s="4">
        <v>223.5</v>
      </c>
      <c r="Q103" s="4">
        <v>114.5</v>
      </c>
      <c r="R103" s="4">
        <v>416</v>
      </c>
      <c r="S103" s="4" t="str" cm="1">
        <f t="array" ref="S103">_xlfn.IFS($R103&lt;=50,"Good",$R103&lt;=100,"Moderate",$R103&lt;=200,"Poor",$R103&lt;=300,"Very Poor",$R103&lt;=500,"Hazardous")</f>
        <v>Hazardous</v>
      </c>
      <c r="T103" t="s">
        <v>25</v>
      </c>
      <c r="X103" s="2"/>
      <c r="Y103" s="2"/>
    </row>
    <row r="104" spans="1:25" x14ac:dyDescent="0.3">
      <c r="A104" s="2">
        <v>45312</v>
      </c>
      <c r="B104" t="s">
        <v>22</v>
      </c>
      <c r="C104" s="4">
        <v>70.8</v>
      </c>
      <c r="D104" s="4">
        <v>200.1</v>
      </c>
      <c r="E104" s="4">
        <v>101</v>
      </c>
      <c r="F104" s="4">
        <v>4.3600000000000003</v>
      </c>
      <c r="G104" s="4">
        <v>37</v>
      </c>
      <c r="H104" s="4">
        <v>1.19</v>
      </c>
      <c r="I104" s="4">
        <v>28.4</v>
      </c>
      <c r="J104" s="4">
        <v>32.6</v>
      </c>
      <c r="K104" s="4">
        <v>1.83</v>
      </c>
      <c r="L104" s="4">
        <v>118</v>
      </c>
      <c r="M104" s="4">
        <v>200.1</v>
      </c>
      <c r="N104" s="4">
        <v>126.25</v>
      </c>
      <c r="O104" s="4">
        <v>10.9</v>
      </c>
      <c r="P104" s="4">
        <v>92.5</v>
      </c>
      <c r="Q104" s="4">
        <v>59.5</v>
      </c>
      <c r="R104" s="4">
        <v>200</v>
      </c>
      <c r="S104" s="4" t="str" cm="1">
        <f t="array" ref="S104">_xlfn.IFS($R104&lt;=50,"Good",$R104&lt;=100,"Moderate",$R104&lt;=200,"Poor",$R104&lt;=300,"Very Poor",$R104&lt;=500,"Hazardous")</f>
        <v>Poor</v>
      </c>
      <c r="T104" t="s">
        <v>28</v>
      </c>
      <c r="X104" s="2"/>
      <c r="Y104" s="2"/>
    </row>
    <row r="105" spans="1:25" x14ac:dyDescent="0.3">
      <c r="A105" s="2">
        <v>45312</v>
      </c>
      <c r="B105" t="s">
        <v>23</v>
      </c>
      <c r="C105" s="4">
        <v>114.1</v>
      </c>
      <c r="D105" s="4">
        <v>342.3</v>
      </c>
      <c r="E105" s="4">
        <v>69.900000000000006</v>
      </c>
      <c r="F105" s="4">
        <v>8.36</v>
      </c>
      <c r="G105" s="4">
        <v>78.3</v>
      </c>
      <c r="H105" s="4">
        <v>0.53</v>
      </c>
      <c r="I105" s="4">
        <v>4.5999999999999996</v>
      </c>
      <c r="J105" s="4">
        <v>67.900000000000006</v>
      </c>
      <c r="K105" s="4">
        <v>1.9</v>
      </c>
      <c r="L105" s="4">
        <v>190.16666666666671</v>
      </c>
      <c r="M105" s="4">
        <v>342.3</v>
      </c>
      <c r="N105" s="4">
        <v>87.375000000000014</v>
      </c>
      <c r="O105" s="4">
        <v>20.9</v>
      </c>
      <c r="P105" s="4">
        <v>195.75</v>
      </c>
      <c r="Q105" s="4">
        <v>26.5</v>
      </c>
      <c r="R105" s="4">
        <v>342</v>
      </c>
      <c r="S105" s="4" t="str" cm="1">
        <f t="array" ref="S105">_xlfn.IFS($R105&lt;=50,"Good",$R105&lt;=100,"Moderate",$R105&lt;=200,"Poor",$R105&lt;=300,"Very Poor",$R105&lt;=500,"Hazardous")</f>
        <v>Hazardous</v>
      </c>
      <c r="T105" t="s">
        <v>28</v>
      </c>
      <c r="X105" s="2"/>
      <c r="Y105" s="2"/>
    </row>
    <row r="106" spans="1:25" x14ac:dyDescent="0.3">
      <c r="A106" s="2">
        <v>45312</v>
      </c>
      <c r="B106" t="s">
        <v>24</v>
      </c>
      <c r="C106" s="4">
        <v>51.7</v>
      </c>
      <c r="D106" s="4">
        <v>286</v>
      </c>
      <c r="E106" s="4">
        <v>87.8</v>
      </c>
      <c r="F106" s="4">
        <v>9.1199999999999992</v>
      </c>
      <c r="G106" s="4">
        <v>7.9</v>
      </c>
      <c r="H106" s="4">
        <v>3.03</v>
      </c>
      <c r="I106" s="4">
        <v>24.6</v>
      </c>
      <c r="J106" s="4">
        <v>58.2</v>
      </c>
      <c r="K106" s="4">
        <v>5.22</v>
      </c>
      <c r="L106" s="4">
        <v>86.166666666666671</v>
      </c>
      <c r="M106" s="4">
        <v>286</v>
      </c>
      <c r="N106" s="4">
        <v>109.75</v>
      </c>
      <c r="O106" s="4">
        <v>22.8</v>
      </c>
      <c r="P106" s="4">
        <v>19.75</v>
      </c>
      <c r="Q106" s="4">
        <v>151.5</v>
      </c>
      <c r="R106" s="4">
        <v>286</v>
      </c>
      <c r="S106" s="4" t="str" cm="1">
        <f t="array" ref="S106">_xlfn.IFS($R106&lt;=50,"Good",$R106&lt;=100,"Moderate",$R106&lt;=200,"Poor",$R106&lt;=300,"Very Poor",$R106&lt;=500,"Hazardous")</f>
        <v>Very Poor</v>
      </c>
      <c r="T106" t="s">
        <v>28</v>
      </c>
      <c r="X106" s="2"/>
      <c r="Y106" s="2"/>
    </row>
    <row r="107" spans="1:25" x14ac:dyDescent="0.3">
      <c r="A107" s="2">
        <v>45313</v>
      </c>
      <c r="B107" t="s">
        <v>20</v>
      </c>
      <c r="C107" s="4">
        <v>51.3</v>
      </c>
      <c r="D107" s="4">
        <v>52.4</v>
      </c>
      <c r="E107" s="4">
        <v>57.3</v>
      </c>
      <c r="F107" s="4">
        <v>14.3</v>
      </c>
      <c r="G107" s="4">
        <v>47.7</v>
      </c>
      <c r="H107" s="4">
        <v>1.94</v>
      </c>
      <c r="I107" s="4">
        <v>22.5</v>
      </c>
      <c r="J107" s="4">
        <v>37.5</v>
      </c>
      <c r="K107" s="4">
        <v>4.2300000000000004</v>
      </c>
      <c r="L107" s="4">
        <v>85.499999999999986</v>
      </c>
      <c r="M107" s="4">
        <v>52.4</v>
      </c>
      <c r="N107" s="4">
        <v>71.625</v>
      </c>
      <c r="O107" s="4">
        <v>35.750000000000007</v>
      </c>
      <c r="P107" s="4">
        <v>119.25</v>
      </c>
      <c r="Q107" s="4">
        <v>97</v>
      </c>
      <c r="R107" s="4">
        <v>119</v>
      </c>
      <c r="S107" s="4" t="str" cm="1">
        <f t="array" ref="S107">_xlfn.IFS($R107&lt;=50,"Good",$R107&lt;=100,"Moderate",$R107&lt;=200,"Poor",$R107&lt;=300,"Very Poor",$R107&lt;=500,"Hazardous")</f>
        <v>Poor</v>
      </c>
      <c r="T107" t="s">
        <v>27</v>
      </c>
      <c r="X107" s="2"/>
      <c r="Y107" s="2"/>
    </row>
    <row r="108" spans="1:25" x14ac:dyDescent="0.3">
      <c r="A108" s="2">
        <v>45313</v>
      </c>
      <c r="B108" t="s">
        <v>21</v>
      </c>
      <c r="C108" s="4">
        <v>115.1</v>
      </c>
      <c r="D108" s="4">
        <v>374.1</v>
      </c>
      <c r="E108" s="4">
        <v>103.7</v>
      </c>
      <c r="F108" s="4">
        <v>20.57</v>
      </c>
      <c r="G108" s="4">
        <v>61</v>
      </c>
      <c r="H108" s="4">
        <v>2.94</v>
      </c>
      <c r="I108" s="4">
        <v>24.5</v>
      </c>
      <c r="J108" s="4">
        <v>83.9</v>
      </c>
      <c r="K108" s="4">
        <v>2.74</v>
      </c>
      <c r="L108" s="4">
        <v>191.83333333333329</v>
      </c>
      <c r="M108" s="4">
        <v>374.1</v>
      </c>
      <c r="N108" s="4">
        <v>129.625</v>
      </c>
      <c r="O108" s="4">
        <v>51.424999999999997</v>
      </c>
      <c r="P108" s="4">
        <v>152.5</v>
      </c>
      <c r="Q108" s="4">
        <v>147</v>
      </c>
      <c r="R108" s="4">
        <v>374</v>
      </c>
      <c r="S108" s="4" t="str" cm="1">
        <f t="array" ref="S108">_xlfn.IFS($R108&lt;=50,"Good",$R108&lt;=100,"Moderate",$R108&lt;=200,"Poor",$R108&lt;=300,"Very Poor",$R108&lt;=500,"Hazardous")</f>
        <v>Hazardous</v>
      </c>
      <c r="T108" t="s">
        <v>28</v>
      </c>
      <c r="X108" s="2"/>
      <c r="Y108" s="2"/>
    </row>
    <row r="109" spans="1:25" x14ac:dyDescent="0.3">
      <c r="A109" s="2">
        <v>45313</v>
      </c>
      <c r="B109" t="s">
        <v>22</v>
      </c>
      <c r="C109" s="4">
        <v>123.5</v>
      </c>
      <c r="D109" s="4">
        <v>174.2</v>
      </c>
      <c r="E109" s="4">
        <v>112.2</v>
      </c>
      <c r="F109" s="4">
        <v>7.02</v>
      </c>
      <c r="G109" s="4">
        <v>72.7</v>
      </c>
      <c r="H109" s="4">
        <v>1.79</v>
      </c>
      <c r="I109" s="4">
        <v>10</v>
      </c>
      <c r="J109" s="4">
        <v>62.3</v>
      </c>
      <c r="K109" s="4">
        <v>1.68</v>
      </c>
      <c r="L109" s="4">
        <v>205.83333333333329</v>
      </c>
      <c r="M109" s="4">
        <v>174.2</v>
      </c>
      <c r="N109" s="4">
        <v>140.25</v>
      </c>
      <c r="O109" s="4">
        <v>17.55</v>
      </c>
      <c r="P109" s="4">
        <v>181.75</v>
      </c>
      <c r="Q109" s="4">
        <v>89.5</v>
      </c>
      <c r="R109" s="4">
        <v>206</v>
      </c>
      <c r="S109" s="4" t="str" cm="1">
        <f t="array" ref="S109">_xlfn.IFS($R109&lt;=50,"Good",$R109&lt;=100,"Moderate",$R109&lt;=200,"Poor",$R109&lt;=300,"Very Poor",$R109&lt;=500,"Hazardous")</f>
        <v>Very Poor</v>
      </c>
      <c r="T109" t="s">
        <v>25</v>
      </c>
      <c r="X109" s="2"/>
      <c r="Y109" s="2"/>
    </row>
    <row r="110" spans="1:25" x14ac:dyDescent="0.3">
      <c r="A110" s="2">
        <v>45313</v>
      </c>
      <c r="B110" t="s">
        <v>23</v>
      </c>
      <c r="C110" s="4">
        <v>136.4</v>
      </c>
      <c r="D110" s="4">
        <v>129.30000000000001</v>
      </c>
      <c r="E110" s="4">
        <v>57.7</v>
      </c>
      <c r="F110" s="4">
        <v>0.5</v>
      </c>
      <c r="G110" s="4">
        <v>25.8</v>
      </c>
      <c r="H110" s="4">
        <v>0.05</v>
      </c>
      <c r="I110" s="4">
        <v>8.9</v>
      </c>
      <c r="J110" s="4">
        <v>73.7</v>
      </c>
      <c r="K110" s="4">
        <v>3.44</v>
      </c>
      <c r="L110" s="4">
        <v>227.33333333333329</v>
      </c>
      <c r="M110" s="4">
        <v>129.30000000000001</v>
      </c>
      <c r="N110" s="4">
        <v>72.125000000000014</v>
      </c>
      <c r="O110" s="4">
        <v>1.25</v>
      </c>
      <c r="P110" s="4">
        <v>64.5</v>
      </c>
      <c r="Q110" s="4">
        <v>2.5</v>
      </c>
      <c r="R110" s="4">
        <v>227</v>
      </c>
      <c r="S110" s="4" t="str" cm="1">
        <f t="array" ref="S110">_xlfn.IFS($R110&lt;=50,"Good",$R110&lt;=100,"Moderate",$R110&lt;=200,"Poor",$R110&lt;=300,"Very Poor",$R110&lt;=500,"Hazardous")</f>
        <v>Very Poor</v>
      </c>
      <c r="T110" t="s">
        <v>25</v>
      </c>
      <c r="X110" s="2"/>
      <c r="Y110" s="2"/>
    </row>
    <row r="111" spans="1:25" x14ac:dyDescent="0.3">
      <c r="A111" s="2">
        <v>45313</v>
      </c>
      <c r="B111" t="s">
        <v>24</v>
      </c>
      <c r="C111" s="4">
        <v>128.1</v>
      </c>
      <c r="D111" s="4">
        <v>109.1</v>
      </c>
      <c r="E111" s="4">
        <v>77.5</v>
      </c>
      <c r="F111" s="4">
        <v>14.05</v>
      </c>
      <c r="G111" s="4">
        <v>10.9</v>
      </c>
      <c r="H111" s="4">
        <v>3.7</v>
      </c>
      <c r="I111" s="4">
        <v>26.1</v>
      </c>
      <c r="J111" s="4">
        <v>56</v>
      </c>
      <c r="K111" s="4">
        <v>3.03</v>
      </c>
      <c r="L111" s="4">
        <v>213.5</v>
      </c>
      <c r="M111" s="4">
        <v>109.1</v>
      </c>
      <c r="N111" s="4">
        <v>96.875</v>
      </c>
      <c r="O111" s="4">
        <v>35.125</v>
      </c>
      <c r="P111" s="4">
        <v>27.25</v>
      </c>
      <c r="Q111" s="4">
        <v>185</v>
      </c>
      <c r="R111" s="4">
        <v>214</v>
      </c>
      <c r="S111" s="4" t="str" cm="1">
        <f t="array" ref="S111">_xlfn.IFS($R111&lt;=50,"Good",$R111&lt;=100,"Moderate",$R111&lt;=200,"Poor",$R111&lt;=300,"Very Poor",$R111&lt;=500,"Hazardous")</f>
        <v>Very Poor</v>
      </c>
      <c r="T111" t="s">
        <v>25</v>
      </c>
      <c r="X111" s="2"/>
      <c r="Y111" s="2"/>
    </row>
    <row r="112" spans="1:25" x14ac:dyDescent="0.3">
      <c r="A112" s="2">
        <v>45314</v>
      </c>
      <c r="B112" t="s">
        <v>20</v>
      </c>
      <c r="C112" s="4">
        <v>121.9</v>
      </c>
      <c r="D112" s="4">
        <v>5</v>
      </c>
      <c r="E112" s="4">
        <v>73.7</v>
      </c>
      <c r="F112" s="4">
        <v>8.4499999999999993</v>
      </c>
      <c r="G112" s="4">
        <v>15.5</v>
      </c>
      <c r="H112" s="4">
        <v>1.9</v>
      </c>
      <c r="I112" s="4">
        <v>32.6</v>
      </c>
      <c r="J112" s="4">
        <v>71.5</v>
      </c>
      <c r="K112" s="4">
        <v>1.81</v>
      </c>
      <c r="L112" s="4">
        <v>203.16666666666671</v>
      </c>
      <c r="M112" s="4">
        <v>5</v>
      </c>
      <c r="N112" s="4">
        <v>92.125</v>
      </c>
      <c r="O112" s="4">
        <v>21.125</v>
      </c>
      <c r="P112" s="4">
        <v>38.75</v>
      </c>
      <c r="Q112" s="4">
        <v>95</v>
      </c>
      <c r="R112" s="4">
        <v>203</v>
      </c>
      <c r="S112" s="4" t="str" cm="1">
        <f t="array" ref="S112">_xlfn.IFS($R112&lt;=50,"Good",$R112&lt;=100,"Moderate",$R112&lt;=200,"Poor",$R112&lt;=300,"Very Poor",$R112&lt;=500,"Hazardous")</f>
        <v>Very Poor</v>
      </c>
      <c r="T112" t="s">
        <v>25</v>
      </c>
      <c r="X112" s="2"/>
      <c r="Y112" s="2"/>
    </row>
    <row r="113" spans="1:25" x14ac:dyDescent="0.3">
      <c r="A113" s="2">
        <v>45314</v>
      </c>
      <c r="B113" t="s">
        <v>21</v>
      </c>
      <c r="C113" s="4">
        <v>154.4</v>
      </c>
      <c r="D113" s="4">
        <v>407.9</v>
      </c>
      <c r="E113" s="4">
        <v>127</v>
      </c>
      <c r="F113" s="4">
        <v>16.600000000000001</v>
      </c>
      <c r="G113" s="4">
        <v>26.8</v>
      </c>
      <c r="H113" s="4">
        <v>3.24</v>
      </c>
      <c r="I113" s="4">
        <v>22.8</v>
      </c>
      <c r="J113" s="4">
        <v>76.099999999999994</v>
      </c>
      <c r="K113" s="4">
        <v>3.26</v>
      </c>
      <c r="L113" s="4">
        <v>257.33333333333343</v>
      </c>
      <c r="M113" s="4">
        <v>407.9</v>
      </c>
      <c r="N113" s="4">
        <v>158.75</v>
      </c>
      <c r="O113" s="4">
        <v>41.5</v>
      </c>
      <c r="P113" s="4">
        <v>67</v>
      </c>
      <c r="Q113" s="4">
        <v>162</v>
      </c>
      <c r="R113" s="4">
        <v>408</v>
      </c>
      <c r="S113" s="4" t="str" cm="1">
        <f t="array" ref="S113">_xlfn.IFS($R113&lt;=50,"Good",$R113&lt;=100,"Moderate",$R113&lt;=200,"Poor",$R113&lt;=300,"Very Poor",$R113&lt;=500,"Hazardous")</f>
        <v>Hazardous</v>
      </c>
      <c r="T113" t="s">
        <v>28</v>
      </c>
      <c r="X113" s="2"/>
      <c r="Y113" s="2"/>
    </row>
    <row r="114" spans="1:25" x14ac:dyDescent="0.3">
      <c r="A114" s="2">
        <v>45314</v>
      </c>
      <c r="B114" t="s">
        <v>22</v>
      </c>
      <c r="C114" s="4">
        <v>139.1</v>
      </c>
      <c r="D114" s="4">
        <v>133.6</v>
      </c>
      <c r="E114" s="4">
        <v>108.4</v>
      </c>
      <c r="F114" s="4">
        <v>13.66</v>
      </c>
      <c r="G114" s="4">
        <v>78.599999999999994</v>
      </c>
      <c r="H114" s="4">
        <v>1.2</v>
      </c>
      <c r="I114" s="4">
        <v>32.200000000000003</v>
      </c>
      <c r="J114" s="4">
        <v>63.6</v>
      </c>
      <c r="K114" s="4">
        <v>1.72</v>
      </c>
      <c r="L114" s="4">
        <v>231.83333333333329</v>
      </c>
      <c r="M114" s="4">
        <v>133.6</v>
      </c>
      <c r="N114" s="4">
        <v>135.5</v>
      </c>
      <c r="O114" s="4">
        <v>34.15</v>
      </c>
      <c r="P114" s="4">
        <v>196.5</v>
      </c>
      <c r="Q114" s="4">
        <v>60</v>
      </c>
      <c r="R114" s="4">
        <v>232</v>
      </c>
      <c r="S114" s="4" t="str" cm="1">
        <f t="array" ref="S114">_xlfn.IFS($R114&lt;=50,"Good",$R114&lt;=100,"Moderate",$R114&lt;=200,"Poor",$R114&lt;=300,"Very Poor",$R114&lt;=500,"Hazardous")</f>
        <v>Very Poor</v>
      </c>
      <c r="T114" t="s">
        <v>25</v>
      </c>
      <c r="X114" s="2"/>
      <c r="Y114" s="2"/>
    </row>
    <row r="115" spans="1:25" x14ac:dyDescent="0.3">
      <c r="A115" s="2">
        <v>45314</v>
      </c>
      <c r="B115" t="s">
        <v>23</v>
      </c>
      <c r="C115" s="4">
        <v>72.8</v>
      </c>
      <c r="D115" s="4">
        <v>161.19999999999999</v>
      </c>
      <c r="E115" s="4">
        <v>85.6</v>
      </c>
      <c r="F115" s="4">
        <v>16.98</v>
      </c>
      <c r="G115" s="4">
        <v>23.1</v>
      </c>
      <c r="H115" s="4">
        <v>1.9</v>
      </c>
      <c r="I115" s="4">
        <v>35</v>
      </c>
      <c r="J115" s="4">
        <v>91.1</v>
      </c>
      <c r="K115" s="4">
        <v>3.02</v>
      </c>
      <c r="L115" s="4">
        <v>121.3333333333333</v>
      </c>
      <c r="M115" s="4">
        <v>161.19999999999999</v>
      </c>
      <c r="N115" s="4">
        <v>107</v>
      </c>
      <c r="O115" s="4">
        <v>42.45</v>
      </c>
      <c r="P115" s="4">
        <v>57.75</v>
      </c>
      <c r="Q115" s="4">
        <v>95</v>
      </c>
      <c r="R115" s="4">
        <v>161</v>
      </c>
      <c r="S115" s="4" t="str" cm="1">
        <f t="array" ref="S115">_xlfn.IFS($R115&lt;=50,"Good",$R115&lt;=100,"Moderate",$R115&lt;=200,"Poor",$R115&lt;=300,"Very Poor",$R115&lt;=500,"Hazardous")</f>
        <v>Poor</v>
      </c>
      <c r="T115" t="s">
        <v>28</v>
      </c>
      <c r="X115" s="2"/>
      <c r="Y115" s="2"/>
    </row>
    <row r="116" spans="1:25" x14ac:dyDescent="0.3">
      <c r="A116" s="2">
        <v>45314</v>
      </c>
      <c r="B116" t="s">
        <v>24</v>
      </c>
      <c r="C116" s="4">
        <v>107.6</v>
      </c>
      <c r="D116" s="4">
        <v>223.9</v>
      </c>
      <c r="E116" s="4">
        <v>100.8</v>
      </c>
      <c r="F116" s="4">
        <v>5.08</v>
      </c>
      <c r="G116" s="4">
        <v>33.200000000000003</v>
      </c>
      <c r="H116" s="4">
        <v>0.35</v>
      </c>
      <c r="I116" s="4">
        <v>22.8</v>
      </c>
      <c r="J116" s="4">
        <v>71.599999999999994</v>
      </c>
      <c r="K116" s="4">
        <v>2.42</v>
      </c>
      <c r="L116" s="4">
        <v>179.33333333333329</v>
      </c>
      <c r="M116" s="4">
        <v>223.9</v>
      </c>
      <c r="N116" s="4">
        <v>126</v>
      </c>
      <c r="O116" s="4">
        <v>12.7</v>
      </c>
      <c r="P116" s="4">
        <v>83</v>
      </c>
      <c r="Q116" s="4">
        <v>17.5</v>
      </c>
      <c r="R116" s="4">
        <v>224</v>
      </c>
      <c r="S116" s="4" t="str" cm="1">
        <f t="array" ref="S116">_xlfn.IFS($R116&lt;=50,"Good",$R116&lt;=100,"Moderate",$R116&lt;=200,"Poor",$R116&lt;=300,"Very Poor",$R116&lt;=500,"Hazardous")</f>
        <v>Very Poor</v>
      </c>
      <c r="T116" t="s">
        <v>28</v>
      </c>
      <c r="X116" s="2"/>
      <c r="Y116" s="2"/>
    </row>
    <row r="117" spans="1:25" x14ac:dyDescent="0.3">
      <c r="A117" s="2">
        <v>45315</v>
      </c>
      <c r="B117" t="s">
        <v>20</v>
      </c>
      <c r="C117" s="4">
        <v>197.3</v>
      </c>
      <c r="D117" s="4">
        <v>85.5</v>
      </c>
      <c r="E117" s="4">
        <v>28.9</v>
      </c>
      <c r="F117" s="4">
        <v>16.78</v>
      </c>
      <c r="G117" s="4">
        <v>68.5</v>
      </c>
      <c r="H117" s="4">
        <v>4.07</v>
      </c>
      <c r="I117" s="4">
        <v>16.8</v>
      </c>
      <c r="J117" s="4">
        <v>79.400000000000006</v>
      </c>
      <c r="K117" s="4">
        <v>2.4500000000000002</v>
      </c>
      <c r="L117" s="4">
        <v>328.83333333333343</v>
      </c>
      <c r="M117" s="4">
        <v>85.5</v>
      </c>
      <c r="N117" s="4">
        <v>36.125</v>
      </c>
      <c r="O117" s="4">
        <v>41.95</v>
      </c>
      <c r="P117" s="4">
        <v>171.25</v>
      </c>
      <c r="Q117" s="4">
        <v>203.5</v>
      </c>
      <c r="R117" s="4">
        <v>329</v>
      </c>
      <c r="S117" s="4" t="str" cm="1">
        <f t="array" ref="S117">_xlfn.IFS($R117&lt;=50,"Good",$R117&lt;=100,"Moderate",$R117&lt;=200,"Poor",$R117&lt;=300,"Very Poor",$R117&lt;=500,"Hazardous")</f>
        <v>Hazardous</v>
      </c>
      <c r="T117" t="s">
        <v>25</v>
      </c>
      <c r="X117" s="2"/>
      <c r="Y117" s="2"/>
    </row>
    <row r="118" spans="1:25" x14ac:dyDescent="0.3">
      <c r="A118" s="2">
        <v>45315</v>
      </c>
      <c r="B118" t="s">
        <v>21</v>
      </c>
      <c r="C118" s="4">
        <v>109.6</v>
      </c>
      <c r="D118" s="4">
        <v>346</v>
      </c>
      <c r="E118" s="4">
        <v>116.1</v>
      </c>
      <c r="F118" s="4">
        <v>0.5</v>
      </c>
      <c r="G118" s="4">
        <v>86.5</v>
      </c>
      <c r="H118" s="4">
        <v>4.0599999999999996</v>
      </c>
      <c r="I118" s="4">
        <v>15.6</v>
      </c>
      <c r="J118" s="4">
        <v>67.099999999999994</v>
      </c>
      <c r="K118" s="4">
        <v>3.09</v>
      </c>
      <c r="L118" s="4">
        <v>182.66666666666671</v>
      </c>
      <c r="M118" s="4">
        <v>346</v>
      </c>
      <c r="N118" s="4">
        <v>145.125</v>
      </c>
      <c r="O118" s="4">
        <v>1.25</v>
      </c>
      <c r="P118" s="4">
        <v>216.25</v>
      </c>
      <c r="Q118" s="4">
        <v>203</v>
      </c>
      <c r="R118" s="4">
        <v>346</v>
      </c>
      <c r="S118" s="4" t="str" cm="1">
        <f t="array" ref="S118">_xlfn.IFS($R118&lt;=50,"Good",$R118&lt;=100,"Moderate",$R118&lt;=200,"Poor",$R118&lt;=300,"Very Poor",$R118&lt;=500,"Hazardous")</f>
        <v>Hazardous</v>
      </c>
      <c r="T118" t="s">
        <v>28</v>
      </c>
      <c r="X118" s="2"/>
      <c r="Y118" s="2"/>
    </row>
    <row r="119" spans="1:25" x14ac:dyDescent="0.3">
      <c r="A119" s="2">
        <v>45315</v>
      </c>
      <c r="B119" t="s">
        <v>22</v>
      </c>
      <c r="C119" s="4">
        <v>103.1</v>
      </c>
      <c r="D119" s="4">
        <v>132.19999999999999</v>
      </c>
      <c r="E119" s="4">
        <v>48</v>
      </c>
      <c r="F119" s="4">
        <v>11.97</v>
      </c>
      <c r="G119" s="4">
        <v>59.3</v>
      </c>
      <c r="H119" s="4">
        <v>2.3199999999999998</v>
      </c>
      <c r="I119" s="4">
        <v>17.399999999999999</v>
      </c>
      <c r="J119" s="4">
        <v>73.900000000000006</v>
      </c>
      <c r="K119" s="4">
        <v>0.2</v>
      </c>
      <c r="L119" s="4">
        <v>171.83333333333329</v>
      </c>
      <c r="M119" s="4">
        <v>132.19999999999999</v>
      </c>
      <c r="N119" s="4">
        <v>60</v>
      </c>
      <c r="O119" s="4">
        <v>29.925000000000001</v>
      </c>
      <c r="P119" s="4">
        <v>148.25</v>
      </c>
      <c r="Q119" s="4">
        <v>116</v>
      </c>
      <c r="R119" s="4">
        <v>172</v>
      </c>
      <c r="S119" s="4" t="str" cm="1">
        <f t="array" ref="S119">_xlfn.IFS($R119&lt;=50,"Good",$R119&lt;=100,"Moderate",$R119&lt;=200,"Poor",$R119&lt;=300,"Very Poor",$R119&lt;=500,"Hazardous")</f>
        <v>Poor</v>
      </c>
      <c r="T119" t="s">
        <v>25</v>
      </c>
      <c r="X119" s="2"/>
      <c r="Y119" s="2"/>
    </row>
    <row r="120" spans="1:25" x14ac:dyDescent="0.3">
      <c r="A120" s="2">
        <v>45315</v>
      </c>
      <c r="B120" t="s">
        <v>23</v>
      </c>
      <c r="C120" s="4">
        <v>151.1</v>
      </c>
      <c r="D120" s="4">
        <v>25</v>
      </c>
      <c r="E120" s="4">
        <v>60.4</v>
      </c>
      <c r="F120" s="4">
        <v>3.84</v>
      </c>
      <c r="G120" s="4">
        <v>6.9</v>
      </c>
      <c r="H120" s="4">
        <v>3.03</v>
      </c>
      <c r="I120" s="4">
        <v>16.7</v>
      </c>
      <c r="J120" s="4">
        <v>66.2</v>
      </c>
      <c r="K120" s="4">
        <v>2.44</v>
      </c>
      <c r="L120" s="4">
        <v>251.83333333333329</v>
      </c>
      <c r="M120" s="4">
        <v>25</v>
      </c>
      <c r="N120" s="4">
        <v>75.5</v>
      </c>
      <c r="O120" s="4">
        <v>9.6</v>
      </c>
      <c r="P120" s="4">
        <v>17.25</v>
      </c>
      <c r="Q120" s="4">
        <v>151.5</v>
      </c>
      <c r="R120" s="4">
        <v>252</v>
      </c>
      <c r="S120" s="4" t="str" cm="1">
        <f t="array" ref="S120">_xlfn.IFS($R120&lt;=50,"Good",$R120&lt;=100,"Moderate",$R120&lt;=200,"Poor",$R120&lt;=300,"Very Poor",$R120&lt;=500,"Hazardous")</f>
        <v>Very Poor</v>
      </c>
      <c r="T120" t="s">
        <v>25</v>
      </c>
      <c r="X120" s="2"/>
      <c r="Y120" s="2"/>
    </row>
    <row r="121" spans="1:25" x14ac:dyDescent="0.3">
      <c r="A121" s="2">
        <v>45315</v>
      </c>
      <c r="B121" t="s">
        <v>24</v>
      </c>
      <c r="C121" s="4">
        <v>130.80000000000001</v>
      </c>
      <c r="D121" s="4">
        <v>219.3</v>
      </c>
      <c r="E121" s="4">
        <v>34</v>
      </c>
      <c r="F121" s="4">
        <v>22.85</v>
      </c>
      <c r="G121" s="4">
        <v>27.4</v>
      </c>
      <c r="H121" s="4">
        <v>0.47</v>
      </c>
      <c r="I121" s="4">
        <v>17</v>
      </c>
      <c r="J121" s="4">
        <v>87</v>
      </c>
      <c r="K121" s="4">
        <v>4.0199999999999996</v>
      </c>
      <c r="L121" s="4">
        <v>218</v>
      </c>
      <c r="M121" s="4">
        <v>219.3</v>
      </c>
      <c r="N121" s="4">
        <v>42.5</v>
      </c>
      <c r="O121" s="4">
        <v>57.125</v>
      </c>
      <c r="P121" s="4">
        <v>68.499999999999986</v>
      </c>
      <c r="Q121" s="4">
        <v>23.5</v>
      </c>
      <c r="R121" s="4">
        <v>219</v>
      </c>
      <c r="S121" s="4" t="str" cm="1">
        <f t="array" ref="S121">_xlfn.IFS($R121&lt;=50,"Good",$R121&lt;=100,"Moderate",$R121&lt;=200,"Poor",$R121&lt;=300,"Very Poor",$R121&lt;=500,"Hazardous")</f>
        <v>Very Poor</v>
      </c>
      <c r="T121" t="s">
        <v>28</v>
      </c>
      <c r="X121" s="2"/>
      <c r="Y121" s="2"/>
    </row>
    <row r="122" spans="1:25" x14ac:dyDescent="0.3">
      <c r="A122" s="2">
        <v>45316</v>
      </c>
      <c r="B122" t="s">
        <v>20</v>
      </c>
      <c r="C122" s="4">
        <v>91.2</v>
      </c>
      <c r="D122" s="4">
        <v>182.2</v>
      </c>
      <c r="E122" s="4">
        <v>71</v>
      </c>
      <c r="F122" s="4">
        <v>33.83</v>
      </c>
      <c r="G122" s="4">
        <v>51.3</v>
      </c>
      <c r="H122" s="4">
        <v>2.68</v>
      </c>
      <c r="I122" s="4">
        <v>27.2</v>
      </c>
      <c r="J122" s="4">
        <v>64.3</v>
      </c>
      <c r="K122" s="4">
        <v>2.19</v>
      </c>
      <c r="L122" s="4">
        <v>152</v>
      </c>
      <c r="M122" s="4">
        <v>182.2</v>
      </c>
      <c r="N122" s="4">
        <v>88.75</v>
      </c>
      <c r="O122" s="4">
        <v>84.575000000000003</v>
      </c>
      <c r="P122" s="4">
        <v>128.25</v>
      </c>
      <c r="Q122" s="4">
        <v>134</v>
      </c>
      <c r="R122" s="4">
        <v>182</v>
      </c>
      <c r="S122" s="4" t="str" cm="1">
        <f t="array" ref="S122">_xlfn.IFS($R122&lt;=50,"Good",$R122&lt;=100,"Moderate",$R122&lt;=200,"Poor",$R122&lt;=300,"Very Poor",$R122&lt;=500,"Hazardous")</f>
        <v>Poor</v>
      </c>
      <c r="T122" t="s">
        <v>28</v>
      </c>
      <c r="X122" s="2"/>
      <c r="Y122" s="2"/>
    </row>
    <row r="123" spans="1:25" x14ac:dyDescent="0.3">
      <c r="A123" s="2">
        <v>45316</v>
      </c>
      <c r="B123" t="s">
        <v>21</v>
      </c>
      <c r="C123" s="4">
        <v>108.2</v>
      </c>
      <c r="D123" s="4">
        <v>231.4</v>
      </c>
      <c r="E123" s="4">
        <v>88.5</v>
      </c>
      <c r="F123" s="4">
        <v>23.28</v>
      </c>
      <c r="G123" s="4">
        <v>46.5</v>
      </c>
      <c r="H123" s="4">
        <v>3.28</v>
      </c>
      <c r="I123" s="4">
        <v>19.399999999999999</v>
      </c>
      <c r="J123" s="4">
        <v>61.4</v>
      </c>
      <c r="K123" s="4">
        <v>0.2</v>
      </c>
      <c r="L123" s="4">
        <v>180.33333333333329</v>
      </c>
      <c r="M123" s="4">
        <v>231.4</v>
      </c>
      <c r="N123" s="4">
        <v>110.625</v>
      </c>
      <c r="O123" s="4">
        <v>58.2</v>
      </c>
      <c r="P123" s="4">
        <v>116.25</v>
      </c>
      <c r="Q123" s="4">
        <v>164</v>
      </c>
      <c r="R123" s="4">
        <v>231</v>
      </c>
      <c r="S123" s="4" t="str" cm="1">
        <f t="array" ref="S123">_xlfn.IFS($R123&lt;=50,"Good",$R123&lt;=100,"Moderate",$R123&lt;=200,"Poor",$R123&lt;=300,"Very Poor",$R123&lt;=500,"Hazardous")</f>
        <v>Very Poor</v>
      </c>
      <c r="T123" t="s">
        <v>28</v>
      </c>
      <c r="X123" s="2"/>
      <c r="Y123" s="2"/>
    </row>
    <row r="124" spans="1:25" x14ac:dyDescent="0.3">
      <c r="A124" s="2">
        <v>45316</v>
      </c>
      <c r="B124" t="s">
        <v>22</v>
      </c>
      <c r="C124" s="4">
        <v>133</v>
      </c>
      <c r="D124" s="4">
        <v>214</v>
      </c>
      <c r="E124" s="4">
        <v>98.7</v>
      </c>
      <c r="F124" s="4">
        <v>0.5</v>
      </c>
      <c r="G124" s="4">
        <v>78.8</v>
      </c>
      <c r="H124" s="4">
        <v>1.7</v>
      </c>
      <c r="I124" s="4">
        <v>27.8</v>
      </c>
      <c r="J124" s="4">
        <v>41.3</v>
      </c>
      <c r="K124" s="4">
        <v>3.24</v>
      </c>
      <c r="L124" s="4">
        <v>221.66666666666671</v>
      </c>
      <c r="M124" s="4">
        <v>214</v>
      </c>
      <c r="N124" s="4">
        <v>123.375</v>
      </c>
      <c r="O124" s="4">
        <v>1.25</v>
      </c>
      <c r="P124" s="4">
        <v>197</v>
      </c>
      <c r="Q124" s="4">
        <v>84.999999999999986</v>
      </c>
      <c r="R124" s="4">
        <v>222</v>
      </c>
      <c r="S124" s="4" t="str" cm="1">
        <f t="array" ref="S124">_xlfn.IFS($R124&lt;=50,"Good",$R124&lt;=100,"Moderate",$R124&lt;=200,"Poor",$R124&lt;=300,"Very Poor",$R124&lt;=500,"Hazardous")</f>
        <v>Very Poor</v>
      </c>
      <c r="T124" t="s">
        <v>25</v>
      </c>
      <c r="X124" s="2"/>
      <c r="Y124" s="2"/>
    </row>
    <row r="125" spans="1:25" x14ac:dyDescent="0.3">
      <c r="A125" s="2">
        <v>45316</v>
      </c>
      <c r="B125" t="s">
        <v>23</v>
      </c>
      <c r="C125" s="4">
        <v>45.4</v>
      </c>
      <c r="D125" s="4">
        <v>132.1</v>
      </c>
      <c r="E125" s="4">
        <v>133.19999999999999</v>
      </c>
      <c r="F125" s="4">
        <v>11.27</v>
      </c>
      <c r="G125" s="4">
        <v>40.9</v>
      </c>
      <c r="H125" s="4">
        <v>2.76</v>
      </c>
      <c r="I125" s="4">
        <v>23.5</v>
      </c>
      <c r="J125" s="4">
        <v>62.7</v>
      </c>
      <c r="K125" s="4">
        <v>2.94</v>
      </c>
      <c r="L125" s="4">
        <v>75.666666666666657</v>
      </c>
      <c r="M125" s="4">
        <v>132.1</v>
      </c>
      <c r="N125" s="4">
        <v>166.5</v>
      </c>
      <c r="O125" s="4">
        <v>28.175000000000001</v>
      </c>
      <c r="P125" s="4">
        <v>102.25</v>
      </c>
      <c r="Q125" s="4">
        <v>138</v>
      </c>
      <c r="R125" s="4">
        <v>166</v>
      </c>
      <c r="S125" s="4" t="str" cm="1">
        <f t="array" ref="S125">_xlfn.IFS($R125&lt;=50,"Good",$R125&lt;=100,"Moderate",$R125&lt;=200,"Poor",$R125&lt;=300,"Very Poor",$R125&lt;=500,"Hazardous")</f>
        <v>Poor</v>
      </c>
      <c r="T125" t="s">
        <v>26</v>
      </c>
      <c r="X125" s="2"/>
      <c r="Y125" s="2"/>
    </row>
    <row r="126" spans="1:25" x14ac:dyDescent="0.3">
      <c r="A126" s="2">
        <v>45316</v>
      </c>
      <c r="B126" t="s">
        <v>24</v>
      </c>
      <c r="C126" s="4">
        <v>232.5</v>
      </c>
      <c r="D126" s="4">
        <v>205.1</v>
      </c>
      <c r="E126" s="4">
        <v>86.3</v>
      </c>
      <c r="F126" s="4">
        <v>23.33</v>
      </c>
      <c r="G126" s="4">
        <v>67</v>
      </c>
      <c r="H126" s="4">
        <v>3.37</v>
      </c>
      <c r="I126" s="4">
        <v>24.5</v>
      </c>
      <c r="J126" s="4">
        <v>39.4</v>
      </c>
      <c r="K126" s="4">
        <v>4.96</v>
      </c>
      <c r="L126" s="4">
        <v>387.5</v>
      </c>
      <c r="M126" s="4">
        <v>205.1</v>
      </c>
      <c r="N126" s="4">
        <v>107.875</v>
      </c>
      <c r="O126" s="4">
        <v>58.325000000000003</v>
      </c>
      <c r="P126" s="4">
        <v>167.5</v>
      </c>
      <c r="Q126" s="4">
        <v>168.5</v>
      </c>
      <c r="R126" s="4">
        <v>388</v>
      </c>
      <c r="S126" s="4" t="str" cm="1">
        <f t="array" ref="S126">_xlfn.IFS($R126&lt;=50,"Good",$R126&lt;=100,"Moderate",$R126&lt;=200,"Poor",$R126&lt;=300,"Very Poor",$R126&lt;=500,"Hazardous")</f>
        <v>Hazardous</v>
      </c>
      <c r="T126" t="s">
        <v>25</v>
      </c>
      <c r="X126" s="2"/>
      <c r="Y126" s="2"/>
    </row>
    <row r="127" spans="1:25" x14ac:dyDescent="0.3">
      <c r="A127" s="2">
        <v>45317</v>
      </c>
      <c r="B127" t="s">
        <v>20</v>
      </c>
      <c r="C127" s="4">
        <v>47.1</v>
      </c>
      <c r="D127" s="4">
        <v>254.2</v>
      </c>
      <c r="E127" s="4">
        <v>55</v>
      </c>
      <c r="F127" s="4">
        <v>14.13</v>
      </c>
      <c r="G127" s="4">
        <v>49.9</v>
      </c>
      <c r="H127" s="4">
        <v>2.56</v>
      </c>
      <c r="I127" s="4">
        <v>23</v>
      </c>
      <c r="J127" s="4">
        <v>89</v>
      </c>
      <c r="K127" s="4">
        <v>3.04</v>
      </c>
      <c r="L127" s="4">
        <v>78.5</v>
      </c>
      <c r="M127" s="4">
        <v>254.2</v>
      </c>
      <c r="N127" s="4">
        <v>68.75</v>
      </c>
      <c r="O127" s="4">
        <v>35.325000000000003</v>
      </c>
      <c r="P127" s="4">
        <v>124.75</v>
      </c>
      <c r="Q127" s="4">
        <v>128</v>
      </c>
      <c r="R127" s="4">
        <v>254</v>
      </c>
      <c r="S127" s="4" t="str" cm="1">
        <f t="array" ref="S127">_xlfn.IFS($R127&lt;=50,"Good",$R127&lt;=100,"Moderate",$R127&lt;=200,"Poor",$R127&lt;=300,"Very Poor",$R127&lt;=500,"Hazardous")</f>
        <v>Very Poor</v>
      </c>
      <c r="T127" t="s">
        <v>28</v>
      </c>
      <c r="X127" s="2"/>
      <c r="Y127" s="2"/>
    </row>
    <row r="128" spans="1:25" x14ac:dyDescent="0.3">
      <c r="A128" s="2">
        <v>45317</v>
      </c>
      <c r="B128" t="s">
        <v>21</v>
      </c>
      <c r="C128" s="4">
        <v>105.4</v>
      </c>
      <c r="D128" s="4">
        <v>355.7</v>
      </c>
      <c r="E128" s="4">
        <v>137.6</v>
      </c>
      <c r="F128" s="4">
        <v>3.72</v>
      </c>
      <c r="G128" s="4">
        <v>61.8</v>
      </c>
      <c r="H128" s="4">
        <v>3.24</v>
      </c>
      <c r="I128" s="4">
        <v>17.899999999999999</v>
      </c>
      <c r="J128" s="4">
        <v>84.8</v>
      </c>
      <c r="K128" s="4">
        <v>2.3199999999999998</v>
      </c>
      <c r="L128" s="4">
        <v>175.66666666666671</v>
      </c>
      <c r="M128" s="4">
        <v>355.7</v>
      </c>
      <c r="N128" s="4">
        <v>172</v>
      </c>
      <c r="O128" s="4">
        <v>9.3000000000000007</v>
      </c>
      <c r="P128" s="4">
        <v>154.5</v>
      </c>
      <c r="Q128" s="4">
        <v>162</v>
      </c>
      <c r="R128" s="4">
        <v>356</v>
      </c>
      <c r="S128" s="4" t="str" cm="1">
        <f t="array" ref="S128">_xlfn.IFS($R128&lt;=50,"Good",$R128&lt;=100,"Moderate",$R128&lt;=200,"Poor",$R128&lt;=300,"Very Poor",$R128&lt;=500,"Hazardous")</f>
        <v>Hazardous</v>
      </c>
      <c r="T128" t="s">
        <v>28</v>
      </c>
      <c r="X128" s="2"/>
      <c r="Y128" s="2"/>
    </row>
    <row r="129" spans="1:25" x14ac:dyDescent="0.3">
      <c r="A129" s="2">
        <v>45317</v>
      </c>
      <c r="B129" t="s">
        <v>22</v>
      </c>
      <c r="C129" s="4">
        <v>96.9</v>
      </c>
      <c r="D129" s="4">
        <v>166.6</v>
      </c>
      <c r="E129" s="4">
        <v>68.900000000000006</v>
      </c>
      <c r="F129" s="4">
        <v>3.83</v>
      </c>
      <c r="G129" s="4">
        <v>3.4</v>
      </c>
      <c r="H129" s="4">
        <v>3.28</v>
      </c>
      <c r="I129" s="4">
        <v>14.1</v>
      </c>
      <c r="J129" s="4">
        <v>42.2</v>
      </c>
      <c r="K129" s="4">
        <v>0.2</v>
      </c>
      <c r="L129" s="4">
        <v>161.5</v>
      </c>
      <c r="M129" s="4">
        <v>166.6</v>
      </c>
      <c r="N129" s="4">
        <v>86.125</v>
      </c>
      <c r="O129" s="4">
        <v>9.5749999999999993</v>
      </c>
      <c r="P129" s="4">
        <v>8.5</v>
      </c>
      <c r="Q129" s="4">
        <v>164</v>
      </c>
      <c r="R129" s="4">
        <v>167</v>
      </c>
      <c r="S129" s="4" t="str" cm="1">
        <f t="array" ref="S129">_xlfn.IFS($R129&lt;=50,"Good",$R129&lt;=100,"Moderate",$R129&lt;=200,"Poor",$R129&lt;=300,"Very Poor",$R129&lt;=500,"Hazardous")</f>
        <v>Poor</v>
      </c>
      <c r="T129" t="s">
        <v>28</v>
      </c>
      <c r="X129" s="2"/>
      <c r="Y129" s="2"/>
    </row>
    <row r="130" spans="1:25" x14ac:dyDescent="0.3">
      <c r="A130" s="2">
        <v>45317</v>
      </c>
      <c r="B130" t="s">
        <v>23</v>
      </c>
      <c r="C130" s="4">
        <v>65.3</v>
      </c>
      <c r="D130" s="4">
        <v>65</v>
      </c>
      <c r="E130" s="4">
        <v>124.5</v>
      </c>
      <c r="F130" s="4">
        <v>20.88</v>
      </c>
      <c r="G130" s="4">
        <v>20.5</v>
      </c>
      <c r="H130" s="4">
        <v>4.08</v>
      </c>
      <c r="I130" s="4">
        <v>26.9</v>
      </c>
      <c r="J130" s="4">
        <v>54.2</v>
      </c>
      <c r="K130" s="4">
        <v>0.2</v>
      </c>
      <c r="L130" s="4">
        <v>108.8333333333333</v>
      </c>
      <c r="M130" s="4">
        <v>65</v>
      </c>
      <c r="N130" s="4">
        <v>155.625</v>
      </c>
      <c r="O130" s="4">
        <v>52.2</v>
      </c>
      <c r="P130" s="4">
        <v>51.25</v>
      </c>
      <c r="Q130" s="4">
        <v>204</v>
      </c>
      <c r="R130" s="4">
        <v>204</v>
      </c>
      <c r="S130" s="4" t="str" cm="1">
        <f t="array" ref="S130">_xlfn.IFS($R130&lt;=50,"Good",$R130&lt;=100,"Moderate",$R130&lt;=200,"Poor",$R130&lt;=300,"Very Poor",$R130&lt;=500,"Hazardous")</f>
        <v>Very Poor</v>
      </c>
      <c r="T130" t="s">
        <v>29</v>
      </c>
      <c r="X130" s="2"/>
      <c r="Y130" s="2"/>
    </row>
    <row r="131" spans="1:25" x14ac:dyDescent="0.3">
      <c r="A131" s="2">
        <v>45317</v>
      </c>
      <c r="B131" t="s">
        <v>24</v>
      </c>
      <c r="C131" s="4">
        <v>226.6</v>
      </c>
      <c r="D131" s="4">
        <v>64.5</v>
      </c>
      <c r="E131" s="4">
        <v>21.3</v>
      </c>
      <c r="F131" s="4">
        <v>23.08</v>
      </c>
      <c r="G131" s="4">
        <v>100</v>
      </c>
      <c r="H131" s="4">
        <v>3.57</v>
      </c>
      <c r="I131" s="4">
        <v>23.9</v>
      </c>
      <c r="J131" s="4">
        <v>70.7</v>
      </c>
      <c r="K131" s="4">
        <v>4.0199999999999996</v>
      </c>
      <c r="L131" s="4">
        <v>377.66666666666657</v>
      </c>
      <c r="M131" s="4">
        <v>64.5</v>
      </c>
      <c r="N131" s="4">
        <v>26.625</v>
      </c>
      <c r="O131" s="4">
        <v>57.7</v>
      </c>
      <c r="P131" s="4">
        <v>250</v>
      </c>
      <c r="Q131" s="4">
        <v>178.5</v>
      </c>
      <c r="R131" s="4">
        <v>378</v>
      </c>
      <c r="S131" s="4" t="str" cm="1">
        <f t="array" ref="S131">_xlfn.IFS($R131&lt;=50,"Good",$R131&lt;=100,"Moderate",$R131&lt;=200,"Poor",$R131&lt;=300,"Very Poor",$R131&lt;=500,"Hazardous")</f>
        <v>Hazardous</v>
      </c>
      <c r="T131" t="s">
        <v>25</v>
      </c>
      <c r="X131" s="2"/>
      <c r="Y131" s="2"/>
    </row>
    <row r="132" spans="1:25" x14ac:dyDescent="0.3">
      <c r="A132" s="2">
        <v>45318</v>
      </c>
      <c r="B132" t="s">
        <v>20</v>
      </c>
      <c r="C132" s="4">
        <v>152.30000000000001</v>
      </c>
      <c r="D132" s="4">
        <v>251.8</v>
      </c>
      <c r="E132" s="4">
        <v>86.6</v>
      </c>
      <c r="F132" s="4">
        <v>14.14</v>
      </c>
      <c r="G132" s="4">
        <v>21.9</v>
      </c>
      <c r="H132" s="4">
        <v>1.9</v>
      </c>
      <c r="I132" s="4">
        <v>8.1</v>
      </c>
      <c r="J132" s="4">
        <v>58.2</v>
      </c>
      <c r="K132" s="4">
        <v>1.31</v>
      </c>
      <c r="L132" s="4">
        <v>253.83333333333329</v>
      </c>
      <c r="M132" s="4">
        <v>251.8</v>
      </c>
      <c r="N132" s="4">
        <v>108.25</v>
      </c>
      <c r="O132" s="4">
        <v>35.35</v>
      </c>
      <c r="P132" s="4">
        <v>54.749999999999993</v>
      </c>
      <c r="Q132" s="4">
        <v>95</v>
      </c>
      <c r="R132" s="4">
        <v>254</v>
      </c>
      <c r="S132" s="4" t="str" cm="1">
        <f t="array" ref="S132">_xlfn.IFS($R132&lt;=50,"Good",$R132&lt;=100,"Moderate",$R132&lt;=200,"Poor",$R132&lt;=300,"Very Poor",$R132&lt;=500,"Hazardous")</f>
        <v>Very Poor</v>
      </c>
      <c r="T132" t="s">
        <v>25</v>
      </c>
      <c r="X132" s="2"/>
      <c r="Y132" s="2"/>
    </row>
    <row r="133" spans="1:25" x14ac:dyDescent="0.3">
      <c r="A133" s="2">
        <v>45318</v>
      </c>
      <c r="B133" t="s">
        <v>21</v>
      </c>
      <c r="C133" s="4">
        <v>53.8</v>
      </c>
      <c r="D133" s="4">
        <v>261.60000000000002</v>
      </c>
      <c r="E133" s="4">
        <v>145.69999999999999</v>
      </c>
      <c r="F133" s="4">
        <v>25.18</v>
      </c>
      <c r="G133" s="4">
        <v>1</v>
      </c>
      <c r="H133" s="4">
        <v>1.21</v>
      </c>
      <c r="I133" s="4">
        <v>26.6</v>
      </c>
      <c r="J133" s="4">
        <v>42.3</v>
      </c>
      <c r="K133" s="4">
        <v>2.23</v>
      </c>
      <c r="L133" s="4">
        <v>89.666666666666657</v>
      </c>
      <c r="M133" s="4">
        <v>261.60000000000002</v>
      </c>
      <c r="N133" s="4">
        <v>182.125</v>
      </c>
      <c r="O133" s="4">
        <v>62.95</v>
      </c>
      <c r="P133" s="4">
        <v>2.5</v>
      </c>
      <c r="Q133" s="4">
        <v>60.5</v>
      </c>
      <c r="R133" s="4">
        <v>262</v>
      </c>
      <c r="S133" s="4" t="str" cm="1">
        <f t="array" ref="S133">_xlfn.IFS($R133&lt;=50,"Good",$R133&lt;=100,"Moderate",$R133&lt;=200,"Poor",$R133&lt;=300,"Very Poor",$R133&lt;=500,"Hazardous")</f>
        <v>Very Poor</v>
      </c>
      <c r="T133" t="s">
        <v>28</v>
      </c>
      <c r="X133" s="2"/>
      <c r="Y133" s="2"/>
    </row>
    <row r="134" spans="1:25" x14ac:dyDescent="0.3">
      <c r="A134" s="2">
        <v>45318</v>
      </c>
      <c r="B134" t="s">
        <v>22</v>
      </c>
      <c r="C134" s="4">
        <v>116.3</v>
      </c>
      <c r="D134" s="4">
        <v>94.1</v>
      </c>
      <c r="E134" s="4">
        <v>71.599999999999994</v>
      </c>
      <c r="F134" s="4">
        <v>2.02</v>
      </c>
      <c r="G134" s="4">
        <v>21.3</v>
      </c>
      <c r="H134" s="4">
        <v>2.12</v>
      </c>
      <c r="I134" s="4">
        <v>8.8000000000000007</v>
      </c>
      <c r="J134" s="4">
        <v>67.900000000000006</v>
      </c>
      <c r="K134" s="4">
        <v>2.48</v>
      </c>
      <c r="L134" s="4">
        <v>193.83333333333329</v>
      </c>
      <c r="M134" s="4">
        <v>94.1</v>
      </c>
      <c r="N134" s="4">
        <v>89.5</v>
      </c>
      <c r="O134" s="4">
        <v>5.05</v>
      </c>
      <c r="P134" s="4">
        <v>53.25</v>
      </c>
      <c r="Q134" s="4">
        <v>106</v>
      </c>
      <c r="R134" s="4">
        <v>194</v>
      </c>
      <c r="S134" s="4" t="str" cm="1">
        <f t="array" ref="S134">_xlfn.IFS($R134&lt;=50,"Good",$R134&lt;=100,"Moderate",$R134&lt;=200,"Poor",$R134&lt;=300,"Very Poor",$R134&lt;=500,"Hazardous")</f>
        <v>Poor</v>
      </c>
      <c r="T134" t="s">
        <v>25</v>
      </c>
      <c r="X134" s="2"/>
      <c r="Y134" s="2"/>
    </row>
    <row r="135" spans="1:25" x14ac:dyDescent="0.3">
      <c r="A135" s="2">
        <v>45318</v>
      </c>
      <c r="B135" t="s">
        <v>23</v>
      </c>
      <c r="C135" s="4">
        <v>122.5</v>
      </c>
      <c r="D135" s="4">
        <v>213.5</v>
      </c>
      <c r="E135" s="4">
        <v>115.7</v>
      </c>
      <c r="F135" s="4">
        <v>13.8</v>
      </c>
      <c r="G135" s="4">
        <v>26.3</v>
      </c>
      <c r="H135" s="4">
        <v>2.04</v>
      </c>
      <c r="I135" s="4">
        <v>23.8</v>
      </c>
      <c r="J135" s="4">
        <v>60.9</v>
      </c>
      <c r="K135" s="4">
        <v>2.5499999999999998</v>
      </c>
      <c r="L135" s="4">
        <v>204.16666666666671</v>
      </c>
      <c r="M135" s="4">
        <v>213.5</v>
      </c>
      <c r="N135" s="4">
        <v>144.625</v>
      </c>
      <c r="O135" s="4">
        <v>34.5</v>
      </c>
      <c r="P135" s="4">
        <v>65.75</v>
      </c>
      <c r="Q135" s="4">
        <v>102</v>
      </c>
      <c r="R135" s="4">
        <v>214</v>
      </c>
      <c r="S135" s="4" t="str" cm="1">
        <f t="array" ref="S135">_xlfn.IFS($R135&lt;=50,"Good",$R135&lt;=100,"Moderate",$R135&lt;=200,"Poor",$R135&lt;=300,"Very Poor",$R135&lt;=500,"Hazardous")</f>
        <v>Very Poor</v>
      </c>
      <c r="T135" t="s">
        <v>28</v>
      </c>
      <c r="X135" s="2"/>
      <c r="Y135" s="2"/>
    </row>
    <row r="136" spans="1:25" x14ac:dyDescent="0.3">
      <c r="A136" s="2">
        <v>45318</v>
      </c>
      <c r="B136" t="s">
        <v>24</v>
      </c>
      <c r="C136" s="4">
        <v>68.5</v>
      </c>
      <c r="D136" s="4">
        <v>141.19999999999999</v>
      </c>
      <c r="E136" s="4">
        <v>29.8</v>
      </c>
      <c r="F136" s="4">
        <v>29.48</v>
      </c>
      <c r="G136" s="4">
        <v>8.8000000000000007</v>
      </c>
      <c r="H136" s="4">
        <v>1.38</v>
      </c>
      <c r="I136" s="4">
        <v>15</v>
      </c>
      <c r="J136" s="4">
        <v>76.099999999999994</v>
      </c>
      <c r="K136" s="4">
        <v>2.65</v>
      </c>
      <c r="L136" s="4">
        <v>114.1666666666667</v>
      </c>
      <c r="M136" s="4">
        <v>141.19999999999999</v>
      </c>
      <c r="N136" s="4">
        <v>37.25</v>
      </c>
      <c r="O136" s="4">
        <v>73.7</v>
      </c>
      <c r="P136" s="4">
        <v>22</v>
      </c>
      <c r="Q136" s="4">
        <v>68.999999999999986</v>
      </c>
      <c r="R136" s="4">
        <v>141</v>
      </c>
      <c r="S136" s="4" t="str" cm="1">
        <f t="array" ref="S136">_xlfn.IFS($R136&lt;=50,"Good",$R136&lt;=100,"Moderate",$R136&lt;=200,"Poor",$R136&lt;=300,"Very Poor",$R136&lt;=500,"Hazardous")</f>
        <v>Poor</v>
      </c>
      <c r="T136" t="s">
        <v>28</v>
      </c>
      <c r="X136" s="2"/>
      <c r="Y136" s="2"/>
    </row>
    <row r="137" spans="1:25" x14ac:dyDescent="0.3">
      <c r="A137" s="2">
        <v>45319</v>
      </c>
      <c r="B137" t="s">
        <v>20</v>
      </c>
      <c r="C137" s="4">
        <v>179.3</v>
      </c>
      <c r="D137" s="4">
        <v>146.4</v>
      </c>
      <c r="E137" s="4">
        <v>93.1</v>
      </c>
      <c r="F137" s="4">
        <v>7.03</v>
      </c>
      <c r="G137" s="4">
        <v>96.9</v>
      </c>
      <c r="H137" s="4">
        <v>0.9</v>
      </c>
      <c r="I137" s="4">
        <v>22.2</v>
      </c>
      <c r="J137" s="4">
        <v>71.400000000000006</v>
      </c>
      <c r="K137" s="4">
        <v>3</v>
      </c>
      <c r="L137" s="4">
        <v>298.83333333333331</v>
      </c>
      <c r="M137" s="4">
        <v>146.4</v>
      </c>
      <c r="N137" s="4">
        <v>116.375</v>
      </c>
      <c r="O137" s="4">
        <v>17.574999999999999</v>
      </c>
      <c r="P137" s="4">
        <v>242.25</v>
      </c>
      <c r="Q137" s="4">
        <v>45</v>
      </c>
      <c r="R137" s="4">
        <v>299</v>
      </c>
      <c r="S137" s="4" t="str" cm="1">
        <f t="array" ref="S137">_xlfn.IFS($R137&lt;=50,"Good",$R137&lt;=100,"Moderate",$R137&lt;=200,"Poor",$R137&lt;=300,"Very Poor",$R137&lt;=500,"Hazardous")</f>
        <v>Very Poor</v>
      </c>
      <c r="T137" t="s">
        <v>25</v>
      </c>
      <c r="X137" s="2"/>
      <c r="Y137" s="2"/>
    </row>
    <row r="138" spans="1:25" x14ac:dyDescent="0.3">
      <c r="A138" s="2">
        <v>45319</v>
      </c>
      <c r="B138" t="s">
        <v>21</v>
      </c>
      <c r="C138" s="4">
        <v>108.9</v>
      </c>
      <c r="D138" s="4">
        <v>224.4</v>
      </c>
      <c r="E138" s="4">
        <v>91.8</v>
      </c>
      <c r="F138" s="4">
        <v>14.53</v>
      </c>
      <c r="G138" s="4">
        <v>72.099999999999994</v>
      </c>
      <c r="H138" s="4">
        <v>5.05</v>
      </c>
      <c r="I138" s="4">
        <v>16.100000000000001</v>
      </c>
      <c r="J138" s="4">
        <v>35.299999999999997</v>
      </c>
      <c r="K138" s="4">
        <v>2.39</v>
      </c>
      <c r="L138" s="4">
        <v>181.5</v>
      </c>
      <c r="M138" s="4">
        <v>224.4</v>
      </c>
      <c r="N138" s="4">
        <v>114.75</v>
      </c>
      <c r="O138" s="4">
        <v>36.325000000000003</v>
      </c>
      <c r="P138" s="4">
        <v>180.25</v>
      </c>
      <c r="Q138" s="4">
        <v>252.5</v>
      </c>
      <c r="R138" s="4">
        <v>252</v>
      </c>
      <c r="S138" s="4" t="str" cm="1">
        <f t="array" ref="S138">_xlfn.IFS($R138&lt;=50,"Good",$R138&lt;=100,"Moderate",$R138&lt;=200,"Poor",$R138&lt;=300,"Very Poor",$R138&lt;=500,"Hazardous")</f>
        <v>Very Poor</v>
      </c>
      <c r="T138" t="s">
        <v>29</v>
      </c>
      <c r="X138" s="2"/>
      <c r="Y138" s="2"/>
    </row>
    <row r="139" spans="1:25" x14ac:dyDescent="0.3">
      <c r="A139" s="2">
        <v>45319</v>
      </c>
      <c r="B139" t="s">
        <v>22</v>
      </c>
      <c r="C139" s="4">
        <v>208.8</v>
      </c>
      <c r="D139" s="4">
        <v>109.1</v>
      </c>
      <c r="E139" s="4">
        <v>118.2</v>
      </c>
      <c r="F139" s="4">
        <v>24.91</v>
      </c>
      <c r="G139" s="4">
        <v>22.4</v>
      </c>
      <c r="H139" s="4">
        <v>2.34</v>
      </c>
      <c r="I139" s="4">
        <v>31.4</v>
      </c>
      <c r="J139" s="4">
        <v>53.2</v>
      </c>
      <c r="K139" s="4">
        <v>2.2599999999999998</v>
      </c>
      <c r="L139" s="4">
        <v>348.00000000000011</v>
      </c>
      <c r="M139" s="4">
        <v>109.1</v>
      </c>
      <c r="N139" s="4">
        <v>147.75</v>
      </c>
      <c r="O139" s="4">
        <v>62.274999999999999</v>
      </c>
      <c r="P139" s="4">
        <v>55.999999999999993</v>
      </c>
      <c r="Q139" s="4">
        <v>117</v>
      </c>
      <c r="R139" s="4">
        <v>348</v>
      </c>
      <c r="S139" s="4" t="str" cm="1">
        <f t="array" ref="S139">_xlfn.IFS($R139&lt;=50,"Good",$R139&lt;=100,"Moderate",$R139&lt;=200,"Poor",$R139&lt;=300,"Very Poor",$R139&lt;=500,"Hazardous")</f>
        <v>Hazardous</v>
      </c>
      <c r="T139" t="s">
        <v>25</v>
      </c>
      <c r="X139" s="2"/>
      <c r="Y139" s="2"/>
    </row>
    <row r="140" spans="1:25" x14ac:dyDescent="0.3">
      <c r="A140" s="2">
        <v>45319</v>
      </c>
      <c r="B140" t="s">
        <v>23</v>
      </c>
      <c r="C140" s="4">
        <v>68.099999999999994</v>
      </c>
      <c r="D140" s="4">
        <v>94.6</v>
      </c>
      <c r="E140" s="4">
        <v>51.2</v>
      </c>
      <c r="F140" s="4">
        <v>3.01</v>
      </c>
      <c r="G140" s="4">
        <v>36.799999999999997</v>
      </c>
      <c r="H140" s="4">
        <v>1.18</v>
      </c>
      <c r="I140" s="4">
        <v>21.6</v>
      </c>
      <c r="J140" s="4">
        <v>32</v>
      </c>
      <c r="K140" s="4">
        <v>2.9</v>
      </c>
      <c r="L140" s="4">
        <v>113.5</v>
      </c>
      <c r="M140" s="4">
        <v>94.6</v>
      </c>
      <c r="N140" s="4">
        <v>64</v>
      </c>
      <c r="O140" s="4">
        <v>7.5249999999999986</v>
      </c>
      <c r="P140" s="4">
        <v>92</v>
      </c>
      <c r="Q140" s="4">
        <v>59</v>
      </c>
      <c r="R140" s="4">
        <v>113</v>
      </c>
      <c r="S140" s="4" t="str" cm="1">
        <f t="array" ref="S140">_xlfn.IFS($R140&lt;=50,"Good",$R140&lt;=100,"Moderate",$R140&lt;=200,"Poor",$R140&lt;=300,"Very Poor",$R140&lt;=500,"Hazardous")</f>
        <v>Poor</v>
      </c>
      <c r="T140" t="s">
        <v>25</v>
      </c>
      <c r="X140" s="2"/>
      <c r="Y140" s="2"/>
    </row>
    <row r="141" spans="1:25" x14ac:dyDescent="0.3">
      <c r="A141" s="2">
        <v>45319</v>
      </c>
      <c r="B141" t="s">
        <v>24</v>
      </c>
      <c r="C141" s="4">
        <v>149.6</v>
      </c>
      <c r="D141" s="4">
        <v>5</v>
      </c>
      <c r="E141" s="4">
        <v>92.4</v>
      </c>
      <c r="F141" s="4">
        <v>24.88</v>
      </c>
      <c r="G141" s="4">
        <v>9.6999999999999993</v>
      </c>
      <c r="H141" s="4">
        <v>3.88</v>
      </c>
      <c r="I141" s="4">
        <v>22.9</v>
      </c>
      <c r="J141" s="4">
        <v>47.3</v>
      </c>
      <c r="K141" s="4">
        <v>2.93</v>
      </c>
      <c r="L141" s="4">
        <v>249.33333333333329</v>
      </c>
      <c r="M141" s="4">
        <v>5</v>
      </c>
      <c r="N141" s="4">
        <v>115.5</v>
      </c>
      <c r="O141" s="4">
        <v>62.2</v>
      </c>
      <c r="P141" s="4">
        <v>24.25</v>
      </c>
      <c r="Q141" s="4">
        <v>194</v>
      </c>
      <c r="R141" s="4">
        <v>249</v>
      </c>
      <c r="S141" s="4" t="str" cm="1">
        <f t="array" ref="S141">_xlfn.IFS($R141&lt;=50,"Good",$R141&lt;=100,"Moderate",$R141&lt;=200,"Poor",$R141&lt;=300,"Very Poor",$R141&lt;=500,"Hazardous")</f>
        <v>Very Poor</v>
      </c>
      <c r="T141" t="s">
        <v>25</v>
      </c>
      <c r="X141" s="2"/>
      <c r="Y141" s="2"/>
    </row>
    <row r="142" spans="1:25" x14ac:dyDescent="0.3">
      <c r="A142" s="2">
        <v>45320</v>
      </c>
      <c r="B142" t="s">
        <v>20</v>
      </c>
      <c r="C142" s="4">
        <v>141.19999999999999</v>
      </c>
      <c r="D142" s="4">
        <v>229.2</v>
      </c>
      <c r="E142" s="4">
        <v>102.6</v>
      </c>
      <c r="F142" s="4">
        <v>6.25</v>
      </c>
      <c r="G142" s="4">
        <v>45.8</v>
      </c>
      <c r="H142" s="4">
        <v>0.65</v>
      </c>
      <c r="I142" s="4">
        <v>19.2</v>
      </c>
      <c r="J142" s="4">
        <v>43.7</v>
      </c>
      <c r="K142" s="4">
        <v>1.62</v>
      </c>
      <c r="L142" s="4">
        <v>235.33333333333329</v>
      </c>
      <c r="M142" s="4">
        <v>229.2</v>
      </c>
      <c r="N142" s="4">
        <v>128.25</v>
      </c>
      <c r="O142" s="4">
        <v>15.625</v>
      </c>
      <c r="P142" s="4">
        <v>114.5</v>
      </c>
      <c r="Q142" s="4">
        <v>32.5</v>
      </c>
      <c r="R142" s="4">
        <v>235</v>
      </c>
      <c r="S142" s="4" t="str" cm="1">
        <f t="array" ref="S142">_xlfn.IFS($R142&lt;=50,"Good",$R142&lt;=100,"Moderate",$R142&lt;=200,"Poor",$R142&lt;=300,"Very Poor",$R142&lt;=500,"Hazardous")</f>
        <v>Very Poor</v>
      </c>
      <c r="T142" t="s">
        <v>25</v>
      </c>
      <c r="X142" s="2"/>
      <c r="Y142" s="2"/>
    </row>
    <row r="143" spans="1:25" x14ac:dyDescent="0.3">
      <c r="A143" s="2">
        <v>45320</v>
      </c>
      <c r="B143" t="s">
        <v>21</v>
      </c>
      <c r="C143" s="4">
        <v>194.2</v>
      </c>
      <c r="D143" s="4">
        <v>371</v>
      </c>
      <c r="E143" s="4">
        <v>114.4</v>
      </c>
      <c r="F143" s="4">
        <v>5.08</v>
      </c>
      <c r="G143" s="4">
        <v>36.1</v>
      </c>
      <c r="H143" s="4">
        <v>3.86</v>
      </c>
      <c r="I143" s="4">
        <v>21</v>
      </c>
      <c r="J143" s="4">
        <v>100</v>
      </c>
      <c r="K143" s="4">
        <v>2.97</v>
      </c>
      <c r="L143" s="4">
        <v>323.66666666666669</v>
      </c>
      <c r="M143" s="4">
        <v>371</v>
      </c>
      <c r="N143" s="4">
        <v>143</v>
      </c>
      <c r="O143" s="4">
        <v>12.7</v>
      </c>
      <c r="P143" s="4">
        <v>90.25</v>
      </c>
      <c r="Q143" s="4">
        <v>193</v>
      </c>
      <c r="R143" s="4">
        <v>371</v>
      </c>
      <c r="S143" s="4" t="str" cm="1">
        <f t="array" ref="S143">_xlfn.IFS($R143&lt;=50,"Good",$R143&lt;=100,"Moderate",$R143&lt;=200,"Poor",$R143&lt;=300,"Very Poor",$R143&lt;=500,"Hazardous")</f>
        <v>Hazardous</v>
      </c>
      <c r="T143" t="s">
        <v>28</v>
      </c>
      <c r="X143" s="2"/>
      <c r="Y143" s="2"/>
    </row>
    <row r="144" spans="1:25" x14ac:dyDescent="0.3">
      <c r="A144" s="2">
        <v>45320</v>
      </c>
      <c r="B144" t="s">
        <v>22</v>
      </c>
      <c r="C144" s="4">
        <v>100</v>
      </c>
      <c r="D144" s="4">
        <v>154.19999999999999</v>
      </c>
      <c r="E144" s="4">
        <v>72.5</v>
      </c>
      <c r="F144" s="4">
        <v>11</v>
      </c>
      <c r="G144" s="4">
        <v>49.3</v>
      </c>
      <c r="H144" s="4">
        <v>2.7</v>
      </c>
      <c r="I144" s="4">
        <v>14.5</v>
      </c>
      <c r="J144" s="4">
        <v>36</v>
      </c>
      <c r="K144" s="4">
        <v>0.3</v>
      </c>
      <c r="L144" s="4">
        <v>166.66666666666671</v>
      </c>
      <c r="M144" s="4">
        <v>154.19999999999999</v>
      </c>
      <c r="N144" s="4">
        <v>90.625</v>
      </c>
      <c r="O144" s="4">
        <v>27.5</v>
      </c>
      <c r="P144" s="4">
        <v>123.25</v>
      </c>
      <c r="Q144" s="4">
        <v>135</v>
      </c>
      <c r="R144" s="4">
        <v>167</v>
      </c>
      <c r="S144" s="4" t="str" cm="1">
        <f t="array" ref="S144">_xlfn.IFS($R144&lt;=50,"Good",$R144&lt;=100,"Moderate",$R144&lt;=200,"Poor",$R144&lt;=300,"Very Poor",$R144&lt;=500,"Hazardous")</f>
        <v>Poor</v>
      </c>
      <c r="T144" t="s">
        <v>25</v>
      </c>
      <c r="X144" s="2"/>
      <c r="Y144" s="2"/>
    </row>
    <row r="145" spans="1:25" x14ac:dyDescent="0.3">
      <c r="A145" s="2">
        <v>45320</v>
      </c>
      <c r="B145" t="s">
        <v>23</v>
      </c>
      <c r="C145" s="4">
        <v>120.4</v>
      </c>
      <c r="D145" s="4">
        <v>86.1</v>
      </c>
      <c r="E145" s="4">
        <v>3.1</v>
      </c>
      <c r="F145" s="4">
        <v>15.91</v>
      </c>
      <c r="G145" s="4">
        <v>92.1</v>
      </c>
      <c r="H145" s="4">
        <v>1.91</v>
      </c>
      <c r="I145" s="4">
        <v>25.9</v>
      </c>
      <c r="J145" s="4">
        <v>61.5</v>
      </c>
      <c r="K145" s="4">
        <v>2.38</v>
      </c>
      <c r="L145" s="4">
        <v>200.66666666666671</v>
      </c>
      <c r="M145" s="4">
        <v>86.1</v>
      </c>
      <c r="N145" s="4">
        <v>3.875</v>
      </c>
      <c r="O145" s="4">
        <v>39.774999999999999</v>
      </c>
      <c r="P145" s="4">
        <v>230.25</v>
      </c>
      <c r="Q145" s="4">
        <v>95.5</v>
      </c>
      <c r="R145" s="4">
        <v>230</v>
      </c>
      <c r="S145" s="4" t="str" cm="1">
        <f t="array" ref="S145">_xlfn.IFS($R145&lt;=50,"Good",$R145&lt;=100,"Moderate",$R145&lt;=200,"Poor",$R145&lt;=300,"Very Poor",$R145&lt;=500,"Hazardous")</f>
        <v>Very Poor</v>
      </c>
      <c r="T145" t="s">
        <v>27</v>
      </c>
      <c r="X145" s="2"/>
      <c r="Y145" s="2"/>
    </row>
    <row r="146" spans="1:25" x14ac:dyDescent="0.3">
      <c r="A146" s="2">
        <v>45320</v>
      </c>
      <c r="B146" t="s">
        <v>24</v>
      </c>
      <c r="C146" s="4">
        <v>154.1</v>
      </c>
      <c r="D146" s="4">
        <v>180.5</v>
      </c>
      <c r="E146" s="4">
        <v>88.6</v>
      </c>
      <c r="F146" s="4">
        <v>16.91</v>
      </c>
      <c r="G146" s="4">
        <v>23.1</v>
      </c>
      <c r="H146" s="4">
        <v>3.16</v>
      </c>
      <c r="I146" s="4">
        <v>18.8</v>
      </c>
      <c r="J146" s="4">
        <v>46.4</v>
      </c>
      <c r="K146" s="4">
        <v>3.64</v>
      </c>
      <c r="L146" s="4">
        <v>256.83333333333331</v>
      </c>
      <c r="M146" s="4">
        <v>180.5</v>
      </c>
      <c r="N146" s="4">
        <v>110.75</v>
      </c>
      <c r="O146" s="4">
        <v>42.274999999999999</v>
      </c>
      <c r="P146" s="4">
        <v>57.75</v>
      </c>
      <c r="Q146" s="4">
        <v>158</v>
      </c>
      <c r="R146" s="4">
        <v>257</v>
      </c>
      <c r="S146" s="4" t="str" cm="1">
        <f t="array" ref="S146">_xlfn.IFS($R146&lt;=50,"Good",$R146&lt;=100,"Moderate",$R146&lt;=200,"Poor",$R146&lt;=300,"Very Poor",$R146&lt;=500,"Hazardous")</f>
        <v>Very Poor</v>
      </c>
      <c r="T146" t="s">
        <v>25</v>
      </c>
      <c r="X146" s="2"/>
      <c r="Y146" s="2"/>
    </row>
    <row r="147" spans="1:25" x14ac:dyDescent="0.3">
      <c r="A147" s="2">
        <v>45321</v>
      </c>
      <c r="B147" t="s">
        <v>20</v>
      </c>
      <c r="C147" s="4">
        <v>60.8</v>
      </c>
      <c r="D147" s="4">
        <v>223.9</v>
      </c>
      <c r="E147" s="4">
        <v>82.5</v>
      </c>
      <c r="F147" s="4">
        <v>24.71</v>
      </c>
      <c r="G147" s="4">
        <v>53.7</v>
      </c>
      <c r="H147" s="4">
        <v>2.1800000000000002</v>
      </c>
      <c r="I147" s="4">
        <v>25.7</v>
      </c>
      <c r="J147" s="4">
        <v>85</v>
      </c>
      <c r="K147" s="4">
        <v>3.17</v>
      </c>
      <c r="L147" s="4">
        <v>101.3333333333333</v>
      </c>
      <c r="M147" s="4">
        <v>223.9</v>
      </c>
      <c r="N147" s="4">
        <v>103.125</v>
      </c>
      <c r="O147" s="4">
        <v>61.775000000000013</v>
      </c>
      <c r="P147" s="4">
        <v>134.25</v>
      </c>
      <c r="Q147" s="4">
        <v>109</v>
      </c>
      <c r="R147" s="4">
        <v>224</v>
      </c>
      <c r="S147" s="4" t="str" cm="1">
        <f t="array" ref="S147">_xlfn.IFS($R147&lt;=50,"Good",$R147&lt;=100,"Moderate",$R147&lt;=200,"Poor",$R147&lt;=300,"Very Poor",$R147&lt;=500,"Hazardous")</f>
        <v>Very Poor</v>
      </c>
      <c r="T147" t="s">
        <v>28</v>
      </c>
      <c r="X147" s="2"/>
      <c r="Y147" s="2"/>
    </row>
    <row r="148" spans="1:25" x14ac:dyDescent="0.3">
      <c r="A148" s="2">
        <v>45321</v>
      </c>
      <c r="B148" t="s">
        <v>21</v>
      </c>
      <c r="C148" s="4">
        <v>120.6</v>
      </c>
      <c r="D148" s="4">
        <v>82.6</v>
      </c>
      <c r="E148" s="4">
        <v>47.4</v>
      </c>
      <c r="F148" s="4">
        <v>12.95</v>
      </c>
      <c r="G148" s="4">
        <v>27.9</v>
      </c>
      <c r="H148" s="4">
        <v>2.1800000000000002</v>
      </c>
      <c r="I148" s="4">
        <v>20.399999999999999</v>
      </c>
      <c r="J148" s="4">
        <v>69.5</v>
      </c>
      <c r="K148" s="4">
        <v>2.42</v>
      </c>
      <c r="L148" s="4">
        <v>201</v>
      </c>
      <c r="M148" s="4">
        <v>82.6</v>
      </c>
      <c r="N148" s="4">
        <v>59.25</v>
      </c>
      <c r="O148" s="4">
        <v>32.375</v>
      </c>
      <c r="P148" s="4">
        <v>69.749999999999986</v>
      </c>
      <c r="Q148" s="4">
        <v>109</v>
      </c>
      <c r="R148" s="4">
        <v>201</v>
      </c>
      <c r="S148" s="4" t="str" cm="1">
        <f t="array" ref="S148">_xlfn.IFS($R148&lt;=50,"Good",$R148&lt;=100,"Moderate",$R148&lt;=200,"Poor",$R148&lt;=300,"Very Poor",$R148&lt;=500,"Hazardous")</f>
        <v>Very Poor</v>
      </c>
      <c r="T148" t="s">
        <v>25</v>
      </c>
      <c r="X148" s="2"/>
      <c r="Y148" s="2"/>
    </row>
    <row r="149" spans="1:25" x14ac:dyDescent="0.3">
      <c r="A149" s="2">
        <v>45321</v>
      </c>
      <c r="B149" t="s">
        <v>22</v>
      </c>
      <c r="C149" s="4">
        <v>113.4</v>
      </c>
      <c r="D149" s="4">
        <v>188.3</v>
      </c>
      <c r="E149" s="4">
        <v>8.3000000000000007</v>
      </c>
      <c r="F149" s="4">
        <v>5.0199999999999996</v>
      </c>
      <c r="G149" s="4">
        <v>31.1</v>
      </c>
      <c r="H149" s="4">
        <v>0.72</v>
      </c>
      <c r="I149" s="4">
        <v>24.2</v>
      </c>
      <c r="J149" s="4">
        <v>87.6</v>
      </c>
      <c r="K149" s="4">
        <v>3.96</v>
      </c>
      <c r="L149" s="4">
        <v>189</v>
      </c>
      <c r="M149" s="4">
        <v>188.3</v>
      </c>
      <c r="N149" s="4">
        <v>10.375</v>
      </c>
      <c r="O149" s="4">
        <v>12.55</v>
      </c>
      <c r="P149" s="4">
        <v>77.75</v>
      </c>
      <c r="Q149" s="4">
        <v>36</v>
      </c>
      <c r="R149" s="4">
        <v>189</v>
      </c>
      <c r="S149" s="4" t="str" cm="1">
        <f t="array" ref="S149">_xlfn.IFS($R149&lt;=50,"Good",$R149&lt;=100,"Moderate",$R149&lt;=200,"Poor",$R149&lt;=300,"Very Poor",$R149&lt;=500,"Hazardous")</f>
        <v>Poor</v>
      </c>
      <c r="T149" t="s">
        <v>25</v>
      </c>
      <c r="X149" s="2"/>
      <c r="Y149" s="2"/>
    </row>
    <row r="150" spans="1:25" x14ac:dyDescent="0.3">
      <c r="A150" s="2">
        <v>45321</v>
      </c>
      <c r="B150" t="s">
        <v>23</v>
      </c>
      <c r="C150" s="4">
        <v>85.8</v>
      </c>
      <c r="D150" s="4">
        <v>335.1</v>
      </c>
      <c r="E150" s="4">
        <v>76.8</v>
      </c>
      <c r="F150" s="4">
        <v>10.1</v>
      </c>
      <c r="G150" s="4">
        <v>22.2</v>
      </c>
      <c r="H150" s="4">
        <v>1.63</v>
      </c>
      <c r="I150" s="4">
        <v>17.3</v>
      </c>
      <c r="J150" s="4">
        <v>63.1</v>
      </c>
      <c r="K150" s="4">
        <v>2.69</v>
      </c>
      <c r="L150" s="4">
        <v>143</v>
      </c>
      <c r="M150" s="4">
        <v>335.1</v>
      </c>
      <c r="N150" s="4">
        <v>96</v>
      </c>
      <c r="O150" s="4">
        <v>25.25</v>
      </c>
      <c r="P150" s="4">
        <v>55.5</v>
      </c>
      <c r="Q150" s="4">
        <v>81.499999999999986</v>
      </c>
      <c r="R150" s="4">
        <v>335</v>
      </c>
      <c r="S150" s="4" t="str" cm="1">
        <f t="array" ref="S150">_xlfn.IFS($R150&lt;=50,"Good",$R150&lt;=100,"Moderate",$R150&lt;=200,"Poor",$R150&lt;=300,"Very Poor",$R150&lt;=500,"Hazardous")</f>
        <v>Hazardous</v>
      </c>
      <c r="T150" t="s">
        <v>28</v>
      </c>
      <c r="X150" s="2"/>
      <c r="Y150" s="2"/>
    </row>
    <row r="151" spans="1:25" x14ac:dyDescent="0.3">
      <c r="A151" s="2">
        <v>45321</v>
      </c>
      <c r="B151" t="s">
        <v>24</v>
      </c>
      <c r="C151" s="4">
        <v>105.8</v>
      </c>
      <c r="D151" s="4">
        <v>257.3</v>
      </c>
      <c r="E151" s="4">
        <v>121.1</v>
      </c>
      <c r="F151" s="4">
        <v>22.44</v>
      </c>
      <c r="G151" s="4">
        <v>2.8</v>
      </c>
      <c r="H151" s="4">
        <v>0.05</v>
      </c>
      <c r="I151" s="4">
        <v>26.5</v>
      </c>
      <c r="J151" s="4">
        <v>35.4</v>
      </c>
      <c r="K151" s="4">
        <v>2.73</v>
      </c>
      <c r="L151" s="4">
        <v>176.33333333333329</v>
      </c>
      <c r="M151" s="4">
        <v>257.3</v>
      </c>
      <c r="N151" s="4">
        <v>151.375</v>
      </c>
      <c r="O151" s="4">
        <v>56.1</v>
      </c>
      <c r="P151" s="4">
        <v>6.9999999999999991</v>
      </c>
      <c r="Q151" s="4">
        <v>2.5</v>
      </c>
      <c r="R151" s="4">
        <v>257</v>
      </c>
      <c r="S151" s="4" t="str" cm="1">
        <f t="array" ref="S151">_xlfn.IFS($R151&lt;=50,"Good",$R151&lt;=100,"Moderate",$R151&lt;=200,"Poor",$R151&lt;=300,"Very Poor",$R151&lt;=500,"Hazardous")</f>
        <v>Very Poor</v>
      </c>
      <c r="T151" t="s">
        <v>28</v>
      </c>
      <c r="X151" s="2"/>
      <c r="Y151" s="2"/>
    </row>
    <row r="152" spans="1:25" x14ac:dyDescent="0.3">
      <c r="A152" s="2">
        <v>45322</v>
      </c>
      <c r="B152" t="s">
        <v>20</v>
      </c>
      <c r="C152" s="4">
        <v>45.8</v>
      </c>
      <c r="D152" s="4">
        <v>21.9</v>
      </c>
      <c r="E152" s="4">
        <v>102.7</v>
      </c>
      <c r="F152" s="4">
        <v>21.7</v>
      </c>
      <c r="G152" s="4">
        <v>26.5</v>
      </c>
      <c r="H152" s="4">
        <v>0.05</v>
      </c>
      <c r="I152" s="4">
        <v>16.2</v>
      </c>
      <c r="J152" s="4">
        <v>67.099999999999994</v>
      </c>
      <c r="K152" s="4">
        <v>0.73</v>
      </c>
      <c r="L152" s="4">
        <v>76.333333333333329</v>
      </c>
      <c r="M152" s="4">
        <v>21.9</v>
      </c>
      <c r="N152" s="4">
        <v>128.375</v>
      </c>
      <c r="O152" s="4">
        <v>54.25</v>
      </c>
      <c r="P152" s="4">
        <v>66.25</v>
      </c>
      <c r="Q152" s="4">
        <v>2.5</v>
      </c>
      <c r="R152" s="4">
        <v>128</v>
      </c>
      <c r="S152" s="4" t="str" cm="1">
        <f t="array" ref="S152">_xlfn.IFS($R152&lt;=50,"Good",$R152&lt;=100,"Moderate",$R152&lt;=200,"Poor",$R152&lt;=300,"Very Poor",$R152&lt;=500,"Hazardous")</f>
        <v>Poor</v>
      </c>
      <c r="T152" t="s">
        <v>26</v>
      </c>
      <c r="X152" s="2"/>
      <c r="Y152" s="2"/>
    </row>
    <row r="153" spans="1:25" x14ac:dyDescent="0.3">
      <c r="A153" s="2">
        <v>45322</v>
      </c>
      <c r="B153" t="s">
        <v>21</v>
      </c>
      <c r="C153" s="4">
        <v>131</v>
      </c>
      <c r="D153" s="4">
        <v>238.2</v>
      </c>
      <c r="E153" s="4">
        <v>113.2</v>
      </c>
      <c r="F153" s="4">
        <v>17.2</v>
      </c>
      <c r="G153" s="4">
        <v>17.600000000000001</v>
      </c>
      <c r="H153" s="4">
        <v>3.84</v>
      </c>
      <c r="I153" s="4">
        <v>18.899999999999999</v>
      </c>
      <c r="J153" s="4">
        <v>59.5</v>
      </c>
      <c r="K153" s="4">
        <v>1.38</v>
      </c>
      <c r="L153" s="4">
        <v>218.33333333333329</v>
      </c>
      <c r="M153" s="4">
        <v>238.2</v>
      </c>
      <c r="N153" s="4">
        <v>141.5</v>
      </c>
      <c r="O153" s="4">
        <v>43</v>
      </c>
      <c r="P153" s="4">
        <v>44.000000000000007</v>
      </c>
      <c r="Q153" s="4">
        <v>192</v>
      </c>
      <c r="R153" s="4">
        <v>238</v>
      </c>
      <c r="S153" s="4" t="str" cm="1">
        <f t="array" ref="S153">_xlfn.IFS($R153&lt;=50,"Good",$R153&lt;=100,"Moderate",$R153&lt;=200,"Poor",$R153&lt;=300,"Very Poor",$R153&lt;=500,"Hazardous")</f>
        <v>Very Poor</v>
      </c>
      <c r="T153" t="s">
        <v>28</v>
      </c>
      <c r="X153" s="2"/>
      <c r="Y153" s="2"/>
    </row>
    <row r="154" spans="1:25" x14ac:dyDescent="0.3">
      <c r="A154" s="2">
        <v>45322</v>
      </c>
      <c r="B154" t="s">
        <v>22</v>
      </c>
      <c r="C154" s="4">
        <v>71</v>
      </c>
      <c r="D154" s="4">
        <v>101.7</v>
      </c>
      <c r="E154" s="4">
        <v>63.1</v>
      </c>
      <c r="F154" s="4">
        <v>25.17</v>
      </c>
      <c r="G154" s="4">
        <v>4.9000000000000004</v>
      </c>
      <c r="H154" s="4">
        <v>0.35</v>
      </c>
      <c r="I154" s="4">
        <v>30.3</v>
      </c>
      <c r="J154" s="4">
        <v>56.2</v>
      </c>
      <c r="K154" s="4">
        <v>1.7</v>
      </c>
      <c r="L154" s="4">
        <v>118.3333333333333</v>
      </c>
      <c r="M154" s="4">
        <v>101.7</v>
      </c>
      <c r="N154" s="4">
        <v>78.875</v>
      </c>
      <c r="O154" s="4">
        <v>62.925000000000011</v>
      </c>
      <c r="P154" s="4">
        <v>12.25</v>
      </c>
      <c r="Q154" s="4">
        <v>17.5</v>
      </c>
      <c r="R154" s="4">
        <v>118</v>
      </c>
      <c r="S154" s="4" t="str" cm="1">
        <f t="array" ref="S154">_xlfn.IFS($R154&lt;=50,"Good",$R154&lt;=100,"Moderate",$R154&lt;=200,"Poor",$R154&lt;=300,"Very Poor",$R154&lt;=500,"Hazardous")</f>
        <v>Poor</v>
      </c>
      <c r="T154" t="s">
        <v>25</v>
      </c>
      <c r="X154" s="2"/>
      <c r="Y154" s="2"/>
    </row>
    <row r="155" spans="1:25" x14ac:dyDescent="0.3">
      <c r="A155" s="2">
        <v>45322</v>
      </c>
      <c r="B155" t="s">
        <v>23</v>
      </c>
      <c r="C155" s="4">
        <v>145.9</v>
      </c>
      <c r="D155" s="4">
        <v>133.9</v>
      </c>
      <c r="E155" s="4">
        <v>130.4</v>
      </c>
      <c r="F155" s="4">
        <v>18.22</v>
      </c>
      <c r="G155" s="4">
        <v>25</v>
      </c>
      <c r="H155" s="4">
        <v>3.99</v>
      </c>
      <c r="I155" s="4">
        <v>15.8</v>
      </c>
      <c r="J155" s="4">
        <v>73.400000000000006</v>
      </c>
      <c r="K155" s="4">
        <v>2.86</v>
      </c>
      <c r="L155" s="4">
        <v>243.16666666666671</v>
      </c>
      <c r="M155" s="4">
        <v>133.9</v>
      </c>
      <c r="N155" s="4">
        <v>163</v>
      </c>
      <c r="O155" s="4">
        <v>45.55</v>
      </c>
      <c r="P155" s="4">
        <v>62.5</v>
      </c>
      <c r="Q155" s="4">
        <v>199.5</v>
      </c>
      <c r="R155" s="4">
        <v>243</v>
      </c>
      <c r="S155" s="4" t="str" cm="1">
        <f t="array" ref="S155">_xlfn.IFS($R155&lt;=50,"Good",$R155&lt;=100,"Moderate",$R155&lt;=200,"Poor",$R155&lt;=300,"Very Poor",$R155&lt;=500,"Hazardous")</f>
        <v>Very Poor</v>
      </c>
      <c r="T155" t="s">
        <v>25</v>
      </c>
      <c r="X155" s="2"/>
      <c r="Y155" s="2"/>
    </row>
    <row r="156" spans="1:25" x14ac:dyDescent="0.3">
      <c r="A156" s="2">
        <v>45322</v>
      </c>
      <c r="B156" t="s">
        <v>24</v>
      </c>
      <c r="C156" s="4">
        <v>174.3</v>
      </c>
      <c r="D156" s="4">
        <v>376.1</v>
      </c>
      <c r="E156" s="4">
        <v>80.3</v>
      </c>
      <c r="F156" s="4">
        <v>7.45</v>
      </c>
      <c r="G156" s="4">
        <v>51</v>
      </c>
      <c r="H156" s="4">
        <v>1.4</v>
      </c>
      <c r="I156" s="4">
        <v>34.1</v>
      </c>
      <c r="J156" s="4">
        <v>62.5</v>
      </c>
      <c r="K156" s="4">
        <v>2.56</v>
      </c>
      <c r="L156" s="4">
        <v>290.50000000000011</v>
      </c>
      <c r="M156" s="4">
        <v>376.1</v>
      </c>
      <c r="N156" s="4">
        <v>100.375</v>
      </c>
      <c r="O156" s="4">
        <v>18.625</v>
      </c>
      <c r="P156" s="4">
        <v>127.5</v>
      </c>
      <c r="Q156" s="4">
        <v>69.999999999999986</v>
      </c>
      <c r="R156" s="4">
        <v>376</v>
      </c>
      <c r="S156" s="4" t="str" cm="1">
        <f t="array" ref="S156">_xlfn.IFS($R156&lt;=50,"Good",$R156&lt;=100,"Moderate",$R156&lt;=200,"Poor",$R156&lt;=300,"Very Poor",$R156&lt;=500,"Hazardous")</f>
        <v>Hazardous</v>
      </c>
      <c r="T156" t="s">
        <v>28</v>
      </c>
      <c r="X156" s="2"/>
      <c r="Y156" s="2"/>
    </row>
    <row r="157" spans="1:25" x14ac:dyDescent="0.3">
      <c r="A157" s="2">
        <v>45323</v>
      </c>
      <c r="B157" t="s">
        <v>20</v>
      </c>
      <c r="C157" s="4">
        <v>120.6</v>
      </c>
      <c r="D157" s="4">
        <v>72.099999999999994</v>
      </c>
      <c r="E157" s="4">
        <v>47</v>
      </c>
      <c r="F157" s="4">
        <v>25.76</v>
      </c>
      <c r="G157" s="4">
        <v>24.4</v>
      </c>
      <c r="H157" s="4">
        <v>1.05</v>
      </c>
      <c r="I157" s="4">
        <v>28.8</v>
      </c>
      <c r="J157" s="4">
        <v>81.3</v>
      </c>
      <c r="K157" s="4">
        <v>3.36</v>
      </c>
      <c r="L157" s="4">
        <v>201</v>
      </c>
      <c r="M157" s="4">
        <v>72.099999999999994</v>
      </c>
      <c r="N157" s="4">
        <v>58.75</v>
      </c>
      <c r="O157" s="4">
        <v>64.400000000000006</v>
      </c>
      <c r="P157" s="4">
        <v>61</v>
      </c>
      <c r="Q157" s="4">
        <v>52.500000000000007</v>
      </c>
      <c r="R157" s="4">
        <v>201</v>
      </c>
      <c r="S157" s="4" t="str" cm="1">
        <f t="array" ref="S157">_xlfn.IFS($R157&lt;=50,"Good",$R157&lt;=100,"Moderate",$R157&lt;=200,"Poor",$R157&lt;=300,"Very Poor",$R157&lt;=500,"Hazardous")</f>
        <v>Very Poor</v>
      </c>
      <c r="T157" t="s">
        <v>25</v>
      </c>
      <c r="X157" s="2"/>
      <c r="Y157" s="2"/>
    </row>
    <row r="158" spans="1:25" x14ac:dyDescent="0.3">
      <c r="A158" s="2">
        <v>45323</v>
      </c>
      <c r="B158" t="s">
        <v>21</v>
      </c>
      <c r="C158" s="4">
        <v>179.8</v>
      </c>
      <c r="D158" s="4">
        <v>149.19999999999999</v>
      </c>
      <c r="E158" s="4">
        <v>33.1</v>
      </c>
      <c r="F158" s="4">
        <v>31.01</v>
      </c>
      <c r="G158" s="4">
        <v>35.9</v>
      </c>
      <c r="H158" s="4">
        <v>2.1</v>
      </c>
      <c r="I158" s="4">
        <v>34.299999999999997</v>
      </c>
      <c r="J158" s="4">
        <v>70</v>
      </c>
      <c r="K158" s="4">
        <v>3.05</v>
      </c>
      <c r="L158" s="4">
        <v>299.66666666666669</v>
      </c>
      <c r="M158" s="4">
        <v>149.19999999999999</v>
      </c>
      <c r="N158" s="4">
        <v>41.375</v>
      </c>
      <c r="O158" s="4">
        <v>77.525000000000006</v>
      </c>
      <c r="P158" s="4">
        <v>89.75</v>
      </c>
      <c r="Q158" s="4">
        <v>105</v>
      </c>
      <c r="R158" s="4">
        <v>300</v>
      </c>
      <c r="S158" s="4" t="str" cm="1">
        <f t="array" ref="S158">_xlfn.IFS($R158&lt;=50,"Good",$R158&lt;=100,"Moderate",$R158&lt;=200,"Poor",$R158&lt;=300,"Very Poor",$R158&lt;=500,"Hazardous")</f>
        <v>Very Poor</v>
      </c>
      <c r="T158" t="s">
        <v>25</v>
      </c>
      <c r="X158" s="2"/>
      <c r="Y158" s="2"/>
    </row>
    <row r="159" spans="1:25" x14ac:dyDescent="0.3">
      <c r="A159" s="2">
        <v>45323</v>
      </c>
      <c r="B159" t="s">
        <v>22</v>
      </c>
      <c r="C159" s="4">
        <v>189.9</v>
      </c>
      <c r="D159" s="4">
        <v>123.7</v>
      </c>
      <c r="E159" s="4">
        <v>96.6</v>
      </c>
      <c r="F159" s="4">
        <v>12.59</v>
      </c>
      <c r="G159" s="4">
        <v>39.9</v>
      </c>
      <c r="H159" s="4">
        <v>3.22</v>
      </c>
      <c r="I159" s="4">
        <v>28.6</v>
      </c>
      <c r="J159" s="4">
        <v>69.7</v>
      </c>
      <c r="K159" s="4">
        <v>3.79</v>
      </c>
      <c r="L159" s="4">
        <v>316.5</v>
      </c>
      <c r="M159" s="4">
        <v>123.7</v>
      </c>
      <c r="N159" s="4">
        <v>120.75</v>
      </c>
      <c r="O159" s="4">
        <v>31.475000000000001</v>
      </c>
      <c r="P159" s="4">
        <v>99.749999999999986</v>
      </c>
      <c r="Q159" s="4">
        <v>161</v>
      </c>
      <c r="R159" s="4">
        <v>316</v>
      </c>
      <c r="S159" s="4" t="str" cm="1">
        <f t="array" ref="S159">_xlfn.IFS($R159&lt;=50,"Good",$R159&lt;=100,"Moderate",$R159&lt;=200,"Poor",$R159&lt;=300,"Very Poor",$R159&lt;=500,"Hazardous")</f>
        <v>Hazardous</v>
      </c>
      <c r="T159" t="s">
        <v>25</v>
      </c>
      <c r="X159" s="2"/>
      <c r="Y159" s="2"/>
    </row>
    <row r="160" spans="1:25" x14ac:dyDescent="0.3">
      <c r="A160" s="2">
        <v>45323</v>
      </c>
      <c r="B160" t="s">
        <v>23</v>
      </c>
      <c r="C160" s="4">
        <v>78.5</v>
      </c>
      <c r="D160" s="4">
        <v>111.4</v>
      </c>
      <c r="E160" s="4">
        <v>38.6</v>
      </c>
      <c r="F160" s="4">
        <v>0.5</v>
      </c>
      <c r="G160" s="4">
        <v>82.3</v>
      </c>
      <c r="H160" s="4">
        <v>0.86</v>
      </c>
      <c r="I160" s="4">
        <v>23.5</v>
      </c>
      <c r="J160" s="4">
        <v>55</v>
      </c>
      <c r="K160" s="4">
        <v>2.87</v>
      </c>
      <c r="L160" s="4">
        <v>130.83333333333329</v>
      </c>
      <c r="M160" s="4">
        <v>111.4</v>
      </c>
      <c r="N160" s="4">
        <v>48.25</v>
      </c>
      <c r="O160" s="4">
        <v>1.25</v>
      </c>
      <c r="P160" s="4">
        <v>205.75</v>
      </c>
      <c r="Q160" s="4">
        <v>43</v>
      </c>
      <c r="R160" s="4">
        <v>206</v>
      </c>
      <c r="S160" s="4" t="str" cm="1">
        <f t="array" ref="S160">_xlfn.IFS($R160&lt;=50,"Good",$R160&lt;=100,"Moderate",$R160&lt;=200,"Poor",$R160&lt;=300,"Very Poor",$R160&lt;=500,"Hazardous")</f>
        <v>Very Poor</v>
      </c>
      <c r="T160" t="s">
        <v>27</v>
      </c>
      <c r="X160" s="2"/>
      <c r="Y160" s="2"/>
    </row>
    <row r="161" spans="1:25" x14ac:dyDescent="0.3">
      <c r="A161" s="2">
        <v>45323</v>
      </c>
      <c r="B161" t="s">
        <v>24</v>
      </c>
      <c r="C161" s="4">
        <v>148.69999999999999</v>
      </c>
      <c r="D161" s="4">
        <v>302.10000000000002</v>
      </c>
      <c r="E161" s="4">
        <v>58.7</v>
      </c>
      <c r="F161" s="4">
        <v>12.61</v>
      </c>
      <c r="G161" s="4">
        <v>46.6</v>
      </c>
      <c r="H161" s="4">
        <v>1.85</v>
      </c>
      <c r="I161" s="4">
        <v>36.299999999999997</v>
      </c>
      <c r="J161" s="4">
        <v>68.8</v>
      </c>
      <c r="K161" s="4">
        <v>3.88</v>
      </c>
      <c r="L161" s="4">
        <v>247.83333333333329</v>
      </c>
      <c r="M161" s="4">
        <v>302.10000000000002</v>
      </c>
      <c r="N161" s="4">
        <v>73.375000000000014</v>
      </c>
      <c r="O161" s="4">
        <v>31.524999999999999</v>
      </c>
      <c r="P161" s="4">
        <v>116.5</v>
      </c>
      <c r="Q161" s="4">
        <v>92.5</v>
      </c>
      <c r="R161" s="4">
        <v>302</v>
      </c>
      <c r="S161" s="4" t="str" cm="1">
        <f t="array" ref="S161">_xlfn.IFS($R161&lt;=50,"Good",$R161&lt;=100,"Moderate",$R161&lt;=200,"Poor",$R161&lt;=300,"Very Poor",$R161&lt;=500,"Hazardous")</f>
        <v>Hazardous</v>
      </c>
      <c r="T161" t="s">
        <v>28</v>
      </c>
      <c r="X161" s="2"/>
      <c r="Y161" s="2"/>
    </row>
    <row r="162" spans="1:25" x14ac:dyDescent="0.3">
      <c r="A162" s="2">
        <v>45324</v>
      </c>
      <c r="B162" t="s">
        <v>20</v>
      </c>
      <c r="C162" s="4">
        <v>147</v>
      </c>
      <c r="D162" s="4">
        <v>350.4</v>
      </c>
      <c r="E162" s="4">
        <v>89.5</v>
      </c>
      <c r="F162" s="4">
        <v>2.79</v>
      </c>
      <c r="G162" s="4">
        <v>51.7</v>
      </c>
      <c r="H162" s="4">
        <v>1.49</v>
      </c>
      <c r="I162" s="4">
        <v>21.3</v>
      </c>
      <c r="J162" s="4">
        <v>70.599999999999994</v>
      </c>
      <c r="K162" s="4">
        <v>3.99</v>
      </c>
      <c r="L162" s="4">
        <v>245</v>
      </c>
      <c r="M162" s="4">
        <v>350.4</v>
      </c>
      <c r="N162" s="4">
        <v>111.875</v>
      </c>
      <c r="O162" s="4">
        <v>6.9750000000000014</v>
      </c>
      <c r="P162" s="4">
        <v>129.25</v>
      </c>
      <c r="Q162" s="4">
        <v>74.5</v>
      </c>
      <c r="R162" s="4">
        <v>350</v>
      </c>
      <c r="S162" s="4" t="str" cm="1">
        <f t="array" ref="S162">_xlfn.IFS($R162&lt;=50,"Good",$R162&lt;=100,"Moderate",$R162&lt;=200,"Poor",$R162&lt;=300,"Very Poor",$R162&lt;=500,"Hazardous")</f>
        <v>Hazardous</v>
      </c>
      <c r="T162" t="s">
        <v>28</v>
      </c>
      <c r="X162" s="2"/>
      <c r="Y162" s="2"/>
    </row>
    <row r="163" spans="1:25" x14ac:dyDescent="0.3">
      <c r="A163" s="2">
        <v>45324</v>
      </c>
      <c r="B163" t="s">
        <v>21</v>
      </c>
      <c r="C163" s="4">
        <v>121.3</v>
      </c>
      <c r="D163" s="4">
        <v>277.10000000000002</v>
      </c>
      <c r="E163" s="4">
        <v>158.1</v>
      </c>
      <c r="F163" s="4">
        <v>18.41</v>
      </c>
      <c r="G163" s="4">
        <v>118.2</v>
      </c>
      <c r="H163" s="4">
        <v>3.08</v>
      </c>
      <c r="I163" s="4">
        <v>12.7</v>
      </c>
      <c r="J163" s="4">
        <v>73.599999999999994</v>
      </c>
      <c r="K163" s="4">
        <v>2.96</v>
      </c>
      <c r="L163" s="4">
        <v>202.16666666666671</v>
      </c>
      <c r="M163" s="4">
        <v>277.10000000000002</v>
      </c>
      <c r="N163" s="4">
        <v>197.625</v>
      </c>
      <c r="O163" s="4">
        <v>46.025000000000013</v>
      </c>
      <c r="P163" s="4">
        <v>295.5</v>
      </c>
      <c r="Q163" s="4">
        <v>154</v>
      </c>
      <c r="R163" s="4">
        <v>296</v>
      </c>
      <c r="S163" s="4" t="str" cm="1">
        <f t="array" ref="S163">_xlfn.IFS($R163&lt;=50,"Good",$R163&lt;=100,"Moderate",$R163&lt;=200,"Poor",$R163&lt;=300,"Very Poor",$R163&lt;=500,"Hazardous")</f>
        <v>Very Poor</v>
      </c>
      <c r="T163" t="s">
        <v>27</v>
      </c>
      <c r="X163" s="2"/>
      <c r="Y163" s="2"/>
    </row>
    <row r="164" spans="1:25" x14ac:dyDescent="0.3">
      <c r="A164" s="2">
        <v>45324</v>
      </c>
      <c r="B164" t="s">
        <v>22</v>
      </c>
      <c r="C164" s="4">
        <v>150</v>
      </c>
      <c r="D164" s="4">
        <v>243.8</v>
      </c>
      <c r="E164" s="4">
        <v>64.2</v>
      </c>
      <c r="F164" s="4">
        <v>2.86</v>
      </c>
      <c r="G164" s="4">
        <v>29.7</v>
      </c>
      <c r="H164" s="4">
        <v>1.05</v>
      </c>
      <c r="I164" s="4">
        <v>20.9</v>
      </c>
      <c r="J164" s="4">
        <v>70.599999999999994</v>
      </c>
      <c r="K164" s="4">
        <v>4.5</v>
      </c>
      <c r="L164" s="4">
        <v>250</v>
      </c>
      <c r="M164" s="4">
        <v>243.8</v>
      </c>
      <c r="N164" s="4">
        <v>80.25</v>
      </c>
      <c r="O164" s="4">
        <v>7.15</v>
      </c>
      <c r="P164" s="4">
        <v>74.25</v>
      </c>
      <c r="Q164" s="4">
        <v>52.500000000000007</v>
      </c>
      <c r="R164" s="4">
        <v>250</v>
      </c>
      <c r="S164" s="4" t="str" cm="1">
        <f t="array" ref="S164">_xlfn.IFS($R164&lt;=50,"Good",$R164&lt;=100,"Moderate",$R164&lt;=200,"Poor",$R164&lt;=300,"Very Poor",$R164&lt;=500,"Hazardous")</f>
        <v>Very Poor</v>
      </c>
      <c r="T164" t="s">
        <v>25</v>
      </c>
      <c r="X164" s="2"/>
      <c r="Y164" s="2"/>
    </row>
    <row r="165" spans="1:25" x14ac:dyDescent="0.3">
      <c r="A165" s="2">
        <v>45324</v>
      </c>
      <c r="B165" t="s">
        <v>23</v>
      </c>
      <c r="C165" s="4">
        <v>114.9</v>
      </c>
      <c r="D165" s="4">
        <v>77.2</v>
      </c>
      <c r="E165" s="4">
        <v>86.2</v>
      </c>
      <c r="F165" s="4">
        <v>22.37</v>
      </c>
      <c r="G165" s="4">
        <v>22.3</v>
      </c>
      <c r="H165" s="4">
        <v>1.79</v>
      </c>
      <c r="I165" s="4">
        <v>25.1</v>
      </c>
      <c r="J165" s="4">
        <v>45.9</v>
      </c>
      <c r="K165" s="4">
        <v>3.28</v>
      </c>
      <c r="L165" s="4">
        <v>191.5</v>
      </c>
      <c r="M165" s="4">
        <v>77.2</v>
      </c>
      <c r="N165" s="4">
        <v>107.75</v>
      </c>
      <c r="O165" s="4">
        <v>55.924999999999997</v>
      </c>
      <c r="P165" s="4">
        <v>55.75</v>
      </c>
      <c r="Q165" s="4">
        <v>89.5</v>
      </c>
      <c r="R165" s="4">
        <v>192</v>
      </c>
      <c r="S165" s="4" t="str" cm="1">
        <f t="array" ref="S165">_xlfn.IFS($R165&lt;=50,"Good",$R165&lt;=100,"Moderate",$R165&lt;=200,"Poor",$R165&lt;=300,"Very Poor",$R165&lt;=500,"Hazardous")</f>
        <v>Poor</v>
      </c>
      <c r="T165" t="s">
        <v>25</v>
      </c>
      <c r="X165" s="2"/>
      <c r="Y165" s="2"/>
    </row>
    <row r="166" spans="1:25" x14ac:dyDescent="0.3">
      <c r="A166" s="2">
        <v>45324</v>
      </c>
      <c r="B166" t="s">
        <v>24</v>
      </c>
      <c r="C166" s="4">
        <v>99.2</v>
      </c>
      <c r="D166" s="4">
        <v>255.5</v>
      </c>
      <c r="E166" s="4">
        <v>48</v>
      </c>
      <c r="F166" s="4">
        <v>10.23</v>
      </c>
      <c r="G166" s="4">
        <v>57.5</v>
      </c>
      <c r="H166" s="4">
        <v>1.72</v>
      </c>
      <c r="I166" s="4">
        <v>37.1</v>
      </c>
      <c r="J166" s="4">
        <v>52.8</v>
      </c>
      <c r="K166" s="4">
        <v>3.27</v>
      </c>
      <c r="L166" s="4">
        <v>165.33333333333329</v>
      </c>
      <c r="M166" s="4">
        <v>255.5</v>
      </c>
      <c r="N166" s="4">
        <v>60</v>
      </c>
      <c r="O166" s="4">
        <v>25.574999999999999</v>
      </c>
      <c r="P166" s="4">
        <v>143.75</v>
      </c>
      <c r="Q166" s="4">
        <v>86</v>
      </c>
      <c r="R166" s="4">
        <v>256</v>
      </c>
      <c r="S166" s="4" t="str" cm="1">
        <f t="array" ref="S166">_xlfn.IFS($R166&lt;=50,"Good",$R166&lt;=100,"Moderate",$R166&lt;=200,"Poor",$R166&lt;=300,"Very Poor",$R166&lt;=500,"Hazardous")</f>
        <v>Very Poor</v>
      </c>
      <c r="T166" t="s">
        <v>28</v>
      </c>
      <c r="X166" s="2"/>
      <c r="Y166" s="2"/>
    </row>
    <row r="167" spans="1:25" x14ac:dyDescent="0.3">
      <c r="A167" s="2">
        <v>45325</v>
      </c>
      <c r="B167" t="s">
        <v>20</v>
      </c>
      <c r="C167" s="4">
        <v>161.9</v>
      </c>
      <c r="D167" s="4">
        <v>64.2</v>
      </c>
      <c r="E167" s="4">
        <v>18</v>
      </c>
      <c r="F167" s="4">
        <v>0.68</v>
      </c>
      <c r="G167" s="4">
        <v>74.099999999999994</v>
      </c>
      <c r="H167" s="4">
        <v>1.6</v>
      </c>
      <c r="I167" s="4">
        <v>42.9</v>
      </c>
      <c r="J167" s="4">
        <v>49.8</v>
      </c>
      <c r="K167" s="4">
        <v>2.72</v>
      </c>
      <c r="L167" s="4">
        <v>269.83333333333343</v>
      </c>
      <c r="M167" s="4">
        <v>64.2</v>
      </c>
      <c r="N167" s="4">
        <v>22.5</v>
      </c>
      <c r="O167" s="4">
        <v>1.7</v>
      </c>
      <c r="P167" s="4">
        <v>185.25</v>
      </c>
      <c r="Q167" s="4">
        <v>80</v>
      </c>
      <c r="R167" s="4">
        <v>270</v>
      </c>
      <c r="S167" s="4" t="str" cm="1">
        <f t="array" ref="S167">_xlfn.IFS($R167&lt;=50,"Good",$R167&lt;=100,"Moderate",$R167&lt;=200,"Poor",$R167&lt;=300,"Very Poor",$R167&lt;=500,"Hazardous")</f>
        <v>Very Poor</v>
      </c>
      <c r="T167" t="s">
        <v>25</v>
      </c>
      <c r="X167" s="2"/>
      <c r="Y167" s="2"/>
    </row>
    <row r="168" spans="1:25" x14ac:dyDescent="0.3">
      <c r="A168" s="2">
        <v>45325</v>
      </c>
      <c r="B168" t="s">
        <v>21</v>
      </c>
      <c r="C168" s="4">
        <v>212.5</v>
      </c>
      <c r="D168" s="4">
        <v>480.7</v>
      </c>
      <c r="E168" s="4">
        <v>172.5</v>
      </c>
      <c r="F168" s="4">
        <v>28.08</v>
      </c>
      <c r="G168" s="4">
        <v>73.8</v>
      </c>
      <c r="H168" s="4">
        <v>3.11</v>
      </c>
      <c r="I168" s="4">
        <v>30.4</v>
      </c>
      <c r="J168" s="4">
        <v>50.1</v>
      </c>
      <c r="K168" s="4">
        <v>1.52</v>
      </c>
      <c r="L168" s="4">
        <v>354.16666666666669</v>
      </c>
      <c r="M168" s="4">
        <v>480.7</v>
      </c>
      <c r="N168" s="4">
        <v>215.625</v>
      </c>
      <c r="O168" s="4">
        <v>70.2</v>
      </c>
      <c r="P168" s="4">
        <v>184.5</v>
      </c>
      <c r="Q168" s="4">
        <v>155.5</v>
      </c>
      <c r="R168" s="4">
        <v>481</v>
      </c>
      <c r="S168" s="4" t="str" cm="1">
        <f t="array" ref="S168">_xlfn.IFS($R168&lt;=50,"Good",$R168&lt;=100,"Moderate",$R168&lt;=200,"Poor",$R168&lt;=300,"Very Poor",$R168&lt;=500,"Hazardous")</f>
        <v>Hazardous</v>
      </c>
      <c r="T168" t="s">
        <v>28</v>
      </c>
      <c r="X168" s="2"/>
      <c r="Y168" s="2"/>
    </row>
    <row r="169" spans="1:25" x14ac:dyDescent="0.3">
      <c r="A169" s="2">
        <v>45325</v>
      </c>
      <c r="B169" t="s">
        <v>22</v>
      </c>
      <c r="C169" s="4">
        <v>91</v>
      </c>
      <c r="D169" s="4">
        <v>166.9</v>
      </c>
      <c r="E169" s="4">
        <v>54.6</v>
      </c>
      <c r="F169" s="4">
        <v>17.45</v>
      </c>
      <c r="G169" s="4">
        <v>54.6</v>
      </c>
      <c r="H169" s="4">
        <v>1.9</v>
      </c>
      <c r="I169" s="4">
        <v>35.299999999999997</v>
      </c>
      <c r="J169" s="4">
        <v>39.4</v>
      </c>
      <c r="K169" s="4">
        <v>2.27</v>
      </c>
      <c r="L169" s="4">
        <v>151.66666666666671</v>
      </c>
      <c r="M169" s="4">
        <v>166.9</v>
      </c>
      <c r="N169" s="4">
        <v>68.25</v>
      </c>
      <c r="O169" s="4">
        <v>43.625</v>
      </c>
      <c r="P169" s="4">
        <v>136.5</v>
      </c>
      <c r="Q169" s="4">
        <v>95</v>
      </c>
      <c r="R169" s="4">
        <v>167</v>
      </c>
      <c r="S169" s="4" t="str" cm="1">
        <f t="array" ref="S169">_xlfn.IFS($R169&lt;=50,"Good",$R169&lt;=100,"Moderate",$R169&lt;=200,"Poor",$R169&lt;=300,"Very Poor",$R169&lt;=500,"Hazardous")</f>
        <v>Poor</v>
      </c>
      <c r="T169" t="s">
        <v>28</v>
      </c>
      <c r="X169" s="2"/>
      <c r="Y169" s="2"/>
    </row>
    <row r="170" spans="1:25" x14ac:dyDescent="0.3">
      <c r="A170" s="2">
        <v>45325</v>
      </c>
      <c r="B170" t="s">
        <v>23</v>
      </c>
      <c r="C170" s="4">
        <v>61.6</v>
      </c>
      <c r="D170" s="4">
        <v>12.8</v>
      </c>
      <c r="E170" s="4">
        <v>69.400000000000006</v>
      </c>
      <c r="F170" s="4">
        <v>11.83</v>
      </c>
      <c r="G170" s="4">
        <v>70.099999999999994</v>
      </c>
      <c r="H170" s="4">
        <v>2.5299999999999998</v>
      </c>
      <c r="I170" s="4">
        <v>17.8</v>
      </c>
      <c r="J170" s="4">
        <v>93.4</v>
      </c>
      <c r="K170" s="4">
        <v>3.97</v>
      </c>
      <c r="L170" s="4">
        <v>102.6666666666667</v>
      </c>
      <c r="M170" s="4">
        <v>12.8</v>
      </c>
      <c r="N170" s="4">
        <v>86.750000000000014</v>
      </c>
      <c r="O170" s="4">
        <v>29.574999999999999</v>
      </c>
      <c r="P170" s="4">
        <v>175.25</v>
      </c>
      <c r="Q170" s="4">
        <v>126.5</v>
      </c>
      <c r="R170" s="4">
        <v>175</v>
      </c>
      <c r="S170" s="4" t="str" cm="1">
        <f t="array" ref="S170">_xlfn.IFS($R170&lt;=50,"Good",$R170&lt;=100,"Moderate",$R170&lt;=200,"Poor",$R170&lt;=300,"Very Poor",$R170&lt;=500,"Hazardous")</f>
        <v>Poor</v>
      </c>
      <c r="T170" t="s">
        <v>27</v>
      </c>
      <c r="X170" s="2"/>
      <c r="Y170" s="2"/>
    </row>
    <row r="171" spans="1:25" x14ac:dyDescent="0.3">
      <c r="A171" s="2">
        <v>45325</v>
      </c>
      <c r="B171" t="s">
        <v>24</v>
      </c>
      <c r="C171" s="4">
        <v>136.30000000000001</v>
      </c>
      <c r="D171" s="4">
        <v>187.3</v>
      </c>
      <c r="E171" s="4">
        <v>45.4</v>
      </c>
      <c r="F171" s="4">
        <v>10.8</v>
      </c>
      <c r="G171" s="4">
        <v>66.5</v>
      </c>
      <c r="H171" s="4">
        <v>4.0999999999999996</v>
      </c>
      <c r="I171" s="4">
        <v>35.799999999999997</v>
      </c>
      <c r="J171" s="4">
        <v>51.2</v>
      </c>
      <c r="K171" s="4">
        <v>1.66</v>
      </c>
      <c r="L171" s="4">
        <v>227.16666666666671</v>
      </c>
      <c r="M171" s="4">
        <v>187.3</v>
      </c>
      <c r="N171" s="4">
        <v>56.749999999999993</v>
      </c>
      <c r="O171" s="4">
        <v>27</v>
      </c>
      <c r="P171" s="4">
        <v>166.25</v>
      </c>
      <c r="Q171" s="4">
        <v>205</v>
      </c>
      <c r="R171" s="4">
        <v>227</v>
      </c>
      <c r="S171" s="4" t="str" cm="1">
        <f t="array" ref="S171">_xlfn.IFS($R171&lt;=50,"Good",$R171&lt;=100,"Moderate",$R171&lt;=200,"Poor",$R171&lt;=300,"Very Poor",$R171&lt;=500,"Hazardous")</f>
        <v>Very Poor</v>
      </c>
      <c r="T171" t="s">
        <v>25</v>
      </c>
      <c r="X171" s="2"/>
      <c r="Y171" s="2"/>
    </row>
    <row r="172" spans="1:25" x14ac:dyDescent="0.3">
      <c r="A172" s="2">
        <v>45326</v>
      </c>
      <c r="B172" t="s">
        <v>20</v>
      </c>
      <c r="C172" s="4">
        <v>118.2</v>
      </c>
      <c r="D172" s="4">
        <v>25.6</v>
      </c>
      <c r="E172" s="4">
        <v>94.7</v>
      </c>
      <c r="F172" s="4">
        <v>13.36</v>
      </c>
      <c r="G172" s="4">
        <v>29.3</v>
      </c>
      <c r="H172" s="4">
        <v>0.45</v>
      </c>
      <c r="I172" s="4">
        <v>28.6</v>
      </c>
      <c r="J172" s="4">
        <v>50.4</v>
      </c>
      <c r="K172" s="4">
        <v>1.1000000000000001</v>
      </c>
      <c r="L172" s="4">
        <v>197</v>
      </c>
      <c r="M172" s="4">
        <v>25.6</v>
      </c>
      <c r="N172" s="4">
        <v>118.375</v>
      </c>
      <c r="O172" s="4">
        <v>33.4</v>
      </c>
      <c r="P172" s="4">
        <v>73.25</v>
      </c>
      <c r="Q172" s="4">
        <v>22.5</v>
      </c>
      <c r="R172" s="4">
        <v>197</v>
      </c>
      <c r="S172" s="4" t="str" cm="1">
        <f t="array" ref="S172">_xlfn.IFS($R172&lt;=50,"Good",$R172&lt;=100,"Moderate",$R172&lt;=200,"Poor",$R172&lt;=300,"Very Poor",$R172&lt;=500,"Hazardous")</f>
        <v>Poor</v>
      </c>
      <c r="T172" t="s">
        <v>25</v>
      </c>
      <c r="X172" s="2"/>
      <c r="Y172" s="2"/>
    </row>
    <row r="173" spans="1:25" x14ac:dyDescent="0.3">
      <c r="A173" s="2">
        <v>45326</v>
      </c>
      <c r="B173" t="s">
        <v>21</v>
      </c>
      <c r="C173" s="4">
        <v>2</v>
      </c>
      <c r="D173" s="4">
        <v>236.7</v>
      </c>
      <c r="E173" s="4">
        <v>160.9</v>
      </c>
      <c r="F173" s="4">
        <v>32.61</v>
      </c>
      <c r="G173" s="4">
        <v>32.1</v>
      </c>
      <c r="H173" s="4">
        <v>1.68</v>
      </c>
      <c r="I173" s="4">
        <v>28.3</v>
      </c>
      <c r="J173" s="4">
        <v>42</v>
      </c>
      <c r="K173" s="4">
        <v>2.86</v>
      </c>
      <c r="L173" s="4">
        <v>3.333333333333333</v>
      </c>
      <c r="M173" s="4">
        <v>236.7</v>
      </c>
      <c r="N173" s="4">
        <v>201.125</v>
      </c>
      <c r="O173" s="4">
        <v>81.525000000000006</v>
      </c>
      <c r="P173" s="4">
        <v>80.25</v>
      </c>
      <c r="Q173" s="4">
        <v>83.999999999999986</v>
      </c>
      <c r="R173" s="4">
        <v>237</v>
      </c>
      <c r="S173" s="4" t="str" cm="1">
        <f t="array" ref="S173">_xlfn.IFS($R173&lt;=50,"Good",$R173&lt;=100,"Moderate",$R173&lt;=200,"Poor",$R173&lt;=300,"Very Poor",$R173&lt;=500,"Hazardous")</f>
        <v>Very Poor</v>
      </c>
      <c r="T173" t="s">
        <v>28</v>
      </c>
      <c r="X173" s="2"/>
      <c r="Y173" s="2"/>
    </row>
    <row r="174" spans="1:25" x14ac:dyDescent="0.3">
      <c r="A174" s="2">
        <v>45326</v>
      </c>
      <c r="B174" t="s">
        <v>22</v>
      </c>
      <c r="C174" s="4">
        <v>126.1</v>
      </c>
      <c r="D174" s="4">
        <v>294.3</v>
      </c>
      <c r="E174" s="4">
        <v>65.400000000000006</v>
      </c>
      <c r="F174" s="4">
        <v>10.61</v>
      </c>
      <c r="G174" s="4">
        <v>15.4</v>
      </c>
      <c r="H174" s="4">
        <v>1.07</v>
      </c>
      <c r="I174" s="4">
        <v>23.4</v>
      </c>
      <c r="J174" s="4">
        <v>66.599999999999994</v>
      </c>
      <c r="K174" s="4">
        <v>3.6</v>
      </c>
      <c r="L174" s="4">
        <v>210.16666666666671</v>
      </c>
      <c r="M174" s="4">
        <v>294.3</v>
      </c>
      <c r="N174" s="4">
        <v>81.75</v>
      </c>
      <c r="O174" s="4">
        <v>26.524999999999999</v>
      </c>
      <c r="P174" s="4">
        <v>38.5</v>
      </c>
      <c r="Q174" s="4">
        <v>53.500000000000007</v>
      </c>
      <c r="R174" s="4">
        <v>294</v>
      </c>
      <c r="S174" s="4" t="str" cm="1">
        <f t="array" ref="S174">_xlfn.IFS($R174&lt;=50,"Good",$R174&lt;=100,"Moderate",$R174&lt;=200,"Poor",$R174&lt;=300,"Very Poor",$R174&lt;=500,"Hazardous")</f>
        <v>Very Poor</v>
      </c>
      <c r="T174" t="s">
        <v>28</v>
      </c>
      <c r="X174" s="2"/>
      <c r="Y174" s="2"/>
    </row>
    <row r="175" spans="1:25" x14ac:dyDescent="0.3">
      <c r="A175" s="2">
        <v>45326</v>
      </c>
      <c r="B175" t="s">
        <v>23</v>
      </c>
      <c r="C175" s="4">
        <v>57.4</v>
      </c>
      <c r="D175" s="4">
        <v>335.3</v>
      </c>
      <c r="E175" s="4">
        <v>63.3</v>
      </c>
      <c r="F175" s="4">
        <v>12.63</v>
      </c>
      <c r="G175" s="4">
        <v>19.2</v>
      </c>
      <c r="H175" s="4">
        <v>0.05</v>
      </c>
      <c r="I175" s="4">
        <v>31.2</v>
      </c>
      <c r="J175" s="4">
        <v>73.3</v>
      </c>
      <c r="K175" s="4">
        <v>2.16</v>
      </c>
      <c r="L175" s="4">
        <v>95.666666666666657</v>
      </c>
      <c r="M175" s="4">
        <v>335.3</v>
      </c>
      <c r="N175" s="4">
        <v>79.125</v>
      </c>
      <c r="O175" s="4">
        <v>31.574999999999999</v>
      </c>
      <c r="P175" s="4">
        <v>48</v>
      </c>
      <c r="Q175" s="4">
        <v>2.5</v>
      </c>
      <c r="R175" s="4">
        <v>335</v>
      </c>
      <c r="S175" s="4" t="str" cm="1">
        <f t="array" ref="S175">_xlfn.IFS($R175&lt;=50,"Good",$R175&lt;=100,"Moderate",$R175&lt;=200,"Poor",$R175&lt;=300,"Very Poor",$R175&lt;=500,"Hazardous")</f>
        <v>Hazardous</v>
      </c>
      <c r="T175" t="s">
        <v>28</v>
      </c>
      <c r="X175" s="2"/>
      <c r="Y175" s="2"/>
    </row>
    <row r="176" spans="1:25" x14ac:dyDescent="0.3">
      <c r="A176" s="2">
        <v>45326</v>
      </c>
      <c r="B176" t="s">
        <v>24</v>
      </c>
      <c r="C176" s="4">
        <v>109.1</v>
      </c>
      <c r="D176" s="4">
        <v>265.7</v>
      </c>
      <c r="E176" s="4">
        <v>24.2</v>
      </c>
      <c r="F176" s="4">
        <v>9.42</v>
      </c>
      <c r="G176" s="4">
        <v>59.3</v>
      </c>
      <c r="H176" s="4">
        <v>0.79</v>
      </c>
      <c r="I176" s="4">
        <v>27.1</v>
      </c>
      <c r="J176" s="4">
        <v>35.6</v>
      </c>
      <c r="K176" s="4">
        <v>3.56</v>
      </c>
      <c r="L176" s="4">
        <v>181.83333333333329</v>
      </c>
      <c r="M176" s="4">
        <v>265.7</v>
      </c>
      <c r="N176" s="4">
        <v>30.25</v>
      </c>
      <c r="O176" s="4">
        <v>23.55</v>
      </c>
      <c r="P176" s="4">
        <v>148.25</v>
      </c>
      <c r="Q176" s="4">
        <v>39.5</v>
      </c>
      <c r="R176" s="4">
        <v>266</v>
      </c>
      <c r="S176" s="4" t="str" cm="1">
        <f t="array" ref="S176">_xlfn.IFS($R176&lt;=50,"Good",$R176&lt;=100,"Moderate",$R176&lt;=200,"Poor",$R176&lt;=300,"Very Poor",$R176&lt;=500,"Hazardous")</f>
        <v>Very Poor</v>
      </c>
      <c r="T176" t="s">
        <v>28</v>
      </c>
      <c r="X176" s="2"/>
      <c r="Y176" s="2"/>
    </row>
    <row r="177" spans="1:25" x14ac:dyDescent="0.3">
      <c r="A177" s="2">
        <v>45327</v>
      </c>
      <c r="B177" t="s">
        <v>20</v>
      </c>
      <c r="C177" s="4">
        <v>108.4</v>
      </c>
      <c r="D177" s="4">
        <v>42.5</v>
      </c>
      <c r="E177" s="4">
        <v>125.7</v>
      </c>
      <c r="F177" s="4">
        <v>7.96</v>
      </c>
      <c r="G177" s="4">
        <v>20.399999999999999</v>
      </c>
      <c r="H177" s="4">
        <v>2.4300000000000002</v>
      </c>
      <c r="I177" s="4">
        <v>33</v>
      </c>
      <c r="J177" s="4">
        <v>41.7</v>
      </c>
      <c r="K177" s="4">
        <v>2.57</v>
      </c>
      <c r="L177" s="4">
        <v>180.66666666666671</v>
      </c>
      <c r="M177" s="4">
        <v>42.5</v>
      </c>
      <c r="N177" s="4">
        <v>157.125</v>
      </c>
      <c r="O177" s="4">
        <v>19.899999999999999</v>
      </c>
      <c r="P177" s="4">
        <v>51</v>
      </c>
      <c r="Q177" s="4">
        <v>121.5</v>
      </c>
      <c r="R177" s="4">
        <v>181</v>
      </c>
      <c r="S177" s="4" t="str" cm="1">
        <f t="array" ref="S177">_xlfn.IFS($R177&lt;=50,"Good",$R177&lt;=100,"Moderate",$R177&lt;=200,"Poor",$R177&lt;=300,"Very Poor",$R177&lt;=500,"Hazardous")</f>
        <v>Poor</v>
      </c>
      <c r="T177" t="s">
        <v>25</v>
      </c>
      <c r="X177" s="2"/>
      <c r="Y177" s="2"/>
    </row>
    <row r="178" spans="1:25" x14ac:dyDescent="0.3">
      <c r="A178" s="2">
        <v>45327</v>
      </c>
      <c r="B178" t="s">
        <v>21</v>
      </c>
      <c r="C178" s="4">
        <v>145.69999999999999</v>
      </c>
      <c r="D178" s="4">
        <v>323.2</v>
      </c>
      <c r="E178" s="4">
        <v>97.1</v>
      </c>
      <c r="F178" s="4">
        <v>12.33</v>
      </c>
      <c r="G178" s="4">
        <v>21.7</v>
      </c>
      <c r="H178" s="4">
        <v>2.5</v>
      </c>
      <c r="I178" s="4">
        <v>17.5</v>
      </c>
      <c r="J178" s="4">
        <v>10</v>
      </c>
      <c r="K178" s="4">
        <v>3.02</v>
      </c>
      <c r="L178" s="4">
        <v>242.83333333333329</v>
      </c>
      <c r="M178" s="4">
        <v>323.2</v>
      </c>
      <c r="N178" s="4">
        <v>121.375</v>
      </c>
      <c r="O178" s="4">
        <v>30.824999999999999</v>
      </c>
      <c r="P178" s="4">
        <v>54.25</v>
      </c>
      <c r="Q178" s="4">
        <v>125</v>
      </c>
      <c r="R178" s="4">
        <v>323</v>
      </c>
      <c r="S178" s="4" t="str" cm="1">
        <f t="array" ref="S178">_xlfn.IFS($R178&lt;=50,"Good",$R178&lt;=100,"Moderate",$R178&lt;=200,"Poor",$R178&lt;=300,"Very Poor",$R178&lt;=500,"Hazardous")</f>
        <v>Hazardous</v>
      </c>
      <c r="T178" t="s">
        <v>28</v>
      </c>
      <c r="X178" s="2"/>
      <c r="Y178" s="2"/>
    </row>
    <row r="179" spans="1:25" x14ac:dyDescent="0.3">
      <c r="A179" s="2">
        <v>45327</v>
      </c>
      <c r="B179" t="s">
        <v>22</v>
      </c>
      <c r="C179" s="4">
        <v>132.4</v>
      </c>
      <c r="D179" s="4">
        <v>5</v>
      </c>
      <c r="E179" s="4">
        <v>37.700000000000003</v>
      </c>
      <c r="F179" s="4">
        <v>16.87</v>
      </c>
      <c r="G179" s="4">
        <v>78.2</v>
      </c>
      <c r="H179" s="4">
        <v>1.84</v>
      </c>
      <c r="I179" s="4">
        <v>19.899999999999999</v>
      </c>
      <c r="J179" s="4">
        <v>56.7</v>
      </c>
      <c r="K179" s="4">
        <v>4.1500000000000004</v>
      </c>
      <c r="L179" s="4">
        <v>220.66666666666671</v>
      </c>
      <c r="M179" s="4">
        <v>5</v>
      </c>
      <c r="N179" s="4">
        <v>47.125</v>
      </c>
      <c r="O179" s="4">
        <v>42.174999999999997</v>
      </c>
      <c r="P179" s="4">
        <v>195.5</v>
      </c>
      <c r="Q179" s="4">
        <v>92</v>
      </c>
      <c r="R179" s="4">
        <v>221</v>
      </c>
      <c r="S179" s="4" t="str" cm="1">
        <f t="array" ref="S179">_xlfn.IFS($R179&lt;=50,"Good",$R179&lt;=100,"Moderate",$R179&lt;=200,"Poor",$R179&lt;=300,"Very Poor",$R179&lt;=500,"Hazardous")</f>
        <v>Very Poor</v>
      </c>
      <c r="T179" t="s">
        <v>25</v>
      </c>
      <c r="X179" s="2"/>
      <c r="Y179" s="2"/>
    </row>
    <row r="180" spans="1:25" x14ac:dyDescent="0.3">
      <c r="A180" s="2">
        <v>45327</v>
      </c>
      <c r="B180" t="s">
        <v>23</v>
      </c>
      <c r="C180" s="4">
        <v>65</v>
      </c>
      <c r="D180" s="4">
        <v>115.3</v>
      </c>
      <c r="E180" s="4">
        <v>56.6</v>
      </c>
      <c r="F180" s="4">
        <v>5.17</v>
      </c>
      <c r="G180" s="4">
        <v>38.799999999999997</v>
      </c>
      <c r="H180" s="4">
        <v>3.48</v>
      </c>
      <c r="I180" s="4">
        <v>27.3</v>
      </c>
      <c r="J180" s="4">
        <v>55.5</v>
      </c>
      <c r="K180" s="4">
        <v>2.15</v>
      </c>
      <c r="L180" s="4">
        <v>108.3333333333333</v>
      </c>
      <c r="M180" s="4">
        <v>115.3</v>
      </c>
      <c r="N180" s="4">
        <v>70.750000000000014</v>
      </c>
      <c r="O180" s="4">
        <v>12.925000000000001</v>
      </c>
      <c r="P180" s="4">
        <v>96.999999999999986</v>
      </c>
      <c r="Q180" s="4">
        <v>174</v>
      </c>
      <c r="R180" s="4">
        <v>174</v>
      </c>
      <c r="S180" s="4" t="str" cm="1">
        <f t="array" ref="S180">_xlfn.IFS($R180&lt;=50,"Good",$R180&lt;=100,"Moderate",$R180&lt;=200,"Poor",$R180&lt;=300,"Very Poor",$R180&lt;=500,"Hazardous")</f>
        <v>Poor</v>
      </c>
      <c r="T180" t="s">
        <v>29</v>
      </c>
      <c r="X180" s="2"/>
      <c r="Y180" s="2"/>
    </row>
    <row r="181" spans="1:25" x14ac:dyDescent="0.3">
      <c r="A181" s="2">
        <v>45327</v>
      </c>
      <c r="B181" t="s">
        <v>24</v>
      </c>
      <c r="C181" s="4">
        <v>23.1</v>
      </c>
      <c r="D181" s="4">
        <v>304.5</v>
      </c>
      <c r="E181" s="4">
        <v>76.5</v>
      </c>
      <c r="F181" s="4">
        <v>12.49</v>
      </c>
      <c r="G181" s="4">
        <v>118.6</v>
      </c>
      <c r="H181" s="4">
        <v>2.4300000000000002</v>
      </c>
      <c r="I181" s="4">
        <v>19.7</v>
      </c>
      <c r="J181" s="4">
        <v>52.3</v>
      </c>
      <c r="K181" s="4">
        <v>4.38</v>
      </c>
      <c r="L181" s="4">
        <v>38.5</v>
      </c>
      <c r="M181" s="4">
        <v>304.5</v>
      </c>
      <c r="N181" s="4">
        <v>95.625</v>
      </c>
      <c r="O181" s="4">
        <v>31.225000000000001</v>
      </c>
      <c r="P181" s="4">
        <v>296.5</v>
      </c>
      <c r="Q181" s="4">
        <v>121.5</v>
      </c>
      <c r="R181" s="4">
        <v>304</v>
      </c>
      <c r="S181" s="4" t="str" cm="1">
        <f t="array" ref="S181">_xlfn.IFS($R181&lt;=50,"Good",$R181&lt;=100,"Moderate",$R181&lt;=200,"Poor",$R181&lt;=300,"Very Poor",$R181&lt;=500,"Hazardous")</f>
        <v>Hazardous</v>
      </c>
      <c r="T181" t="s">
        <v>28</v>
      </c>
      <c r="X181" s="2"/>
      <c r="Y181" s="2"/>
    </row>
    <row r="182" spans="1:25" x14ac:dyDescent="0.3">
      <c r="A182" s="2">
        <v>45328</v>
      </c>
      <c r="B182" t="s">
        <v>20</v>
      </c>
      <c r="C182" s="4">
        <v>116.7</v>
      </c>
      <c r="D182" s="4">
        <v>62</v>
      </c>
      <c r="E182" s="4">
        <v>116.6</v>
      </c>
      <c r="F182" s="4">
        <v>8.57</v>
      </c>
      <c r="G182" s="4">
        <v>89.9</v>
      </c>
      <c r="H182" s="4">
        <v>3.4</v>
      </c>
      <c r="I182" s="4">
        <v>21.9</v>
      </c>
      <c r="J182" s="4">
        <v>83.1</v>
      </c>
      <c r="K182" s="4">
        <v>2.58</v>
      </c>
      <c r="L182" s="4">
        <v>194.5</v>
      </c>
      <c r="M182" s="4">
        <v>62</v>
      </c>
      <c r="N182" s="4">
        <v>145.75</v>
      </c>
      <c r="O182" s="4">
        <v>21.425000000000001</v>
      </c>
      <c r="P182" s="4">
        <v>224.75</v>
      </c>
      <c r="Q182" s="4">
        <v>170</v>
      </c>
      <c r="R182" s="4">
        <v>225</v>
      </c>
      <c r="S182" s="4" t="str" cm="1">
        <f t="array" ref="S182">_xlfn.IFS($R182&lt;=50,"Good",$R182&lt;=100,"Moderate",$R182&lt;=200,"Poor",$R182&lt;=300,"Very Poor",$R182&lt;=500,"Hazardous")</f>
        <v>Very Poor</v>
      </c>
      <c r="T182" t="s">
        <v>27</v>
      </c>
      <c r="X182" s="2"/>
      <c r="Y182" s="2"/>
    </row>
    <row r="183" spans="1:25" x14ac:dyDescent="0.3">
      <c r="A183" s="2">
        <v>45328</v>
      </c>
      <c r="B183" t="s">
        <v>21</v>
      </c>
      <c r="C183" s="4">
        <v>171.2</v>
      </c>
      <c r="D183" s="4">
        <v>298.2</v>
      </c>
      <c r="E183" s="4">
        <v>56.1</v>
      </c>
      <c r="F183" s="4">
        <v>9.56</v>
      </c>
      <c r="G183" s="4">
        <v>74</v>
      </c>
      <c r="H183" s="4">
        <v>2</v>
      </c>
      <c r="I183" s="4">
        <v>22.2</v>
      </c>
      <c r="J183" s="4">
        <v>42.8</v>
      </c>
      <c r="K183" s="4">
        <v>3.01</v>
      </c>
      <c r="L183" s="4">
        <v>285.33333333333331</v>
      </c>
      <c r="M183" s="4">
        <v>298.2</v>
      </c>
      <c r="N183" s="4">
        <v>70.125</v>
      </c>
      <c r="O183" s="4">
        <v>23.9</v>
      </c>
      <c r="P183" s="4">
        <v>185</v>
      </c>
      <c r="Q183" s="4">
        <v>100</v>
      </c>
      <c r="R183" s="4">
        <v>298</v>
      </c>
      <c r="S183" s="4" t="str" cm="1">
        <f t="array" ref="S183">_xlfn.IFS($R183&lt;=50,"Good",$R183&lt;=100,"Moderate",$R183&lt;=200,"Poor",$R183&lt;=300,"Very Poor",$R183&lt;=500,"Hazardous")</f>
        <v>Very Poor</v>
      </c>
      <c r="T183" t="s">
        <v>28</v>
      </c>
      <c r="X183" s="2"/>
      <c r="Y183" s="2"/>
    </row>
    <row r="184" spans="1:25" x14ac:dyDescent="0.3">
      <c r="A184" s="2">
        <v>45328</v>
      </c>
      <c r="B184" t="s">
        <v>22</v>
      </c>
      <c r="C184" s="4">
        <v>185.3</v>
      </c>
      <c r="D184" s="4">
        <v>85</v>
      </c>
      <c r="E184" s="4">
        <v>69.099999999999994</v>
      </c>
      <c r="F184" s="4">
        <v>22.89</v>
      </c>
      <c r="G184" s="4">
        <v>32.5</v>
      </c>
      <c r="H184" s="4">
        <v>2.2400000000000002</v>
      </c>
      <c r="I184" s="4">
        <v>17.600000000000001</v>
      </c>
      <c r="J184" s="4">
        <v>67.7</v>
      </c>
      <c r="K184" s="4">
        <v>2.2799999999999998</v>
      </c>
      <c r="L184" s="4">
        <v>308.83333333333343</v>
      </c>
      <c r="M184" s="4">
        <v>85</v>
      </c>
      <c r="N184" s="4">
        <v>86.375</v>
      </c>
      <c r="O184" s="4">
        <v>57.225000000000001</v>
      </c>
      <c r="P184" s="4">
        <v>81.25</v>
      </c>
      <c r="Q184" s="4">
        <v>112</v>
      </c>
      <c r="R184" s="4">
        <v>309</v>
      </c>
      <c r="S184" s="4" t="str" cm="1">
        <f t="array" ref="S184">_xlfn.IFS($R184&lt;=50,"Good",$R184&lt;=100,"Moderate",$R184&lt;=200,"Poor",$R184&lt;=300,"Very Poor",$R184&lt;=500,"Hazardous")</f>
        <v>Hazardous</v>
      </c>
      <c r="T184" t="s">
        <v>25</v>
      </c>
      <c r="X184" s="2"/>
      <c r="Y184" s="2"/>
    </row>
    <row r="185" spans="1:25" x14ac:dyDescent="0.3">
      <c r="A185" s="2">
        <v>45328</v>
      </c>
      <c r="B185" t="s">
        <v>23</v>
      </c>
      <c r="C185" s="4">
        <v>143.30000000000001</v>
      </c>
      <c r="D185" s="4">
        <v>306</v>
      </c>
      <c r="E185" s="4">
        <v>154.9</v>
      </c>
      <c r="F185" s="4">
        <v>17.440000000000001</v>
      </c>
      <c r="G185" s="4">
        <v>43.3</v>
      </c>
      <c r="H185" s="4">
        <v>2.11</v>
      </c>
      <c r="I185" s="4">
        <v>22.5</v>
      </c>
      <c r="J185" s="4">
        <v>66.099999999999994</v>
      </c>
      <c r="K185" s="4">
        <v>2.15</v>
      </c>
      <c r="L185" s="4">
        <v>238.83333333333329</v>
      </c>
      <c r="M185" s="4">
        <v>306</v>
      </c>
      <c r="N185" s="4">
        <v>193.625</v>
      </c>
      <c r="O185" s="4">
        <v>43.6</v>
      </c>
      <c r="P185" s="4">
        <v>108.25</v>
      </c>
      <c r="Q185" s="4">
        <v>105.5</v>
      </c>
      <c r="R185" s="4">
        <v>306</v>
      </c>
      <c r="S185" s="4" t="str" cm="1">
        <f t="array" ref="S185">_xlfn.IFS($R185&lt;=50,"Good",$R185&lt;=100,"Moderate",$R185&lt;=200,"Poor",$R185&lt;=300,"Very Poor",$R185&lt;=500,"Hazardous")</f>
        <v>Hazardous</v>
      </c>
      <c r="T185" t="s">
        <v>28</v>
      </c>
      <c r="X185" s="2"/>
      <c r="Y185" s="2"/>
    </row>
    <row r="186" spans="1:25" x14ac:dyDescent="0.3">
      <c r="A186" s="2">
        <v>45328</v>
      </c>
      <c r="B186" t="s">
        <v>24</v>
      </c>
      <c r="C186" s="4">
        <v>114.5</v>
      </c>
      <c r="D186" s="4">
        <v>350.3</v>
      </c>
      <c r="E186" s="4">
        <v>43.8</v>
      </c>
      <c r="F186" s="4">
        <v>24.11</v>
      </c>
      <c r="G186" s="4">
        <v>72.2</v>
      </c>
      <c r="H186" s="4">
        <v>1.99</v>
      </c>
      <c r="I186" s="4">
        <v>10.1</v>
      </c>
      <c r="J186" s="4">
        <v>49.1</v>
      </c>
      <c r="K186" s="4">
        <v>4.5599999999999996</v>
      </c>
      <c r="L186" s="4">
        <v>190.83333333333329</v>
      </c>
      <c r="M186" s="4">
        <v>350.3</v>
      </c>
      <c r="N186" s="4">
        <v>54.749999999999993</v>
      </c>
      <c r="O186" s="4">
        <v>60.274999999999999</v>
      </c>
      <c r="P186" s="4">
        <v>180.5</v>
      </c>
      <c r="Q186" s="4">
        <v>99.5</v>
      </c>
      <c r="R186" s="4">
        <v>350</v>
      </c>
      <c r="S186" s="4" t="str" cm="1">
        <f t="array" ref="S186">_xlfn.IFS($R186&lt;=50,"Good",$R186&lt;=100,"Moderate",$R186&lt;=200,"Poor",$R186&lt;=300,"Very Poor",$R186&lt;=500,"Hazardous")</f>
        <v>Hazardous</v>
      </c>
      <c r="T186" t="s">
        <v>28</v>
      </c>
      <c r="X186" s="2"/>
      <c r="Y186" s="2"/>
    </row>
    <row r="187" spans="1:25" x14ac:dyDescent="0.3">
      <c r="A187" s="2">
        <v>45329</v>
      </c>
      <c r="B187" t="s">
        <v>20</v>
      </c>
      <c r="C187" s="4">
        <v>109.1</v>
      </c>
      <c r="D187" s="4">
        <v>110.5</v>
      </c>
      <c r="E187" s="4">
        <v>64.2</v>
      </c>
      <c r="F187" s="4">
        <v>22.45</v>
      </c>
      <c r="G187" s="4">
        <v>55.5</v>
      </c>
      <c r="H187" s="4">
        <v>1.94</v>
      </c>
      <c r="I187" s="4">
        <v>22.4</v>
      </c>
      <c r="J187" s="4">
        <v>52.9</v>
      </c>
      <c r="K187" s="4">
        <v>1.39</v>
      </c>
      <c r="L187" s="4">
        <v>181.83333333333329</v>
      </c>
      <c r="M187" s="4">
        <v>110.5</v>
      </c>
      <c r="N187" s="4">
        <v>80.25</v>
      </c>
      <c r="O187" s="4">
        <v>56.125</v>
      </c>
      <c r="P187" s="4">
        <v>138.75</v>
      </c>
      <c r="Q187" s="4">
        <v>97</v>
      </c>
      <c r="R187" s="4">
        <v>182</v>
      </c>
      <c r="S187" s="4" t="str" cm="1">
        <f t="array" ref="S187">_xlfn.IFS($R187&lt;=50,"Good",$R187&lt;=100,"Moderate",$R187&lt;=200,"Poor",$R187&lt;=300,"Very Poor",$R187&lt;=500,"Hazardous")</f>
        <v>Poor</v>
      </c>
      <c r="T187" t="s">
        <v>25</v>
      </c>
      <c r="X187" s="2"/>
      <c r="Y187" s="2"/>
    </row>
    <row r="188" spans="1:25" x14ac:dyDescent="0.3">
      <c r="A188" s="2">
        <v>45329</v>
      </c>
      <c r="B188" t="s">
        <v>21</v>
      </c>
      <c r="C188" s="4">
        <v>216.9</v>
      </c>
      <c r="D188" s="4">
        <v>201.3</v>
      </c>
      <c r="E188" s="4">
        <v>138.69999999999999</v>
      </c>
      <c r="F188" s="4">
        <v>31.21</v>
      </c>
      <c r="G188" s="4">
        <v>73.099999999999994</v>
      </c>
      <c r="H188" s="4">
        <v>1.88</v>
      </c>
      <c r="I188" s="4">
        <v>27.8</v>
      </c>
      <c r="J188" s="4">
        <v>59.6</v>
      </c>
      <c r="K188" s="4">
        <v>1.42</v>
      </c>
      <c r="L188" s="4">
        <v>361.5</v>
      </c>
      <c r="M188" s="4">
        <v>201.3</v>
      </c>
      <c r="N188" s="4">
        <v>173.375</v>
      </c>
      <c r="O188" s="4">
        <v>78.024999999999991</v>
      </c>
      <c r="P188" s="4">
        <v>182.75</v>
      </c>
      <c r="Q188" s="4">
        <v>94</v>
      </c>
      <c r="R188" s="4">
        <v>362</v>
      </c>
      <c r="S188" s="4" t="str" cm="1">
        <f t="array" ref="S188">_xlfn.IFS($R188&lt;=50,"Good",$R188&lt;=100,"Moderate",$R188&lt;=200,"Poor",$R188&lt;=300,"Very Poor",$R188&lt;=500,"Hazardous")</f>
        <v>Hazardous</v>
      </c>
      <c r="T188" t="s">
        <v>25</v>
      </c>
      <c r="X188" s="2"/>
      <c r="Y188" s="2"/>
    </row>
    <row r="189" spans="1:25" x14ac:dyDescent="0.3">
      <c r="A189" s="2">
        <v>45329</v>
      </c>
      <c r="B189" t="s">
        <v>22</v>
      </c>
      <c r="C189" s="4">
        <v>106</v>
      </c>
      <c r="D189" s="4">
        <v>74.900000000000006</v>
      </c>
      <c r="E189" s="4">
        <v>104.5</v>
      </c>
      <c r="F189" s="4">
        <v>8.6300000000000008</v>
      </c>
      <c r="G189" s="4">
        <v>38.5</v>
      </c>
      <c r="H189" s="4">
        <v>2.08</v>
      </c>
      <c r="I189" s="4">
        <v>23.2</v>
      </c>
      <c r="J189" s="4">
        <v>70.599999999999994</v>
      </c>
      <c r="K189" s="4">
        <v>1.93</v>
      </c>
      <c r="L189" s="4">
        <v>176.66666666666671</v>
      </c>
      <c r="M189" s="4">
        <v>74.900000000000006</v>
      </c>
      <c r="N189" s="4">
        <v>130.625</v>
      </c>
      <c r="O189" s="4">
        <v>21.574999999999999</v>
      </c>
      <c r="P189" s="4">
        <v>96.25</v>
      </c>
      <c r="Q189" s="4">
        <v>104</v>
      </c>
      <c r="R189" s="4">
        <v>177</v>
      </c>
      <c r="S189" s="4" t="str" cm="1">
        <f t="array" ref="S189">_xlfn.IFS($R189&lt;=50,"Good",$R189&lt;=100,"Moderate",$R189&lt;=200,"Poor",$R189&lt;=300,"Very Poor",$R189&lt;=500,"Hazardous")</f>
        <v>Poor</v>
      </c>
      <c r="T189" t="s">
        <v>25</v>
      </c>
      <c r="X189" s="2"/>
      <c r="Y189" s="2"/>
    </row>
    <row r="190" spans="1:25" x14ac:dyDescent="0.3">
      <c r="A190" s="2">
        <v>45329</v>
      </c>
      <c r="B190" t="s">
        <v>23</v>
      </c>
      <c r="C190" s="4">
        <v>137.80000000000001</v>
      </c>
      <c r="D190" s="4">
        <v>62.8</v>
      </c>
      <c r="E190" s="4">
        <v>76</v>
      </c>
      <c r="F190" s="4">
        <v>28.31</v>
      </c>
      <c r="G190" s="4">
        <v>13.5</v>
      </c>
      <c r="H190" s="4">
        <v>1.27</v>
      </c>
      <c r="I190" s="4">
        <v>28.6</v>
      </c>
      <c r="J190" s="4">
        <v>63.2</v>
      </c>
      <c r="K190" s="4">
        <v>2.92</v>
      </c>
      <c r="L190" s="4">
        <v>229.66666666666671</v>
      </c>
      <c r="M190" s="4">
        <v>62.8</v>
      </c>
      <c r="N190" s="4">
        <v>95</v>
      </c>
      <c r="O190" s="4">
        <v>70.774999999999991</v>
      </c>
      <c r="P190" s="4">
        <v>33.75</v>
      </c>
      <c r="Q190" s="4">
        <v>63.5</v>
      </c>
      <c r="R190" s="4">
        <v>230</v>
      </c>
      <c r="S190" s="4" t="str" cm="1">
        <f t="array" ref="S190">_xlfn.IFS($R190&lt;=50,"Good",$R190&lt;=100,"Moderate",$R190&lt;=200,"Poor",$R190&lt;=300,"Very Poor",$R190&lt;=500,"Hazardous")</f>
        <v>Very Poor</v>
      </c>
      <c r="T190" t="s">
        <v>25</v>
      </c>
      <c r="X190" s="2"/>
      <c r="Y190" s="2"/>
    </row>
    <row r="191" spans="1:25" x14ac:dyDescent="0.3">
      <c r="A191" s="2">
        <v>45329</v>
      </c>
      <c r="B191" t="s">
        <v>24</v>
      </c>
      <c r="C191" s="4">
        <v>131.4</v>
      </c>
      <c r="D191" s="4">
        <v>278.2</v>
      </c>
      <c r="E191" s="4">
        <v>118.3</v>
      </c>
      <c r="F191" s="4">
        <v>17.690000000000001</v>
      </c>
      <c r="G191" s="4">
        <v>33.6</v>
      </c>
      <c r="H191" s="4">
        <v>2.82</v>
      </c>
      <c r="I191" s="4">
        <v>38.299999999999997</v>
      </c>
      <c r="J191" s="4">
        <v>57.6</v>
      </c>
      <c r="K191" s="4">
        <v>1.83</v>
      </c>
      <c r="L191" s="4">
        <v>219</v>
      </c>
      <c r="M191" s="4">
        <v>278.2</v>
      </c>
      <c r="N191" s="4">
        <v>147.875</v>
      </c>
      <c r="O191" s="4">
        <v>44.225000000000001</v>
      </c>
      <c r="P191" s="4">
        <v>84</v>
      </c>
      <c r="Q191" s="4">
        <v>141</v>
      </c>
      <c r="R191" s="4">
        <v>278</v>
      </c>
      <c r="S191" s="4" t="str" cm="1">
        <f t="array" ref="S191">_xlfn.IFS($R191&lt;=50,"Good",$R191&lt;=100,"Moderate",$R191&lt;=200,"Poor",$R191&lt;=300,"Very Poor",$R191&lt;=500,"Hazardous")</f>
        <v>Very Poor</v>
      </c>
      <c r="T191" t="s">
        <v>28</v>
      </c>
      <c r="X191" s="2"/>
      <c r="Y191" s="2"/>
    </row>
    <row r="192" spans="1:25" x14ac:dyDescent="0.3">
      <c r="A192" s="2">
        <v>45330</v>
      </c>
      <c r="B192" t="s">
        <v>20</v>
      </c>
      <c r="C192" s="4">
        <v>171.5</v>
      </c>
      <c r="D192" s="4">
        <v>207.5</v>
      </c>
      <c r="E192" s="4">
        <v>2.8</v>
      </c>
      <c r="F192" s="4">
        <v>22.52</v>
      </c>
      <c r="G192" s="4">
        <v>27.5</v>
      </c>
      <c r="H192" s="4">
        <v>2.11</v>
      </c>
      <c r="I192" s="4">
        <v>27.3</v>
      </c>
      <c r="J192" s="4">
        <v>63.4</v>
      </c>
      <c r="K192" s="4">
        <v>3.35</v>
      </c>
      <c r="L192" s="4">
        <v>285.83333333333331</v>
      </c>
      <c r="M192" s="4">
        <v>207.5</v>
      </c>
      <c r="N192" s="4">
        <v>3.5</v>
      </c>
      <c r="O192" s="4">
        <v>56.3</v>
      </c>
      <c r="P192" s="4">
        <v>68.75</v>
      </c>
      <c r="Q192" s="4">
        <v>105.5</v>
      </c>
      <c r="R192" s="4">
        <v>286</v>
      </c>
      <c r="S192" s="4" t="str" cm="1">
        <f t="array" ref="S192">_xlfn.IFS($R192&lt;=50,"Good",$R192&lt;=100,"Moderate",$R192&lt;=200,"Poor",$R192&lt;=300,"Very Poor",$R192&lt;=500,"Hazardous")</f>
        <v>Very Poor</v>
      </c>
      <c r="T192" t="s">
        <v>25</v>
      </c>
      <c r="X192" s="2"/>
      <c r="Y192" s="2"/>
    </row>
    <row r="193" spans="1:25" x14ac:dyDescent="0.3">
      <c r="A193" s="2">
        <v>45330</v>
      </c>
      <c r="B193" t="s">
        <v>21</v>
      </c>
      <c r="C193" s="4">
        <v>93.9</v>
      </c>
      <c r="D193" s="4">
        <v>301.60000000000002</v>
      </c>
      <c r="E193" s="4">
        <v>79.599999999999994</v>
      </c>
      <c r="F193" s="4">
        <v>23.39</v>
      </c>
      <c r="G193" s="4">
        <v>62.3</v>
      </c>
      <c r="H193" s="4">
        <v>1.28</v>
      </c>
      <c r="I193" s="4">
        <v>32.6</v>
      </c>
      <c r="J193" s="4">
        <v>50.4</v>
      </c>
      <c r="K193" s="4">
        <v>3.47</v>
      </c>
      <c r="L193" s="4">
        <v>156.5</v>
      </c>
      <c r="M193" s="4">
        <v>301.60000000000002</v>
      </c>
      <c r="N193" s="4">
        <v>99.499999999999986</v>
      </c>
      <c r="O193" s="4">
        <v>58.475000000000001</v>
      </c>
      <c r="P193" s="4">
        <v>155.75</v>
      </c>
      <c r="Q193" s="4">
        <v>64</v>
      </c>
      <c r="R193" s="4">
        <v>302</v>
      </c>
      <c r="S193" s="4" t="str" cm="1">
        <f t="array" ref="S193">_xlfn.IFS($R193&lt;=50,"Good",$R193&lt;=100,"Moderate",$R193&lt;=200,"Poor",$R193&lt;=300,"Very Poor",$R193&lt;=500,"Hazardous")</f>
        <v>Hazardous</v>
      </c>
      <c r="T193" t="s">
        <v>28</v>
      </c>
      <c r="X193" s="2"/>
      <c r="Y193" s="2"/>
    </row>
    <row r="194" spans="1:25" x14ac:dyDescent="0.3">
      <c r="A194" s="2">
        <v>45330</v>
      </c>
      <c r="B194" t="s">
        <v>22</v>
      </c>
      <c r="C194" s="4">
        <v>107.9</v>
      </c>
      <c r="D194" s="4">
        <v>350</v>
      </c>
      <c r="E194" s="4">
        <v>61.6</v>
      </c>
      <c r="F194" s="4">
        <v>9.51</v>
      </c>
      <c r="G194" s="4">
        <v>33.799999999999997</v>
      </c>
      <c r="H194" s="4">
        <v>1.55</v>
      </c>
      <c r="I194" s="4">
        <v>30.6</v>
      </c>
      <c r="J194" s="4">
        <v>30.9</v>
      </c>
      <c r="K194" s="4">
        <v>1.24</v>
      </c>
      <c r="L194" s="4">
        <v>179.83333333333329</v>
      </c>
      <c r="M194" s="4">
        <v>350</v>
      </c>
      <c r="N194" s="4">
        <v>77</v>
      </c>
      <c r="O194" s="4">
        <v>23.774999999999999</v>
      </c>
      <c r="P194" s="4">
        <v>84.499999999999986</v>
      </c>
      <c r="Q194" s="4">
        <v>77.5</v>
      </c>
      <c r="R194" s="4">
        <v>350</v>
      </c>
      <c r="S194" s="4" t="str" cm="1">
        <f t="array" ref="S194">_xlfn.IFS($R194&lt;=50,"Good",$R194&lt;=100,"Moderate",$R194&lt;=200,"Poor",$R194&lt;=300,"Very Poor",$R194&lt;=500,"Hazardous")</f>
        <v>Hazardous</v>
      </c>
      <c r="T194" t="s">
        <v>28</v>
      </c>
      <c r="X194" s="2"/>
      <c r="Y194" s="2"/>
    </row>
    <row r="195" spans="1:25" x14ac:dyDescent="0.3">
      <c r="A195" s="2">
        <v>45330</v>
      </c>
      <c r="B195" t="s">
        <v>23</v>
      </c>
      <c r="C195" s="4">
        <v>44.7</v>
      </c>
      <c r="D195" s="4">
        <v>283.2</v>
      </c>
      <c r="E195" s="4">
        <v>126.7</v>
      </c>
      <c r="F195" s="4">
        <v>11.96</v>
      </c>
      <c r="G195" s="4">
        <v>32.200000000000003</v>
      </c>
      <c r="H195" s="4">
        <v>1.99</v>
      </c>
      <c r="I195" s="4">
        <v>33.1</v>
      </c>
      <c r="J195" s="4">
        <v>43.3</v>
      </c>
      <c r="K195" s="4">
        <v>2.79</v>
      </c>
      <c r="L195" s="4">
        <v>74.500000000000014</v>
      </c>
      <c r="M195" s="4">
        <v>283.2</v>
      </c>
      <c r="N195" s="4">
        <v>158.375</v>
      </c>
      <c r="O195" s="4">
        <v>29.9</v>
      </c>
      <c r="P195" s="4">
        <v>80.5</v>
      </c>
      <c r="Q195" s="4">
        <v>99.5</v>
      </c>
      <c r="R195" s="4">
        <v>283</v>
      </c>
      <c r="S195" s="4" t="str" cm="1">
        <f t="array" ref="S195">_xlfn.IFS($R195&lt;=50,"Good",$R195&lt;=100,"Moderate",$R195&lt;=200,"Poor",$R195&lt;=300,"Very Poor",$R195&lt;=500,"Hazardous")</f>
        <v>Very Poor</v>
      </c>
      <c r="T195" t="s">
        <v>28</v>
      </c>
      <c r="X195" s="2"/>
      <c r="Y195" s="2"/>
    </row>
    <row r="196" spans="1:25" x14ac:dyDescent="0.3">
      <c r="A196" s="2">
        <v>45330</v>
      </c>
      <c r="B196" t="s">
        <v>24</v>
      </c>
      <c r="C196" s="4">
        <v>157.1</v>
      </c>
      <c r="D196" s="4">
        <v>264.10000000000002</v>
      </c>
      <c r="E196" s="4">
        <v>85.9</v>
      </c>
      <c r="F196" s="4">
        <v>22.89</v>
      </c>
      <c r="G196" s="4">
        <v>1</v>
      </c>
      <c r="H196" s="4">
        <v>2.83</v>
      </c>
      <c r="I196" s="4">
        <v>20.399999999999999</v>
      </c>
      <c r="J196" s="4">
        <v>27</v>
      </c>
      <c r="K196" s="4">
        <v>3.61</v>
      </c>
      <c r="L196" s="4">
        <v>261.83333333333331</v>
      </c>
      <c r="M196" s="4">
        <v>264.10000000000002</v>
      </c>
      <c r="N196" s="4">
        <v>107.375</v>
      </c>
      <c r="O196" s="4">
        <v>57.225000000000001</v>
      </c>
      <c r="P196" s="4">
        <v>2.5</v>
      </c>
      <c r="Q196" s="4">
        <v>141.5</v>
      </c>
      <c r="R196" s="4">
        <v>264</v>
      </c>
      <c r="S196" s="4" t="str" cm="1">
        <f t="array" ref="S196">_xlfn.IFS($R196&lt;=50,"Good",$R196&lt;=100,"Moderate",$R196&lt;=200,"Poor",$R196&lt;=300,"Very Poor",$R196&lt;=500,"Hazardous")</f>
        <v>Very Poor</v>
      </c>
      <c r="T196" t="s">
        <v>28</v>
      </c>
      <c r="X196" s="2"/>
      <c r="Y196" s="2"/>
    </row>
    <row r="197" spans="1:25" x14ac:dyDescent="0.3">
      <c r="A197" s="2">
        <v>45331</v>
      </c>
      <c r="B197" t="s">
        <v>20</v>
      </c>
      <c r="C197" s="4">
        <v>186.2</v>
      </c>
      <c r="D197" s="4">
        <v>205.6</v>
      </c>
      <c r="E197" s="4">
        <v>117.9</v>
      </c>
      <c r="F197" s="4">
        <v>29.55</v>
      </c>
      <c r="G197" s="4">
        <v>75.400000000000006</v>
      </c>
      <c r="H197" s="4">
        <v>4.0199999999999996</v>
      </c>
      <c r="I197" s="4">
        <v>30.2</v>
      </c>
      <c r="J197" s="4">
        <v>61.4</v>
      </c>
      <c r="K197" s="4">
        <v>0.57999999999999996</v>
      </c>
      <c r="L197" s="4">
        <v>310.33333333333331</v>
      </c>
      <c r="M197" s="4">
        <v>205.6</v>
      </c>
      <c r="N197" s="4">
        <v>147.375</v>
      </c>
      <c r="O197" s="4">
        <v>73.875</v>
      </c>
      <c r="P197" s="4">
        <v>188.5</v>
      </c>
      <c r="Q197" s="4">
        <v>201</v>
      </c>
      <c r="R197" s="4">
        <v>310</v>
      </c>
      <c r="S197" s="4" t="str" cm="1">
        <f t="array" ref="S197">_xlfn.IFS($R197&lt;=50,"Good",$R197&lt;=100,"Moderate",$R197&lt;=200,"Poor",$R197&lt;=300,"Very Poor",$R197&lt;=500,"Hazardous")</f>
        <v>Hazardous</v>
      </c>
      <c r="T197" t="s">
        <v>25</v>
      </c>
      <c r="X197" s="2"/>
      <c r="Y197" s="2"/>
    </row>
    <row r="198" spans="1:25" x14ac:dyDescent="0.3">
      <c r="A198" s="2">
        <v>45331</v>
      </c>
      <c r="B198" t="s">
        <v>21</v>
      </c>
      <c r="C198" s="4">
        <v>105.2</v>
      </c>
      <c r="D198" s="4">
        <v>138.80000000000001</v>
      </c>
      <c r="E198" s="4">
        <v>176.8</v>
      </c>
      <c r="F198" s="4">
        <v>14.24</v>
      </c>
      <c r="G198" s="4">
        <v>48.5</v>
      </c>
      <c r="H198" s="4">
        <v>3.06</v>
      </c>
      <c r="I198" s="4">
        <v>25.3</v>
      </c>
      <c r="J198" s="4">
        <v>90.5</v>
      </c>
      <c r="K198" s="4">
        <v>1.75</v>
      </c>
      <c r="L198" s="4">
        <v>175.33333333333329</v>
      </c>
      <c r="M198" s="4">
        <v>138.80000000000001</v>
      </c>
      <c r="N198" s="4">
        <v>221</v>
      </c>
      <c r="O198" s="4">
        <v>35.6</v>
      </c>
      <c r="P198" s="4">
        <v>121.25</v>
      </c>
      <c r="Q198" s="4">
        <v>153</v>
      </c>
      <c r="R198" s="4">
        <v>221</v>
      </c>
      <c r="S198" s="4" t="str" cm="1">
        <f t="array" ref="S198">_xlfn.IFS($R198&lt;=50,"Good",$R198&lt;=100,"Moderate",$R198&lt;=200,"Poor",$R198&lt;=300,"Very Poor",$R198&lt;=500,"Hazardous")</f>
        <v>Very Poor</v>
      </c>
      <c r="T198" t="s">
        <v>26</v>
      </c>
      <c r="X198" s="2"/>
      <c r="Y198" s="2"/>
    </row>
    <row r="199" spans="1:25" x14ac:dyDescent="0.3">
      <c r="A199" s="2">
        <v>45331</v>
      </c>
      <c r="B199" t="s">
        <v>22</v>
      </c>
      <c r="C199" s="4">
        <v>100.1</v>
      </c>
      <c r="D199" s="4">
        <v>114.7</v>
      </c>
      <c r="E199" s="4">
        <v>28.3</v>
      </c>
      <c r="F199" s="4">
        <v>7.51</v>
      </c>
      <c r="G199" s="4">
        <v>33.4</v>
      </c>
      <c r="H199" s="4">
        <v>1.43</v>
      </c>
      <c r="I199" s="4">
        <v>20.2</v>
      </c>
      <c r="J199" s="4">
        <v>34.700000000000003</v>
      </c>
      <c r="K199" s="4">
        <v>2.4</v>
      </c>
      <c r="L199" s="4">
        <v>166.83333333333329</v>
      </c>
      <c r="M199" s="4">
        <v>114.7</v>
      </c>
      <c r="N199" s="4">
        <v>35.375000000000007</v>
      </c>
      <c r="O199" s="4">
        <v>18.774999999999999</v>
      </c>
      <c r="P199" s="4">
        <v>83.499999999999986</v>
      </c>
      <c r="Q199" s="4">
        <v>71.5</v>
      </c>
      <c r="R199" s="4">
        <v>167</v>
      </c>
      <c r="S199" s="4" t="str" cm="1">
        <f t="array" ref="S199">_xlfn.IFS($R199&lt;=50,"Good",$R199&lt;=100,"Moderate",$R199&lt;=200,"Poor",$R199&lt;=300,"Very Poor",$R199&lt;=500,"Hazardous")</f>
        <v>Poor</v>
      </c>
      <c r="T199" t="s">
        <v>25</v>
      </c>
      <c r="X199" s="2"/>
      <c r="Y199" s="2"/>
    </row>
    <row r="200" spans="1:25" x14ac:dyDescent="0.3">
      <c r="A200" s="2">
        <v>45331</v>
      </c>
      <c r="B200" t="s">
        <v>23</v>
      </c>
      <c r="C200" s="4">
        <v>23.8</v>
      </c>
      <c r="D200" s="4">
        <v>265</v>
      </c>
      <c r="E200" s="4">
        <v>74.599999999999994</v>
      </c>
      <c r="F200" s="4">
        <v>1.1399999999999999</v>
      </c>
      <c r="G200" s="4">
        <v>29</v>
      </c>
      <c r="H200" s="4">
        <v>1.2</v>
      </c>
      <c r="I200" s="4">
        <v>27.2</v>
      </c>
      <c r="J200" s="4">
        <v>84.1</v>
      </c>
      <c r="K200" s="4">
        <v>0.25</v>
      </c>
      <c r="L200" s="4">
        <v>39.666666666666671</v>
      </c>
      <c r="M200" s="4">
        <v>265</v>
      </c>
      <c r="N200" s="4">
        <v>93.25</v>
      </c>
      <c r="O200" s="4">
        <v>2.85</v>
      </c>
      <c r="P200" s="4">
        <v>72.5</v>
      </c>
      <c r="Q200" s="4">
        <v>60</v>
      </c>
      <c r="R200" s="4">
        <v>265</v>
      </c>
      <c r="S200" s="4" t="str" cm="1">
        <f t="array" ref="S200">_xlfn.IFS($R200&lt;=50,"Good",$R200&lt;=100,"Moderate",$R200&lt;=200,"Poor",$R200&lt;=300,"Very Poor",$R200&lt;=500,"Hazardous")</f>
        <v>Very Poor</v>
      </c>
      <c r="T200" t="s">
        <v>28</v>
      </c>
      <c r="X200" s="2"/>
      <c r="Y200" s="2"/>
    </row>
    <row r="201" spans="1:25" x14ac:dyDescent="0.3">
      <c r="A201" s="2">
        <v>45331</v>
      </c>
      <c r="B201" t="s">
        <v>24</v>
      </c>
      <c r="C201" s="4">
        <v>111.7</v>
      </c>
      <c r="D201" s="4">
        <v>194.3</v>
      </c>
      <c r="E201" s="4">
        <v>102.8</v>
      </c>
      <c r="F201" s="4">
        <v>15.96</v>
      </c>
      <c r="G201" s="4">
        <v>21</v>
      </c>
      <c r="H201" s="4">
        <v>1.78</v>
      </c>
      <c r="I201" s="4">
        <v>19.399999999999999</v>
      </c>
      <c r="J201" s="4">
        <v>79.400000000000006</v>
      </c>
      <c r="K201" s="4">
        <v>3.03</v>
      </c>
      <c r="L201" s="4">
        <v>186.16666666666671</v>
      </c>
      <c r="M201" s="4">
        <v>194.3</v>
      </c>
      <c r="N201" s="4">
        <v>128.5</v>
      </c>
      <c r="O201" s="4">
        <v>39.900000000000013</v>
      </c>
      <c r="P201" s="4">
        <v>52.5</v>
      </c>
      <c r="Q201" s="4">
        <v>89</v>
      </c>
      <c r="R201" s="4">
        <v>194</v>
      </c>
      <c r="S201" s="4" t="str" cm="1">
        <f t="array" ref="S201">_xlfn.IFS($R201&lt;=50,"Good",$R201&lt;=100,"Moderate",$R201&lt;=200,"Poor",$R201&lt;=300,"Very Poor",$R201&lt;=500,"Hazardous")</f>
        <v>Poor</v>
      </c>
      <c r="T201" t="s">
        <v>28</v>
      </c>
      <c r="X201" s="2"/>
      <c r="Y201" s="2"/>
    </row>
    <row r="202" spans="1:25" x14ac:dyDescent="0.3">
      <c r="A202" s="2">
        <v>45332</v>
      </c>
      <c r="B202" t="s">
        <v>20</v>
      </c>
      <c r="C202" s="4">
        <v>215.3</v>
      </c>
      <c r="D202" s="4">
        <v>214.1</v>
      </c>
      <c r="E202" s="4">
        <v>56.7</v>
      </c>
      <c r="F202" s="4">
        <v>0.79</v>
      </c>
      <c r="G202" s="4">
        <v>1</v>
      </c>
      <c r="H202" s="4">
        <v>0.46</v>
      </c>
      <c r="I202" s="4">
        <v>26.9</v>
      </c>
      <c r="J202" s="4">
        <v>69.2</v>
      </c>
      <c r="K202" s="4">
        <v>0.6</v>
      </c>
      <c r="L202" s="4">
        <v>358.83333333333331</v>
      </c>
      <c r="M202" s="4">
        <v>214.1</v>
      </c>
      <c r="N202" s="4">
        <v>70.875000000000014</v>
      </c>
      <c r="O202" s="4">
        <v>1.9750000000000001</v>
      </c>
      <c r="P202" s="4">
        <v>2.5</v>
      </c>
      <c r="Q202" s="4">
        <v>23</v>
      </c>
      <c r="R202" s="4">
        <v>359</v>
      </c>
      <c r="S202" s="4" t="str" cm="1">
        <f t="array" ref="S202">_xlfn.IFS($R202&lt;=50,"Good",$R202&lt;=100,"Moderate",$R202&lt;=200,"Poor",$R202&lt;=300,"Very Poor",$R202&lt;=500,"Hazardous")</f>
        <v>Hazardous</v>
      </c>
      <c r="T202" t="s">
        <v>25</v>
      </c>
      <c r="X202" s="2"/>
      <c r="Y202" s="2"/>
    </row>
    <row r="203" spans="1:25" x14ac:dyDescent="0.3">
      <c r="A203" s="2">
        <v>45332</v>
      </c>
      <c r="B203" t="s">
        <v>21</v>
      </c>
      <c r="C203" s="4">
        <v>173.7</v>
      </c>
      <c r="D203" s="4">
        <v>182</v>
      </c>
      <c r="E203" s="4">
        <v>95.9</v>
      </c>
      <c r="F203" s="4">
        <v>32.119999999999997</v>
      </c>
      <c r="G203" s="4">
        <v>70.2</v>
      </c>
      <c r="H203" s="4">
        <v>2.08</v>
      </c>
      <c r="I203" s="4">
        <v>18.8</v>
      </c>
      <c r="J203" s="4">
        <v>21.3</v>
      </c>
      <c r="K203" s="4">
        <v>1.64</v>
      </c>
      <c r="L203" s="4">
        <v>289.5</v>
      </c>
      <c r="M203" s="4">
        <v>182</v>
      </c>
      <c r="N203" s="4">
        <v>119.875</v>
      </c>
      <c r="O203" s="4">
        <v>80.3</v>
      </c>
      <c r="P203" s="4">
        <v>175.5</v>
      </c>
      <c r="Q203" s="4">
        <v>104</v>
      </c>
      <c r="R203" s="4">
        <v>290</v>
      </c>
      <c r="S203" s="4" t="str" cm="1">
        <f t="array" ref="S203">_xlfn.IFS($R203&lt;=50,"Good",$R203&lt;=100,"Moderate",$R203&lt;=200,"Poor",$R203&lt;=300,"Very Poor",$R203&lt;=500,"Hazardous")</f>
        <v>Very Poor</v>
      </c>
      <c r="T203" t="s">
        <v>25</v>
      </c>
      <c r="X203" s="2"/>
      <c r="Y203" s="2"/>
    </row>
    <row r="204" spans="1:25" x14ac:dyDescent="0.3">
      <c r="A204" s="2">
        <v>45332</v>
      </c>
      <c r="B204" t="s">
        <v>22</v>
      </c>
      <c r="C204" s="4">
        <v>81.599999999999994</v>
      </c>
      <c r="D204" s="4">
        <v>92.4</v>
      </c>
      <c r="E204" s="4">
        <v>64.400000000000006</v>
      </c>
      <c r="F204" s="4">
        <v>12.74</v>
      </c>
      <c r="G204" s="4">
        <v>29.4</v>
      </c>
      <c r="H204" s="4">
        <v>1.23</v>
      </c>
      <c r="I204" s="4">
        <v>26.2</v>
      </c>
      <c r="J204" s="4">
        <v>68</v>
      </c>
      <c r="K204" s="4">
        <v>1.19</v>
      </c>
      <c r="L204" s="4">
        <v>136</v>
      </c>
      <c r="M204" s="4">
        <v>92.4</v>
      </c>
      <c r="N204" s="4">
        <v>80.5</v>
      </c>
      <c r="O204" s="4">
        <v>31.85</v>
      </c>
      <c r="P204" s="4">
        <v>73.5</v>
      </c>
      <c r="Q204" s="4">
        <v>61.5</v>
      </c>
      <c r="R204" s="4">
        <v>136</v>
      </c>
      <c r="S204" s="4" t="str" cm="1">
        <f t="array" ref="S204">_xlfn.IFS($R204&lt;=50,"Good",$R204&lt;=100,"Moderate",$R204&lt;=200,"Poor",$R204&lt;=300,"Very Poor",$R204&lt;=500,"Hazardous")</f>
        <v>Poor</v>
      </c>
      <c r="T204" t="s">
        <v>25</v>
      </c>
      <c r="X204" s="2"/>
      <c r="Y204" s="2"/>
    </row>
    <row r="205" spans="1:25" x14ac:dyDescent="0.3">
      <c r="A205" s="2">
        <v>45332</v>
      </c>
      <c r="B205" t="s">
        <v>23</v>
      </c>
      <c r="C205" s="4">
        <v>163.69999999999999</v>
      </c>
      <c r="D205" s="4">
        <v>182.5</v>
      </c>
      <c r="E205" s="4">
        <v>72.599999999999994</v>
      </c>
      <c r="F205" s="4">
        <v>18.47</v>
      </c>
      <c r="G205" s="4">
        <v>41.2</v>
      </c>
      <c r="H205" s="4">
        <v>2.84</v>
      </c>
      <c r="I205" s="4">
        <v>27</v>
      </c>
      <c r="J205" s="4">
        <v>49</v>
      </c>
      <c r="K205" s="4">
        <v>2.93</v>
      </c>
      <c r="L205" s="4">
        <v>272.83333333333331</v>
      </c>
      <c r="M205" s="4">
        <v>182.5</v>
      </c>
      <c r="N205" s="4">
        <v>90.75</v>
      </c>
      <c r="O205" s="4">
        <v>46.174999999999997</v>
      </c>
      <c r="P205" s="4">
        <v>103</v>
      </c>
      <c r="Q205" s="4">
        <v>142</v>
      </c>
      <c r="R205" s="4">
        <v>273</v>
      </c>
      <c r="S205" s="4" t="str" cm="1">
        <f t="array" ref="S205">_xlfn.IFS($R205&lt;=50,"Good",$R205&lt;=100,"Moderate",$R205&lt;=200,"Poor",$R205&lt;=300,"Very Poor",$R205&lt;=500,"Hazardous")</f>
        <v>Very Poor</v>
      </c>
      <c r="T205" t="s">
        <v>25</v>
      </c>
      <c r="X205" s="2"/>
      <c r="Y205" s="2"/>
    </row>
    <row r="206" spans="1:25" x14ac:dyDescent="0.3">
      <c r="A206" s="2">
        <v>45332</v>
      </c>
      <c r="B206" t="s">
        <v>24</v>
      </c>
      <c r="C206" s="4">
        <v>45.2</v>
      </c>
      <c r="D206" s="4">
        <v>222.7</v>
      </c>
      <c r="E206" s="4">
        <v>78</v>
      </c>
      <c r="F206" s="4">
        <v>12.25</v>
      </c>
      <c r="G206" s="4">
        <v>36.4</v>
      </c>
      <c r="H206" s="4">
        <v>0.12</v>
      </c>
      <c r="I206" s="4">
        <v>21.2</v>
      </c>
      <c r="J206" s="4">
        <v>61.7</v>
      </c>
      <c r="K206" s="4">
        <v>3.19</v>
      </c>
      <c r="L206" s="4">
        <v>75.333333333333329</v>
      </c>
      <c r="M206" s="4">
        <v>222.7</v>
      </c>
      <c r="N206" s="4">
        <v>97.5</v>
      </c>
      <c r="O206" s="4">
        <v>30.625</v>
      </c>
      <c r="P206" s="4">
        <v>91</v>
      </c>
      <c r="Q206" s="4">
        <v>6</v>
      </c>
      <c r="R206" s="4">
        <v>223</v>
      </c>
      <c r="S206" s="4" t="str" cm="1">
        <f t="array" ref="S206">_xlfn.IFS($R206&lt;=50,"Good",$R206&lt;=100,"Moderate",$R206&lt;=200,"Poor",$R206&lt;=300,"Very Poor",$R206&lt;=500,"Hazardous")</f>
        <v>Very Poor</v>
      </c>
      <c r="T206" t="s">
        <v>28</v>
      </c>
      <c r="X206" s="2"/>
      <c r="Y206" s="2"/>
    </row>
    <row r="207" spans="1:25" x14ac:dyDescent="0.3">
      <c r="A207" s="2">
        <v>45333</v>
      </c>
      <c r="B207" t="s">
        <v>20</v>
      </c>
      <c r="C207" s="4">
        <v>53.7</v>
      </c>
      <c r="D207" s="4">
        <v>360.5</v>
      </c>
      <c r="E207" s="4">
        <v>50.9</v>
      </c>
      <c r="F207" s="4">
        <v>23.64</v>
      </c>
      <c r="G207" s="4">
        <v>52.5</v>
      </c>
      <c r="H207" s="4">
        <v>1.49</v>
      </c>
      <c r="I207" s="4">
        <v>37.4</v>
      </c>
      <c r="J207" s="4">
        <v>38.5</v>
      </c>
      <c r="K207" s="4">
        <v>3.6</v>
      </c>
      <c r="L207" s="4">
        <v>89.500000000000014</v>
      </c>
      <c r="M207" s="4">
        <v>360.5</v>
      </c>
      <c r="N207" s="4">
        <v>63.625</v>
      </c>
      <c r="O207" s="4">
        <v>59.1</v>
      </c>
      <c r="P207" s="4">
        <v>131.25</v>
      </c>
      <c r="Q207" s="4">
        <v>74.5</v>
      </c>
      <c r="R207" s="4">
        <v>360</v>
      </c>
      <c r="S207" s="4" t="str" cm="1">
        <f t="array" ref="S207">_xlfn.IFS($R207&lt;=50,"Good",$R207&lt;=100,"Moderate",$R207&lt;=200,"Poor",$R207&lt;=300,"Very Poor",$R207&lt;=500,"Hazardous")</f>
        <v>Hazardous</v>
      </c>
      <c r="T207" t="s">
        <v>28</v>
      </c>
      <c r="X207" s="2"/>
      <c r="Y207" s="2"/>
    </row>
    <row r="208" spans="1:25" x14ac:dyDescent="0.3">
      <c r="A208" s="2">
        <v>45333</v>
      </c>
      <c r="B208" t="s">
        <v>21</v>
      </c>
      <c r="C208" s="4">
        <v>180</v>
      </c>
      <c r="D208" s="4">
        <v>159.5</v>
      </c>
      <c r="E208" s="4">
        <v>145.69999999999999</v>
      </c>
      <c r="F208" s="4">
        <v>13.5</v>
      </c>
      <c r="G208" s="4">
        <v>53.1</v>
      </c>
      <c r="H208" s="4">
        <v>2.71</v>
      </c>
      <c r="I208" s="4">
        <v>24.1</v>
      </c>
      <c r="J208" s="4">
        <v>74.599999999999994</v>
      </c>
      <c r="K208" s="4">
        <v>3.45</v>
      </c>
      <c r="L208" s="4">
        <v>300</v>
      </c>
      <c r="M208" s="4">
        <v>159.5</v>
      </c>
      <c r="N208" s="4">
        <v>182.125</v>
      </c>
      <c r="O208" s="4">
        <v>33.75</v>
      </c>
      <c r="P208" s="4">
        <v>132.75</v>
      </c>
      <c r="Q208" s="4">
        <v>135.5</v>
      </c>
      <c r="R208" s="4">
        <v>300</v>
      </c>
      <c r="S208" s="4" t="str" cm="1">
        <f t="array" ref="S208">_xlfn.IFS($R208&lt;=50,"Good",$R208&lt;=100,"Moderate",$R208&lt;=200,"Poor",$R208&lt;=300,"Very Poor",$R208&lt;=500,"Hazardous")</f>
        <v>Very Poor</v>
      </c>
      <c r="T208" t="s">
        <v>25</v>
      </c>
      <c r="X208" s="2"/>
      <c r="Y208" s="2"/>
    </row>
    <row r="209" spans="1:25" x14ac:dyDescent="0.3">
      <c r="A209" s="2">
        <v>45333</v>
      </c>
      <c r="B209" t="s">
        <v>22</v>
      </c>
      <c r="C209" s="4">
        <v>11.5</v>
      </c>
      <c r="D209" s="4">
        <v>301.39999999999998</v>
      </c>
      <c r="E209" s="4">
        <v>17.899999999999999</v>
      </c>
      <c r="F209" s="4">
        <v>20.010000000000002</v>
      </c>
      <c r="G209" s="4">
        <v>58.3</v>
      </c>
      <c r="H209" s="4">
        <v>0.83</v>
      </c>
      <c r="I209" s="4">
        <v>22.1</v>
      </c>
      <c r="J209" s="4">
        <v>40.1</v>
      </c>
      <c r="K209" s="4">
        <v>2.2400000000000002</v>
      </c>
      <c r="L209" s="4">
        <v>19.166666666666661</v>
      </c>
      <c r="M209" s="4">
        <v>301.39999999999998</v>
      </c>
      <c r="N209" s="4">
        <v>22.375</v>
      </c>
      <c r="O209" s="4">
        <v>50.025000000000013</v>
      </c>
      <c r="P209" s="4">
        <v>145.75</v>
      </c>
      <c r="Q209" s="4">
        <v>41.499999999999993</v>
      </c>
      <c r="R209" s="4">
        <v>301</v>
      </c>
      <c r="S209" s="4" t="str" cm="1">
        <f t="array" ref="S209">_xlfn.IFS($R209&lt;=50,"Good",$R209&lt;=100,"Moderate",$R209&lt;=200,"Poor",$R209&lt;=300,"Very Poor",$R209&lt;=500,"Hazardous")</f>
        <v>Hazardous</v>
      </c>
      <c r="T209" t="s">
        <v>28</v>
      </c>
      <c r="X209" s="2"/>
      <c r="Y209" s="2"/>
    </row>
    <row r="210" spans="1:25" x14ac:dyDescent="0.3">
      <c r="A210" s="2">
        <v>45333</v>
      </c>
      <c r="B210" t="s">
        <v>23</v>
      </c>
      <c r="C210" s="4">
        <v>81.2</v>
      </c>
      <c r="D210" s="4">
        <v>266.8</v>
      </c>
      <c r="E210" s="4">
        <v>113.9</v>
      </c>
      <c r="F210" s="4">
        <v>23.97</v>
      </c>
      <c r="G210" s="4">
        <v>23.4</v>
      </c>
      <c r="H210" s="4">
        <v>1.72</v>
      </c>
      <c r="I210" s="4">
        <v>13.2</v>
      </c>
      <c r="J210" s="4">
        <v>45.5</v>
      </c>
      <c r="K210" s="4">
        <v>3.66</v>
      </c>
      <c r="L210" s="4">
        <v>135.33333333333329</v>
      </c>
      <c r="M210" s="4">
        <v>266.8</v>
      </c>
      <c r="N210" s="4">
        <v>142.375</v>
      </c>
      <c r="O210" s="4">
        <v>59.924999999999997</v>
      </c>
      <c r="P210" s="4">
        <v>58.5</v>
      </c>
      <c r="Q210" s="4">
        <v>86</v>
      </c>
      <c r="R210" s="4">
        <v>267</v>
      </c>
      <c r="S210" s="4" t="str" cm="1">
        <f t="array" ref="S210">_xlfn.IFS($R210&lt;=50,"Good",$R210&lt;=100,"Moderate",$R210&lt;=200,"Poor",$R210&lt;=300,"Very Poor",$R210&lt;=500,"Hazardous")</f>
        <v>Very Poor</v>
      </c>
      <c r="T210" t="s">
        <v>28</v>
      </c>
      <c r="X210" s="2"/>
      <c r="Y210" s="2"/>
    </row>
    <row r="211" spans="1:25" x14ac:dyDescent="0.3">
      <c r="A211" s="2">
        <v>45333</v>
      </c>
      <c r="B211" t="s">
        <v>24</v>
      </c>
      <c r="C211" s="4">
        <v>190.9</v>
      </c>
      <c r="D211" s="4">
        <v>80.900000000000006</v>
      </c>
      <c r="E211" s="4">
        <v>58.3</v>
      </c>
      <c r="F211" s="4">
        <v>13.85</v>
      </c>
      <c r="G211" s="4">
        <v>46.5</v>
      </c>
      <c r="H211" s="4">
        <v>1.26</v>
      </c>
      <c r="I211" s="4">
        <v>28</v>
      </c>
      <c r="J211" s="4">
        <v>51.5</v>
      </c>
      <c r="K211" s="4">
        <v>2.98</v>
      </c>
      <c r="L211" s="4">
        <v>318.16666666666657</v>
      </c>
      <c r="M211" s="4">
        <v>80.900000000000006</v>
      </c>
      <c r="N211" s="4">
        <v>72.875</v>
      </c>
      <c r="O211" s="4">
        <v>34.624999999999993</v>
      </c>
      <c r="P211" s="4">
        <v>116.25</v>
      </c>
      <c r="Q211" s="4">
        <v>63</v>
      </c>
      <c r="R211" s="4">
        <v>318</v>
      </c>
      <c r="S211" s="4" t="str" cm="1">
        <f t="array" ref="S211">_xlfn.IFS($R211&lt;=50,"Good",$R211&lt;=100,"Moderate",$R211&lt;=200,"Poor",$R211&lt;=300,"Very Poor",$R211&lt;=500,"Hazardous")</f>
        <v>Hazardous</v>
      </c>
      <c r="T211" t="s">
        <v>25</v>
      </c>
      <c r="X211" s="2"/>
      <c r="Y211" s="2"/>
    </row>
    <row r="212" spans="1:25" x14ac:dyDescent="0.3">
      <c r="A212" s="2">
        <v>45334</v>
      </c>
      <c r="B212" t="s">
        <v>20</v>
      </c>
      <c r="C212" s="4">
        <v>140.6</v>
      </c>
      <c r="D212" s="4">
        <v>221.5</v>
      </c>
      <c r="E212" s="4">
        <v>66.7</v>
      </c>
      <c r="F212" s="4">
        <v>13.71</v>
      </c>
      <c r="G212" s="4">
        <v>39.1</v>
      </c>
      <c r="H212" s="4">
        <v>1.8</v>
      </c>
      <c r="I212" s="4">
        <v>23.2</v>
      </c>
      <c r="J212" s="4">
        <v>88.8</v>
      </c>
      <c r="K212" s="4">
        <v>3.17</v>
      </c>
      <c r="L212" s="4">
        <v>234.33333333333329</v>
      </c>
      <c r="M212" s="4">
        <v>221.5</v>
      </c>
      <c r="N212" s="4">
        <v>83.375</v>
      </c>
      <c r="O212" s="4">
        <v>34.274999999999999</v>
      </c>
      <c r="P212" s="4">
        <v>97.75</v>
      </c>
      <c r="Q212" s="4">
        <v>90</v>
      </c>
      <c r="R212" s="4">
        <v>234</v>
      </c>
      <c r="S212" s="4" t="str" cm="1">
        <f t="array" ref="S212">_xlfn.IFS($R212&lt;=50,"Good",$R212&lt;=100,"Moderate",$R212&lt;=200,"Poor",$R212&lt;=300,"Very Poor",$R212&lt;=500,"Hazardous")</f>
        <v>Very Poor</v>
      </c>
      <c r="T212" t="s">
        <v>25</v>
      </c>
      <c r="X212" s="2"/>
      <c r="Y212" s="2"/>
    </row>
    <row r="213" spans="1:25" x14ac:dyDescent="0.3">
      <c r="A213" s="2">
        <v>45334</v>
      </c>
      <c r="B213" t="s">
        <v>21</v>
      </c>
      <c r="C213" s="4">
        <v>102.3</v>
      </c>
      <c r="D213" s="4">
        <v>323.60000000000002</v>
      </c>
      <c r="E213" s="4">
        <v>76.599999999999994</v>
      </c>
      <c r="F213" s="4">
        <v>27.73</v>
      </c>
      <c r="G213" s="4">
        <v>55.4</v>
      </c>
      <c r="H213" s="4">
        <v>2.27</v>
      </c>
      <c r="I213" s="4">
        <v>28.1</v>
      </c>
      <c r="J213" s="4">
        <v>31.7</v>
      </c>
      <c r="K213" s="4">
        <v>1.1499999999999999</v>
      </c>
      <c r="L213" s="4">
        <v>170.5</v>
      </c>
      <c r="M213" s="4">
        <v>323.60000000000002</v>
      </c>
      <c r="N213" s="4">
        <v>95.749999999999986</v>
      </c>
      <c r="O213" s="4">
        <v>69.325000000000003</v>
      </c>
      <c r="P213" s="4">
        <v>138.5</v>
      </c>
      <c r="Q213" s="4">
        <v>113.5</v>
      </c>
      <c r="R213" s="4">
        <v>324</v>
      </c>
      <c r="S213" s="4" t="str" cm="1">
        <f t="array" ref="S213">_xlfn.IFS($R213&lt;=50,"Good",$R213&lt;=100,"Moderate",$R213&lt;=200,"Poor",$R213&lt;=300,"Very Poor",$R213&lt;=500,"Hazardous")</f>
        <v>Hazardous</v>
      </c>
      <c r="T213" t="s">
        <v>28</v>
      </c>
      <c r="X213" s="2"/>
      <c r="Y213" s="2"/>
    </row>
    <row r="214" spans="1:25" x14ac:dyDescent="0.3">
      <c r="A214" s="2">
        <v>45334</v>
      </c>
      <c r="B214" t="s">
        <v>22</v>
      </c>
      <c r="C214" s="4">
        <v>36.799999999999997</v>
      </c>
      <c r="D214" s="4">
        <v>195.4</v>
      </c>
      <c r="E214" s="4">
        <v>121.1</v>
      </c>
      <c r="F214" s="4">
        <v>29.12</v>
      </c>
      <c r="G214" s="4">
        <v>47.8</v>
      </c>
      <c r="H214" s="4">
        <v>2.2799999999999998</v>
      </c>
      <c r="I214" s="4">
        <v>12.4</v>
      </c>
      <c r="J214" s="4">
        <v>50.2</v>
      </c>
      <c r="K214" s="4">
        <v>1.55</v>
      </c>
      <c r="L214" s="4">
        <v>61.333333333333329</v>
      </c>
      <c r="M214" s="4">
        <v>195.4</v>
      </c>
      <c r="N214" s="4">
        <v>151.375</v>
      </c>
      <c r="O214" s="4">
        <v>72.8</v>
      </c>
      <c r="P214" s="4">
        <v>119.5</v>
      </c>
      <c r="Q214" s="4">
        <v>114</v>
      </c>
      <c r="R214" s="4">
        <v>195</v>
      </c>
      <c r="S214" s="4" t="str" cm="1">
        <f t="array" ref="S214">_xlfn.IFS($R214&lt;=50,"Good",$R214&lt;=100,"Moderate",$R214&lt;=200,"Poor",$R214&lt;=300,"Very Poor",$R214&lt;=500,"Hazardous")</f>
        <v>Poor</v>
      </c>
      <c r="T214" t="s">
        <v>28</v>
      </c>
      <c r="X214" s="2"/>
      <c r="Y214" s="2"/>
    </row>
    <row r="215" spans="1:25" x14ac:dyDescent="0.3">
      <c r="A215" s="2">
        <v>45334</v>
      </c>
      <c r="B215" t="s">
        <v>23</v>
      </c>
      <c r="C215" s="4">
        <v>66.2</v>
      </c>
      <c r="D215" s="4">
        <v>175.9</v>
      </c>
      <c r="E215" s="4">
        <v>56.9</v>
      </c>
      <c r="F215" s="4">
        <v>0.5</v>
      </c>
      <c r="G215" s="4">
        <v>52.8</v>
      </c>
      <c r="H215" s="4">
        <v>0.89</v>
      </c>
      <c r="I215" s="4">
        <v>26.7</v>
      </c>
      <c r="J215" s="4">
        <v>97.3</v>
      </c>
      <c r="K215" s="4">
        <v>1.4</v>
      </c>
      <c r="L215" s="4">
        <v>110.3333333333333</v>
      </c>
      <c r="M215" s="4">
        <v>175.9</v>
      </c>
      <c r="N215" s="4">
        <v>71.125</v>
      </c>
      <c r="O215" s="4">
        <v>1.25</v>
      </c>
      <c r="P215" s="4">
        <v>132</v>
      </c>
      <c r="Q215" s="4">
        <v>44.5</v>
      </c>
      <c r="R215" s="4">
        <v>176</v>
      </c>
      <c r="S215" s="4" t="str" cm="1">
        <f t="array" ref="S215">_xlfn.IFS($R215&lt;=50,"Good",$R215&lt;=100,"Moderate",$R215&lt;=200,"Poor",$R215&lt;=300,"Very Poor",$R215&lt;=500,"Hazardous")</f>
        <v>Poor</v>
      </c>
      <c r="T215" t="s">
        <v>28</v>
      </c>
      <c r="X215" s="2"/>
      <c r="Y215" s="2"/>
    </row>
    <row r="216" spans="1:25" x14ac:dyDescent="0.3">
      <c r="A216" s="2">
        <v>45334</v>
      </c>
      <c r="B216" t="s">
        <v>24</v>
      </c>
      <c r="C216" s="4">
        <v>2</v>
      </c>
      <c r="D216" s="4">
        <v>181</v>
      </c>
      <c r="E216" s="4">
        <v>118</v>
      </c>
      <c r="F216" s="4">
        <v>31.31</v>
      </c>
      <c r="G216" s="4">
        <v>9.1999999999999993</v>
      </c>
      <c r="H216" s="4">
        <v>2.64</v>
      </c>
      <c r="I216" s="4">
        <v>21.7</v>
      </c>
      <c r="J216" s="4">
        <v>58.1</v>
      </c>
      <c r="K216" s="4">
        <v>6.17</v>
      </c>
      <c r="L216" s="4">
        <v>3.333333333333333</v>
      </c>
      <c r="M216" s="4">
        <v>181</v>
      </c>
      <c r="N216" s="4">
        <v>147.5</v>
      </c>
      <c r="O216" s="4">
        <v>78.274999999999991</v>
      </c>
      <c r="P216" s="4">
        <v>23</v>
      </c>
      <c r="Q216" s="4">
        <v>132</v>
      </c>
      <c r="R216" s="4">
        <v>181</v>
      </c>
      <c r="S216" s="4" t="str" cm="1">
        <f t="array" ref="S216">_xlfn.IFS($R216&lt;=50,"Good",$R216&lt;=100,"Moderate",$R216&lt;=200,"Poor",$R216&lt;=300,"Very Poor",$R216&lt;=500,"Hazardous")</f>
        <v>Poor</v>
      </c>
      <c r="T216" t="s">
        <v>28</v>
      </c>
      <c r="X216" s="2"/>
      <c r="Y216" s="2"/>
    </row>
    <row r="217" spans="1:25" x14ac:dyDescent="0.3">
      <c r="A217" s="2">
        <v>45335</v>
      </c>
      <c r="B217" t="s">
        <v>20</v>
      </c>
      <c r="C217" s="4">
        <v>27.4</v>
      </c>
      <c r="D217" s="4">
        <v>248.8</v>
      </c>
      <c r="E217" s="4">
        <v>100</v>
      </c>
      <c r="F217" s="4">
        <v>24.71</v>
      </c>
      <c r="G217" s="4">
        <v>43.9</v>
      </c>
      <c r="H217" s="4">
        <v>2.5499999999999998</v>
      </c>
      <c r="I217" s="4">
        <v>22.3</v>
      </c>
      <c r="J217" s="4">
        <v>64.8</v>
      </c>
      <c r="K217" s="4">
        <v>2.09</v>
      </c>
      <c r="L217" s="4">
        <v>45.666666666666657</v>
      </c>
      <c r="M217" s="4">
        <v>248.8</v>
      </c>
      <c r="N217" s="4">
        <v>125</v>
      </c>
      <c r="O217" s="4">
        <v>61.775000000000013</v>
      </c>
      <c r="P217" s="4">
        <v>109.75</v>
      </c>
      <c r="Q217" s="4">
        <v>127.5</v>
      </c>
      <c r="R217" s="4">
        <v>249</v>
      </c>
      <c r="S217" s="4" t="str" cm="1">
        <f t="array" ref="S217">_xlfn.IFS($R217&lt;=50,"Good",$R217&lt;=100,"Moderate",$R217&lt;=200,"Poor",$R217&lt;=300,"Very Poor",$R217&lt;=500,"Hazardous")</f>
        <v>Very Poor</v>
      </c>
      <c r="T217" t="s">
        <v>28</v>
      </c>
      <c r="X217" s="2"/>
      <c r="Y217" s="2"/>
    </row>
    <row r="218" spans="1:25" x14ac:dyDescent="0.3">
      <c r="A218" s="2">
        <v>45335</v>
      </c>
      <c r="B218" t="s">
        <v>21</v>
      </c>
      <c r="C218" s="4">
        <v>157.30000000000001</v>
      </c>
      <c r="D218" s="4">
        <v>195.6</v>
      </c>
      <c r="E218" s="4">
        <v>105.1</v>
      </c>
      <c r="F218" s="4">
        <v>15.71</v>
      </c>
      <c r="G218" s="4">
        <v>76.7</v>
      </c>
      <c r="H218" s="4">
        <v>2.34</v>
      </c>
      <c r="I218" s="4">
        <v>12.6</v>
      </c>
      <c r="J218" s="4">
        <v>82.7</v>
      </c>
      <c r="K218" s="4">
        <v>1.41</v>
      </c>
      <c r="L218" s="4">
        <v>262.16666666666669</v>
      </c>
      <c r="M218" s="4">
        <v>195.6</v>
      </c>
      <c r="N218" s="4">
        <v>131.375</v>
      </c>
      <c r="O218" s="4">
        <v>39.275000000000013</v>
      </c>
      <c r="P218" s="4">
        <v>191.75</v>
      </c>
      <c r="Q218" s="4">
        <v>117</v>
      </c>
      <c r="R218" s="4">
        <v>262</v>
      </c>
      <c r="S218" s="4" t="str" cm="1">
        <f t="array" ref="S218">_xlfn.IFS($R218&lt;=50,"Good",$R218&lt;=100,"Moderate",$R218&lt;=200,"Poor",$R218&lt;=300,"Very Poor",$R218&lt;=500,"Hazardous")</f>
        <v>Very Poor</v>
      </c>
      <c r="T218" t="s">
        <v>25</v>
      </c>
      <c r="X218" s="2"/>
      <c r="Y218" s="2"/>
    </row>
    <row r="219" spans="1:25" x14ac:dyDescent="0.3">
      <c r="A219" s="2">
        <v>45335</v>
      </c>
      <c r="B219" t="s">
        <v>22</v>
      </c>
      <c r="C219" s="4">
        <v>61.4</v>
      </c>
      <c r="D219" s="4">
        <v>128.1</v>
      </c>
      <c r="E219" s="4">
        <v>110.2</v>
      </c>
      <c r="F219" s="4">
        <v>0.5</v>
      </c>
      <c r="G219" s="4">
        <v>101.3</v>
      </c>
      <c r="H219" s="4">
        <v>2.79</v>
      </c>
      <c r="I219" s="4">
        <v>26.6</v>
      </c>
      <c r="J219" s="4">
        <v>59</v>
      </c>
      <c r="K219" s="4">
        <v>2.84</v>
      </c>
      <c r="L219" s="4">
        <v>102.3333333333333</v>
      </c>
      <c r="M219" s="4">
        <v>128.1</v>
      </c>
      <c r="N219" s="4">
        <v>137.75</v>
      </c>
      <c r="O219" s="4">
        <v>1.25</v>
      </c>
      <c r="P219" s="4">
        <v>253.25</v>
      </c>
      <c r="Q219" s="4">
        <v>139.5</v>
      </c>
      <c r="R219" s="4">
        <v>253</v>
      </c>
      <c r="S219" s="4" t="str" cm="1">
        <f t="array" ref="S219">_xlfn.IFS($R219&lt;=50,"Good",$R219&lt;=100,"Moderate",$R219&lt;=200,"Poor",$R219&lt;=300,"Very Poor",$R219&lt;=500,"Hazardous")</f>
        <v>Very Poor</v>
      </c>
      <c r="T219" t="s">
        <v>27</v>
      </c>
      <c r="X219" s="2"/>
      <c r="Y219" s="2"/>
    </row>
    <row r="220" spans="1:25" x14ac:dyDescent="0.3">
      <c r="A220" s="2">
        <v>45335</v>
      </c>
      <c r="B220" t="s">
        <v>23</v>
      </c>
      <c r="C220" s="4">
        <v>121</v>
      </c>
      <c r="D220" s="4">
        <v>253.9</v>
      </c>
      <c r="E220" s="4">
        <v>89.8</v>
      </c>
      <c r="F220" s="4">
        <v>13.52</v>
      </c>
      <c r="G220" s="4">
        <v>31.6</v>
      </c>
      <c r="H220" s="4">
        <v>1.77</v>
      </c>
      <c r="I220" s="4">
        <v>23.6</v>
      </c>
      <c r="J220" s="4">
        <v>80.400000000000006</v>
      </c>
      <c r="K220" s="4">
        <v>3.21</v>
      </c>
      <c r="L220" s="4">
        <v>201.66666666666671</v>
      </c>
      <c r="M220" s="4">
        <v>253.9</v>
      </c>
      <c r="N220" s="4">
        <v>112.25</v>
      </c>
      <c r="O220" s="4">
        <v>33.799999999999997</v>
      </c>
      <c r="P220" s="4">
        <v>79</v>
      </c>
      <c r="Q220" s="4">
        <v>88.5</v>
      </c>
      <c r="R220" s="4">
        <v>254</v>
      </c>
      <c r="S220" s="4" t="str" cm="1">
        <f t="array" ref="S220">_xlfn.IFS($R220&lt;=50,"Good",$R220&lt;=100,"Moderate",$R220&lt;=200,"Poor",$R220&lt;=300,"Very Poor",$R220&lt;=500,"Hazardous")</f>
        <v>Very Poor</v>
      </c>
      <c r="T220" t="s">
        <v>28</v>
      </c>
      <c r="X220" s="2"/>
      <c r="Y220" s="2"/>
    </row>
    <row r="221" spans="1:25" x14ac:dyDescent="0.3">
      <c r="A221" s="2">
        <v>45335</v>
      </c>
      <c r="B221" t="s">
        <v>24</v>
      </c>
      <c r="C221" s="4">
        <v>2</v>
      </c>
      <c r="D221" s="4">
        <v>280.5</v>
      </c>
      <c r="E221" s="4">
        <v>86.1</v>
      </c>
      <c r="F221" s="4">
        <v>13.92</v>
      </c>
      <c r="G221" s="4">
        <v>30</v>
      </c>
      <c r="H221" s="4">
        <v>3.3</v>
      </c>
      <c r="I221" s="4">
        <v>31.6</v>
      </c>
      <c r="J221" s="4">
        <v>46.1</v>
      </c>
      <c r="K221" s="4">
        <v>3.49</v>
      </c>
      <c r="L221" s="4">
        <v>3.333333333333333</v>
      </c>
      <c r="M221" s="4">
        <v>280.5</v>
      </c>
      <c r="N221" s="4">
        <v>107.625</v>
      </c>
      <c r="O221" s="4">
        <v>34.799999999999997</v>
      </c>
      <c r="P221" s="4">
        <v>75</v>
      </c>
      <c r="Q221" s="4">
        <v>165</v>
      </c>
      <c r="R221" s="4">
        <v>280</v>
      </c>
      <c r="S221" s="4" t="str" cm="1">
        <f t="array" ref="S221">_xlfn.IFS($R221&lt;=50,"Good",$R221&lt;=100,"Moderate",$R221&lt;=200,"Poor",$R221&lt;=300,"Very Poor",$R221&lt;=500,"Hazardous")</f>
        <v>Very Poor</v>
      </c>
      <c r="T221" t="s">
        <v>28</v>
      </c>
      <c r="X221" s="2"/>
      <c r="Y221" s="2"/>
    </row>
    <row r="222" spans="1:25" x14ac:dyDescent="0.3">
      <c r="A222" s="2">
        <v>45336</v>
      </c>
      <c r="B222" t="s">
        <v>20</v>
      </c>
      <c r="C222" s="4">
        <v>56.8</v>
      </c>
      <c r="D222" s="4">
        <v>68.5</v>
      </c>
      <c r="E222" s="4">
        <v>59.7</v>
      </c>
      <c r="F222" s="4">
        <v>22.65</v>
      </c>
      <c r="G222" s="4">
        <v>66.099999999999994</v>
      </c>
      <c r="H222" s="4">
        <v>2.77</v>
      </c>
      <c r="I222" s="4">
        <v>30.1</v>
      </c>
      <c r="J222" s="4">
        <v>69.3</v>
      </c>
      <c r="K222" s="4">
        <v>1.73</v>
      </c>
      <c r="L222" s="4">
        <v>94.666666666666657</v>
      </c>
      <c r="M222" s="4">
        <v>68.5</v>
      </c>
      <c r="N222" s="4">
        <v>74.625</v>
      </c>
      <c r="O222" s="4">
        <v>56.624999999999993</v>
      </c>
      <c r="P222" s="4">
        <v>165.25</v>
      </c>
      <c r="Q222" s="4">
        <v>138.5</v>
      </c>
      <c r="R222" s="4">
        <v>165</v>
      </c>
      <c r="S222" s="4" t="str" cm="1">
        <f t="array" ref="S222">_xlfn.IFS($R222&lt;=50,"Good",$R222&lt;=100,"Moderate",$R222&lt;=200,"Poor",$R222&lt;=300,"Very Poor",$R222&lt;=500,"Hazardous")</f>
        <v>Poor</v>
      </c>
      <c r="T222" t="s">
        <v>27</v>
      </c>
      <c r="X222" s="2"/>
      <c r="Y222" s="2"/>
    </row>
    <row r="223" spans="1:25" x14ac:dyDescent="0.3">
      <c r="A223" s="2">
        <v>45336</v>
      </c>
      <c r="B223" t="s">
        <v>21</v>
      </c>
      <c r="C223" s="4">
        <v>145.9</v>
      </c>
      <c r="D223" s="4">
        <v>336</v>
      </c>
      <c r="E223" s="4">
        <v>120.2</v>
      </c>
      <c r="F223" s="4">
        <v>27.89</v>
      </c>
      <c r="G223" s="4">
        <v>64.900000000000006</v>
      </c>
      <c r="H223" s="4">
        <v>2.82</v>
      </c>
      <c r="I223" s="4">
        <v>32.5</v>
      </c>
      <c r="J223" s="4">
        <v>59.5</v>
      </c>
      <c r="K223" s="4">
        <v>1.44</v>
      </c>
      <c r="L223" s="4">
        <v>243.16666666666671</v>
      </c>
      <c r="M223" s="4">
        <v>336</v>
      </c>
      <c r="N223" s="4">
        <v>150.25</v>
      </c>
      <c r="O223" s="4">
        <v>69.724999999999994</v>
      </c>
      <c r="P223" s="4">
        <v>162.25</v>
      </c>
      <c r="Q223" s="4">
        <v>141</v>
      </c>
      <c r="R223" s="4">
        <v>336</v>
      </c>
      <c r="S223" s="4" t="str" cm="1">
        <f t="array" ref="S223">_xlfn.IFS($R223&lt;=50,"Good",$R223&lt;=100,"Moderate",$R223&lt;=200,"Poor",$R223&lt;=300,"Very Poor",$R223&lt;=500,"Hazardous")</f>
        <v>Hazardous</v>
      </c>
      <c r="T223" t="s">
        <v>28</v>
      </c>
      <c r="X223" s="2"/>
      <c r="Y223" s="2"/>
    </row>
    <row r="224" spans="1:25" x14ac:dyDescent="0.3">
      <c r="A224" s="2">
        <v>45336</v>
      </c>
      <c r="B224" t="s">
        <v>22</v>
      </c>
      <c r="C224" s="4">
        <v>83.8</v>
      </c>
      <c r="D224" s="4">
        <v>114.5</v>
      </c>
      <c r="E224" s="4">
        <v>47.9</v>
      </c>
      <c r="F224" s="4">
        <v>11.06</v>
      </c>
      <c r="G224" s="4">
        <v>17.3</v>
      </c>
      <c r="H224" s="4">
        <v>1.54</v>
      </c>
      <c r="I224" s="4">
        <v>11.7</v>
      </c>
      <c r="J224" s="4">
        <v>63.8</v>
      </c>
      <c r="K224" s="4">
        <v>2.5</v>
      </c>
      <c r="L224" s="4">
        <v>139.66666666666671</v>
      </c>
      <c r="M224" s="4">
        <v>114.5</v>
      </c>
      <c r="N224" s="4">
        <v>59.875</v>
      </c>
      <c r="O224" s="4">
        <v>27.65</v>
      </c>
      <c r="P224" s="4">
        <v>43.250000000000007</v>
      </c>
      <c r="Q224" s="4">
        <v>77</v>
      </c>
      <c r="R224" s="4">
        <v>140</v>
      </c>
      <c r="S224" s="4" t="str" cm="1">
        <f t="array" ref="S224">_xlfn.IFS($R224&lt;=50,"Good",$R224&lt;=100,"Moderate",$R224&lt;=200,"Poor",$R224&lt;=300,"Very Poor",$R224&lt;=500,"Hazardous")</f>
        <v>Poor</v>
      </c>
      <c r="T224" t="s">
        <v>25</v>
      </c>
      <c r="X224" s="2"/>
      <c r="Y224" s="2"/>
    </row>
    <row r="225" spans="1:25" x14ac:dyDescent="0.3">
      <c r="A225" s="2">
        <v>45336</v>
      </c>
      <c r="B225" t="s">
        <v>23</v>
      </c>
      <c r="C225" s="4">
        <v>56.8</v>
      </c>
      <c r="D225" s="4">
        <v>255.3</v>
      </c>
      <c r="E225" s="4">
        <v>102</v>
      </c>
      <c r="F225" s="4">
        <v>0.5</v>
      </c>
      <c r="G225" s="4">
        <v>18.8</v>
      </c>
      <c r="H225" s="4">
        <v>1.18</v>
      </c>
      <c r="I225" s="4">
        <v>18.399999999999999</v>
      </c>
      <c r="J225" s="4">
        <v>74.900000000000006</v>
      </c>
      <c r="K225" s="4">
        <v>2.27</v>
      </c>
      <c r="L225" s="4">
        <v>94.666666666666657</v>
      </c>
      <c r="M225" s="4">
        <v>255.3</v>
      </c>
      <c r="N225" s="4">
        <v>127.5</v>
      </c>
      <c r="O225" s="4">
        <v>1.25</v>
      </c>
      <c r="P225" s="4">
        <v>47</v>
      </c>
      <c r="Q225" s="4">
        <v>59</v>
      </c>
      <c r="R225" s="4">
        <v>255</v>
      </c>
      <c r="S225" s="4" t="str" cm="1">
        <f t="array" ref="S225">_xlfn.IFS($R225&lt;=50,"Good",$R225&lt;=100,"Moderate",$R225&lt;=200,"Poor",$R225&lt;=300,"Very Poor",$R225&lt;=500,"Hazardous")</f>
        <v>Very Poor</v>
      </c>
      <c r="T225" t="s">
        <v>28</v>
      </c>
      <c r="X225" s="2"/>
      <c r="Y225" s="2"/>
    </row>
    <row r="226" spans="1:25" x14ac:dyDescent="0.3">
      <c r="A226" s="2">
        <v>45336</v>
      </c>
      <c r="B226" t="s">
        <v>24</v>
      </c>
      <c r="C226" s="4">
        <v>91.6</v>
      </c>
      <c r="D226" s="4">
        <v>5</v>
      </c>
      <c r="E226" s="4">
        <v>101.6</v>
      </c>
      <c r="F226" s="4">
        <v>3.17</v>
      </c>
      <c r="G226" s="4">
        <v>41.1</v>
      </c>
      <c r="H226" s="4">
        <v>2.4</v>
      </c>
      <c r="I226" s="4">
        <v>34.5</v>
      </c>
      <c r="J226" s="4">
        <v>36.4</v>
      </c>
      <c r="K226" s="4">
        <v>0.2</v>
      </c>
      <c r="L226" s="4">
        <v>152.66666666666671</v>
      </c>
      <c r="M226" s="4">
        <v>5</v>
      </c>
      <c r="N226" s="4">
        <v>127</v>
      </c>
      <c r="O226" s="4">
        <v>7.9249999999999998</v>
      </c>
      <c r="P226" s="4">
        <v>102.75</v>
      </c>
      <c r="Q226" s="4">
        <v>120</v>
      </c>
      <c r="R226" s="4">
        <v>153</v>
      </c>
      <c r="S226" s="4" t="str" cm="1">
        <f t="array" ref="S226">_xlfn.IFS($R226&lt;=50,"Good",$R226&lt;=100,"Moderate",$R226&lt;=200,"Poor",$R226&lt;=300,"Very Poor",$R226&lt;=500,"Hazardous")</f>
        <v>Poor</v>
      </c>
      <c r="T226" t="s">
        <v>25</v>
      </c>
      <c r="X226" s="2"/>
      <c r="Y226" s="2"/>
    </row>
    <row r="227" spans="1:25" x14ac:dyDescent="0.3">
      <c r="A227" s="2">
        <v>45337</v>
      </c>
      <c r="B227" t="s">
        <v>20</v>
      </c>
      <c r="C227" s="4">
        <v>120.5</v>
      </c>
      <c r="D227" s="4">
        <v>419.6</v>
      </c>
      <c r="E227" s="4">
        <v>128.4</v>
      </c>
      <c r="F227" s="4">
        <v>16.649999999999999</v>
      </c>
      <c r="G227" s="4">
        <v>28.7</v>
      </c>
      <c r="H227" s="4">
        <v>3.1</v>
      </c>
      <c r="I227" s="4">
        <v>18.2</v>
      </c>
      <c r="J227" s="4">
        <v>68.599999999999994</v>
      </c>
      <c r="K227" s="4">
        <v>3.11</v>
      </c>
      <c r="L227" s="4">
        <v>200.83333333333329</v>
      </c>
      <c r="M227" s="4">
        <v>419.6</v>
      </c>
      <c r="N227" s="4">
        <v>160.5</v>
      </c>
      <c r="O227" s="4">
        <v>41.624999999999993</v>
      </c>
      <c r="P227" s="4">
        <v>71.75</v>
      </c>
      <c r="Q227" s="4">
        <v>155</v>
      </c>
      <c r="R227" s="4">
        <v>420</v>
      </c>
      <c r="S227" s="4" t="str" cm="1">
        <f t="array" ref="S227">_xlfn.IFS($R227&lt;=50,"Good",$R227&lt;=100,"Moderate",$R227&lt;=200,"Poor",$R227&lt;=300,"Very Poor",$R227&lt;=500,"Hazardous")</f>
        <v>Hazardous</v>
      </c>
      <c r="T227" t="s">
        <v>28</v>
      </c>
      <c r="X227" s="2"/>
      <c r="Y227" s="2"/>
    </row>
    <row r="228" spans="1:25" x14ac:dyDescent="0.3">
      <c r="A228" s="2">
        <v>45337</v>
      </c>
      <c r="B228" t="s">
        <v>21</v>
      </c>
      <c r="C228" s="4">
        <v>183.6</v>
      </c>
      <c r="D228" s="4">
        <v>571.20000000000005</v>
      </c>
      <c r="E228" s="4">
        <v>105.7</v>
      </c>
      <c r="F228" s="4">
        <v>10.91</v>
      </c>
      <c r="G228" s="4">
        <v>44.3</v>
      </c>
      <c r="H228" s="4">
        <v>0.28000000000000003</v>
      </c>
      <c r="I228" s="4">
        <v>20.100000000000001</v>
      </c>
      <c r="J228" s="4">
        <v>52.6</v>
      </c>
      <c r="K228" s="4">
        <v>1.87</v>
      </c>
      <c r="L228" s="4">
        <v>306</v>
      </c>
      <c r="M228" s="4">
        <v>500</v>
      </c>
      <c r="N228" s="4">
        <v>132.125</v>
      </c>
      <c r="O228" s="4">
        <v>27.274999999999999</v>
      </c>
      <c r="P228" s="4">
        <v>110.75</v>
      </c>
      <c r="Q228" s="4">
        <v>14</v>
      </c>
      <c r="R228" s="4">
        <v>500</v>
      </c>
      <c r="S228" s="4" t="str" cm="1">
        <f t="array" ref="S228">_xlfn.IFS($R228&lt;=50,"Good",$R228&lt;=100,"Moderate",$R228&lt;=200,"Poor",$R228&lt;=300,"Very Poor",$R228&lt;=500,"Hazardous")</f>
        <v>Hazardous</v>
      </c>
      <c r="T228" t="s">
        <v>28</v>
      </c>
      <c r="X228" s="2"/>
      <c r="Y228" s="2"/>
    </row>
    <row r="229" spans="1:25" x14ac:dyDescent="0.3">
      <c r="A229" s="2">
        <v>45337</v>
      </c>
      <c r="B229" t="s">
        <v>22</v>
      </c>
      <c r="C229" s="4">
        <v>98.1</v>
      </c>
      <c r="D229" s="4">
        <v>107.4</v>
      </c>
      <c r="E229" s="4">
        <v>102.5</v>
      </c>
      <c r="F229" s="4">
        <v>12.16</v>
      </c>
      <c r="G229" s="4">
        <v>34</v>
      </c>
      <c r="H229" s="4">
        <v>1.52</v>
      </c>
      <c r="I229" s="4">
        <v>26.1</v>
      </c>
      <c r="J229" s="4">
        <v>74.900000000000006</v>
      </c>
      <c r="K229" s="4">
        <v>1.46</v>
      </c>
      <c r="L229" s="4">
        <v>163.5</v>
      </c>
      <c r="M229" s="4">
        <v>107.4</v>
      </c>
      <c r="N229" s="4">
        <v>128.125</v>
      </c>
      <c r="O229" s="4">
        <v>30.4</v>
      </c>
      <c r="P229" s="4">
        <v>85</v>
      </c>
      <c r="Q229" s="4">
        <v>76</v>
      </c>
      <c r="R229" s="4">
        <v>163</v>
      </c>
      <c r="S229" s="4" t="str" cm="1">
        <f t="array" ref="S229">_xlfn.IFS($R229&lt;=50,"Good",$R229&lt;=100,"Moderate",$R229&lt;=200,"Poor",$R229&lt;=300,"Very Poor",$R229&lt;=500,"Hazardous")</f>
        <v>Poor</v>
      </c>
      <c r="T229" t="s">
        <v>25</v>
      </c>
      <c r="X229" s="2"/>
      <c r="Y229" s="2"/>
    </row>
    <row r="230" spans="1:25" x14ac:dyDescent="0.3">
      <c r="A230" s="2">
        <v>45337</v>
      </c>
      <c r="B230" t="s">
        <v>23</v>
      </c>
      <c r="C230" s="4">
        <v>64.400000000000006</v>
      </c>
      <c r="D230" s="4">
        <v>162.80000000000001</v>
      </c>
      <c r="E230" s="4">
        <v>28.9</v>
      </c>
      <c r="F230" s="4">
        <v>6.25</v>
      </c>
      <c r="G230" s="4">
        <v>25.3</v>
      </c>
      <c r="H230" s="4">
        <v>2.76</v>
      </c>
      <c r="I230" s="4">
        <v>26.8</v>
      </c>
      <c r="J230" s="4">
        <v>63.5</v>
      </c>
      <c r="K230" s="4">
        <v>3.52</v>
      </c>
      <c r="L230" s="4">
        <v>107.3333333333333</v>
      </c>
      <c r="M230" s="4">
        <v>162.80000000000001</v>
      </c>
      <c r="N230" s="4">
        <v>36.125</v>
      </c>
      <c r="O230" s="4">
        <v>15.625</v>
      </c>
      <c r="P230" s="4">
        <v>63.25</v>
      </c>
      <c r="Q230" s="4">
        <v>138</v>
      </c>
      <c r="R230" s="4">
        <v>163</v>
      </c>
      <c r="S230" s="4" t="str" cm="1">
        <f t="array" ref="S230">_xlfn.IFS($R230&lt;=50,"Good",$R230&lt;=100,"Moderate",$R230&lt;=200,"Poor",$R230&lt;=300,"Very Poor",$R230&lt;=500,"Hazardous")</f>
        <v>Poor</v>
      </c>
      <c r="T230" t="s">
        <v>28</v>
      </c>
      <c r="X230" s="2"/>
      <c r="Y230" s="2"/>
    </row>
    <row r="231" spans="1:25" x14ac:dyDescent="0.3">
      <c r="A231" s="2">
        <v>45337</v>
      </c>
      <c r="B231" t="s">
        <v>24</v>
      </c>
      <c r="C231" s="4">
        <v>98.3</v>
      </c>
      <c r="D231" s="4">
        <v>252.4</v>
      </c>
      <c r="E231" s="4">
        <v>75.599999999999994</v>
      </c>
      <c r="F231" s="4">
        <v>16.420000000000002</v>
      </c>
      <c r="G231" s="4">
        <v>25.2</v>
      </c>
      <c r="H231" s="4">
        <v>0.05</v>
      </c>
      <c r="I231" s="4">
        <v>24.1</v>
      </c>
      <c r="J231" s="4">
        <v>85.6</v>
      </c>
      <c r="K231" s="4">
        <v>4.1100000000000003</v>
      </c>
      <c r="L231" s="4">
        <v>163.83333333333329</v>
      </c>
      <c r="M231" s="4">
        <v>252.4</v>
      </c>
      <c r="N231" s="4">
        <v>94.499999999999986</v>
      </c>
      <c r="O231" s="4">
        <v>41.05</v>
      </c>
      <c r="P231" s="4">
        <v>63</v>
      </c>
      <c r="Q231" s="4">
        <v>2.5</v>
      </c>
      <c r="R231" s="4">
        <v>252</v>
      </c>
      <c r="S231" s="4" t="str" cm="1">
        <f t="array" ref="S231">_xlfn.IFS($R231&lt;=50,"Good",$R231&lt;=100,"Moderate",$R231&lt;=200,"Poor",$R231&lt;=300,"Very Poor",$R231&lt;=500,"Hazardous")</f>
        <v>Very Poor</v>
      </c>
      <c r="T231" t="s">
        <v>28</v>
      </c>
      <c r="X231" s="2"/>
      <c r="Y231" s="2"/>
    </row>
    <row r="232" spans="1:25" x14ac:dyDescent="0.3">
      <c r="A232" s="2">
        <v>45338</v>
      </c>
      <c r="B232" t="s">
        <v>20</v>
      </c>
      <c r="C232" s="4">
        <v>163.69999999999999</v>
      </c>
      <c r="D232" s="4">
        <v>357.3</v>
      </c>
      <c r="E232" s="4">
        <v>86.1</v>
      </c>
      <c r="F232" s="4">
        <v>16.54</v>
      </c>
      <c r="G232" s="4">
        <v>25.4</v>
      </c>
      <c r="H232" s="4">
        <v>1.86</v>
      </c>
      <c r="I232" s="4">
        <v>29.3</v>
      </c>
      <c r="J232" s="4">
        <v>81.7</v>
      </c>
      <c r="K232" s="4">
        <v>2.33</v>
      </c>
      <c r="L232" s="4">
        <v>272.83333333333331</v>
      </c>
      <c r="M232" s="4">
        <v>357.3</v>
      </c>
      <c r="N232" s="4">
        <v>107.625</v>
      </c>
      <c r="O232" s="4">
        <v>41.349999999999987</v>
      </c>
      <c r="P232" s="4">
        <v>63.5</v>
      </c>
      <c r="Q232" s="4">
        <v>93</v>
      </c>
      <c r="R232" s="4">
        <v>357</v>
      </c>
      <c r="S232" s="4" t="str" cm="1">
        <f t="array" ref="S232">_xlfn.IFS($R232&lt;=50,"Good",$R232&lt;=100,"Moderate",$R232&lt;=200,"Poor",$R232&lt;=300,"Very Poor",$R232&lt;=500,"Hazardous")</f>
        <v>Hazardous</v>
      </c>
      <c r="T232" t="s">
        <v>28</v>
      </c>
      <c r="X232" s="2"/>
      <c r="Y232" s="2"/>
    </row>
    <row r="233" spans="1:25" x14ac:dyDescent="0.3">
      <c r="A233" s="2">
        <v>45338</v>
      </c>
      <c r="B233" t="s">
        <v>21</v>
      </c>
      <c r="C233" s="4">
        <v>93</v>
      </c>
      <c r="D233" s="4">
        <v>240.1</v>
      </c>
      <c r="E233" s="4">
        <v>114</v>
      </c>
      <c r="F233" s="4">
        <v>1.56</v>
      </c>
      <c r="G233" s="4">
        <v>1</v>
      </c>
      <c r="H233" s="4">
        <v>1.74</v>
      </c>
      <c r="I233" s="4">
        <v>16.5</v>
      </c>
      <c r="J233" s="4">
        <v>50.9</v>
      </c>
      <c r="K233" s="4">
        <v>2.3199999999999998</v>
      </c>
      <c r="L233" s="4">
        <v>155</v>
      </c>
      <c r="M233" s="4">
        <v>240.1</v>
      </c>
      <c r="N233" s="4">
        <v>142.5</v>
      </c>
      <c r="O233" s="4">
        <v>3.9</v>
      </c>
      <c r="P233" s="4">
        <v>2.5</v>
      </c>
      <c r="Q233" s="4">
        <v>87</v>
      </c>
      <c r="R233" s="4">
        <v>240</v>
      </c>
      <c r="S233" s="4" t="str" cm="1">
        <f t="array" ref="S233">_xlfn.IFS($R233&lt;=50,"Good",$R233&lt;=100,"Moderate",$R233&lt;=200,"Poor",$R233&lt;=300,"Very Poor",$R233&lt;=500,"Hazardous")</f>
        <v>Very Poor</v>
      </c>
      <c r="T233" t="s">
        <v>28</v>
      </c>
      <c r="X233" s="2"/>
      <c r="Y233" s="2"/>
    </row>
    <row r="234" spans="1:25" x14ac:dyDescent="0.3">
      <c r="A234" s="2">
        <v>45338</v>
      </c>
      <c r="B234" t="s">
        <v>22</v>
      </c>
      <c r="C234" s="4">
        <v>70.5</v>
      </c>
      <c r="D234" s="4">
        <v>314.89999999999998</v>
      </c>
      <c r="E234" s="4">
        <v>78.3</v>
      </c>
      <c r="F234" s="4">
        <v>14.44</v>
      </c>
      <c r="G234" s="4">
        <v>47.5</v>
      </c>
      <c r="H234" s="4">
        <v>0.79</v>
      </c>
      <c r="I234" s="4">
        <v>32.299999999999997</v>
      </c>
      <c r="J234" s="4">
        <v>58.6</v>
      </c>
      <c r="K234" s="4">
        <v>3.3</v>
      </c>
      <c r="L234" s="4">
        <v>117.5</v>
      </c>
      <c r="M234" s="4">
        <v>314.89999999999998</v>
      </c>
      <c r="N234" s="4">
        <v>97.874999999999986</v>
      </c>
      <c r="O234" s="4">
        <v>36.1</v>
      </c>
      <c r="P234" s="4">
        <v>118.75</v>
      </c>
      <c r="Q234" s="4">
        <v>39.5</v>
      </c>
      <c r="R234" s="4">
        <v>315</v>
      </c>
      <c r="S234" s="4" t="str" cm="1">
        <f t="array" ref="S234">_xlfn.IFS($R234&lt;=50,"Good",$R234&lt;=100,"Moderate",$R234&lt;=200,"Poor",$R234&lt;=300,"Very Poor",$R234&lt;=500,"Hazardous")</f>
        <v>Hazardous</v>
      </c>
      <c r="T234" t="s">
        <v>28</v>
      </c>
      <c r="X234" s="2"/>
      <c r="Y234" s="2"/>
    </row>
    <row r="235" spans="1:25" x14ac:dyDescent="0.3">
      <c r="A235" s="2">
        <v>45338</v>
      </c>
      <c r="B235" t="s">
        <v>23</v>
      </c>
      <c r="C235" s="4">
        <v>44.6</v>
      </c>
      <c r="D235" s="4">
        <v>42.8</v>
      </c>
      <c r="E235" s="4">
        <v>98.2</v>
      </c>
      <c r="F235" s="4">
        <v>15.81</v>
      </c>
      <c r="G235" s="4">
        <v>15.7</v>
      </c>
      <c r="H235" s="4">
        <v>1.0900000000000001</v>
      </c>
      <c r="I235" s="4">
        <v>32.9</v>
      </c>
      <c r="J235" s="4">
        <v>38.6</v>
      </c>
      <c r="K235" s="4">
        <v>4.47</v>
      </c>
      <c r="L235" s="4">
        <v>74.333333333333329</v>
      </c>
      <c r="M235" s="4">
        <v>42.8</v>
      </c>
      <c r="N235" s="4">
        <v>122.75</v>
      </c>
      <c r="O235" s="4">
        <v>39.525000000000013</v>
      </c>
      <c r="P235" s="4">
        <v>39.25</v>
      </c>
      <c r="Q235" s="4">
        <v>54.500000000000007</v>
      </c>
      <c r="R235" s="4">
        <v>123</v>
      </c>
      <c r="S235" s="4" t="str" cm="1">
        <f t="array" ref="S235">_xlfn.IFS($R235&lt;=50,"Good",$R235&lt;=100,"Moderate",$R235&lt;=200,"Poor",$R235&lt;=300,"Very Poor",$R235&lt;=500,"Hazardous")</f>
        <v>Poor</v>
      </c>
      <c r="T235" t="s">
        <v>26</v>
      </c>
      <c r="X235" s="2"/>
      <c r="Y235" s="2"/>
    </row>
    <row r="236" spans="1:25" x14ac:dyDescent="0.3">
      <c r="A236" s="2">
        <v>45338</v>
      </c>
      <c r="B236" t="s">
        <v>24</v>
      </c>
      <c r="C236" s="4">
        <v>58</v>
      </c>
      <c r="D236" s="4">
        <v>278.60000000000002</v>
      </c>
      <c r="E236" s="4">
        <v>67.599999999999994</v>
      </c>
      <c r="F236" s="4">
        <v>19.39</v>
      </c>
      <c r="G236" s="4">
        <v>26.1</v>
      </c>
      <c r="H236" s="4">
        <v>1.94</v>
      </c>
      <c r="I236" s="4">
        <v>25.3</v>
      </c>
      <c r="J236" s="4">
        <v>42</v>
      </c>
      <c r="K236" s="4">
        <v>3.89</v>
      </c>
      <c r="L236" s="4">
        <v>96.666666666666671</v>
      </c>
      <c r="M236" s="4">
        <v>278.60000000000002</v>
      </c>
      <c r="N236" s="4">
        <v>84.499999999999986</v>
      </c>
      <c r="O236" s="4">
        <v>48.475000000000001</v>
      </c>
      <c r="P236" s="4">
        <v>65.25</v>
      </c>
      <c r="Q236" s="4">
        <v>97</v>
      </c>
      <c r="R236" s="4">
        <v>279</v>
      </c>
      <c r="S236" s="4" t="str" cm="1">
        <f t="array" ref="S236">_xlfn.IFS($R236&lt;=50,"Good",$R236&lt;=100,"Moderate",$R236&lt;=200,"Poor",$R236&lt;=300,"Very Poor",$R236&lt;=500,"Hazardous")</f>
        <v>Very Poor</v>
      </c>
      <c r="T236" t="s">
        <v>28</v>
      </c>
      <c r="X236" s="2"/>
      <c r="Y236" s="2"/>
    </row>
    <row r="237" spans="1:25" x14ac:dyDescent="0.3">
      <c r="A237" s="2">
        <v>45339</v>
      </c>
      <c r="B237" t="s">
        <v>20</v>
      </c>
      <c r="C237" s="4">
        <v>82.1</v>
      </c>
      <c r="D237" s="4">
        <v>195.6</v>
      </c>
      <c r="E237" s="4">
        <v>46.2</v>
      </c>
      <c r="F237" s="4">
        <v>0.5</v>
      </c>
      <c r="G237" s="4">
        <v>36.5</v>
      </c>
      <c r="H237" s="4">
        <v>4.87</v>
      </c>
      <c r="I237" s="4">
        <v>30.5</v>
      </c>
      <c r="J237" s="4">
        <v>59.7</v>
      </c>
      <c r="K237" s="4">
        <v>2.1800000000000002</v>
      </c>
      <c r="L237" s="4">
        <v>136.83333333333329</v>
      </c>
      <c r="M237" s="4">
        <v>195.6</v>
      </c>
      <c r="N237" s="4">
        <v>57.75</v>
      </c>
      <c r="O237" s="4">
        <v>1.25</v>
      </c>
      <c r="P237" s="4">
        <v>91.25</v>
      </c>
      <c r="Q237" s="4">
        <v>243.5</v>
      </c>
      <c r="R237" s="4">
        <v>244</v>
      </c>
      <c r="S237" s="4" t="str" cm="1">
        <f t="array" ref="S237">_xlfn.IFS($R237&lt;=50,"Good",$R237&lt;=100,"Moderate",$R237&lt;=200,"Poor",$R237&lt;=300,"Very Poor",$R237&lt;=500,"Hazardous")</f>
        <v>Very Poor</v>
      </c>
      <c r="T237" t="s">
        <v>29</v>
      </c>
      <c r="X237" s="2"/>
      <c r="Y237" s="2"/>
    </row>
    <row r="238" spans="1:25" x14ac:dyDescent="0.3">
      <c r="A238" s="2">
        <v>45339</v>
      </c>
      <c r="B238" t="s">
        <v>21</v>
      </c>
      <c r="C238" s="4">
        <v>121.3</v>
      </c>
      <c r="D238" s="4">
        <v>305.7</v>
      </c>
      <c r="E238" s="4">
        <v>42.8</v>
      </c>
      <c r="F238" s="4">
        <v>27.14</v>
      </c>
      <c r="G238" s="4">
        <v>65.099999999999994</v>
      </c>
      <c r="H238" s="4">
        <v>3.26</v>
      </c>
      <c r="I238" s="4">
        <v>28.1</v>
      </c>
      <c r="J238" s="4">
        <v>60.4</v>
      </c>
      <c r="K238" s="4">
        <v>3.31</v>
      </c>
      <c r="L238" s="4">
        <v>202.16666666666671</v>
      </c>
      <c r="M238" s="4">
        <v>305.7</v>
      </c>
      <c r="N238" s="4">
        <v>53.5</v>
      </c>
      <c r="O238" s="4">
        <v>67.850000000000009</v>
      </c>
      <c r="P238" s="4">
        <v>162.75</v>
      </c>
      <c r="Q238" s="4">
        <v>163</v>
      </c>
      <c r="R238" s="4">
        <v>306</v>
      </c>
      <c r="S238" s="4" t="str" cm="1">
        <f t="array" ref="S238">_xlfn.IFS($R238&lt;=50,"Good",$R238&lt;=100,"Moderate",$R238&lt;=200,"Poor",$R238&lt;=300,"Very Poor",$R238&lt;=500,"Hazardous")</f>
        <v>Hazardous</v>
      </c>
      <c r="T238" t="s">
        <v>28</v>
      </c>
      <c r="X238" s="2"/>
      <c r="Y238" s="2"/>
    </row>
    <row r="239" spans="1:25" x14ac:dyDescent="0.3">
      <c r="A239" s="2">
        <v>45339</v>
      </c>
      <c r="B239" t="s">
        <v>22</v>
      </c>
      <c r="C239" s="4">
        <v>118.2</v>
      </c>
      <c r="D239" s="4">
        <v>150.1</v>
      </c>
      <c r="E239" s="4">
        <v>51</v>
      </c>
      <c r="F239" s="4">
        <v>12.93</v>
      </c>
      <c r="G239" s="4">
        <v>67.3</v>
      </c>
      <c r="H239" s="4">
        <v>0.69</v>
      </c>
      <c r="I239" s="4">
        <v>14.7</v>
      </c>
      <c r="J239" s="4">
        <v>63</v>
      </c>
      <c r="K239" s="4">
        <v>2.56</v>
      </c>
      <c r="L239" s="4">
        <v>197</v>
      </c>
      <c r="M239" s="4">
        <v>150.1</v>
      </c>
      <c r="N239" s="4">
        <v>63.75</v>
      </c>
      <c r="O239" s="4">
        <v>32.325000000000003</v>
      </c>
      <c r="P239" s="4">
        <v>168.25</v>
      </c>
      <c r="Q239" s="4">
        <v>34.499999999999993</v>
      </c>
      <c r="R239" s="4">
        <v>197</v>
      </c>
      <c r="S239" s="4" t="str" cm="1">
        <f t="array" ref="S239">_xlfn.IFS($R239&lt;=50,"Good",$R239&lt;=100,"Moderate",$R239&lt;=200,"Poor",$R239&lt;=300,"Very Poor",$R239&lt;=500,"Hazardous")</f>
        <v>Poor</v>
      </c>
      <c r="T239" t="s">
        <v>25</v>
      </c>
      <c r="X239" s="2"/>
      <c r="Y239" s="2"/>
    </row>
    <row r="240" spans="1:25" x14ac:dyDescent="0.3">
      <c r="A240" s="2">
        <v>45339</v>
      </c>
      <c r="B240" t="s">
        <v>23</v>
      </c>
      <c r="C240" s="4">
        <v>104.3</v>
      </c>
      <c r="D240" s="4">
        <v>215.4</v>
      </c>
      <c r="E240" s="4">
        <v>64.900000000000006</v>
      </c>
      <c r="F240" s="4">
        <v>24.72</v>
      </c>
      <c r="G240" s="4">
        <v>1</v>
      </c>
      <c r="H240" s="4">
        <v>1.1200000000000001</v>
      </c>
      <c r="I240" s="4">
        <v>24.3</v>
      </c>
      <c r="J240" s="4">
        <v>30.4</v>
      </c>
      <c r="K240" s="4">
        <v>2.29</v>
      </c>
      <c r="L240" s="4">
        <v>173.83333333333329</v>
      </c>
      <c r="M240" s="4">
        <v>215.4</v>
      </c>
      <c r="N240" s="4">
        <v>81.125</v>
      </c>
      <c r="O240" s="4">
        <v>61.8</v>
      </c>
      <c r="P240" s="4">
        <v>2.5</v>
      </c>
      <c r="Q240" s="4">
        <v>56.000000000000007</v>
      </c>
      <c r="R240" s="4">
        <v>215</v>
      </c>
      <c r="S240" s="4" t="str" cm="1">
        <f t="array" ref="S240">_xlfn.IFS($R240&lt;=50,"Good",$R240&lt;=100,"Moderate",$R240&lt;=200,"Poor",$R240&lt;=300,"Very Poor",$R240&lt;=500,"Hazardous")</f>
        <v>Very Poor</v>
      </c>
      <c r="T240" t="s">
        <v>28</v>
      </c>
      <c r="X240" s="2"/>
      <c r="Y240" s="2"/>
    </row>
    <row r="241" spans="1:25" x14ac:dyDescent="0.3">
      <c r="A241" s="2">
        <v>45339</v>
      </c>
      <c r="B241" t="s">
        <v>24</v>
      </c>
      <c r="C241" s="4">
        <v>193.3</v>
      </c>
      <c r="D241" s="4">
        <v>213.4</v>
      </c>
      <c r="E241" s="4">
        <v>87.3</v>
      </c>
      <c r="F241" s="4">
        <v>2.99</v>
      </c>
      <c r="G241" s="4">
        <v>24.3</v>
      </c>
      <c r="H241" s="4">
        <v>1.72</v>
      </c>
      <c r="I241" s="4">
        <v>22.8</v>
      </c>
      <c r="J241" s="4">
        <v>83.1</v>
      </c>
      <c r="K241" s="4">
        <v>3.67</v>
      </c>
      <c r="L241" s="4">
        <v>322.16666666666669</v>
      </c>
      <c r="M241" s="4">
        <v>213.4</v>
      </c>
      <c r="N241" s="4">
        <v>109.125</v>
      </c>
      <c r="O241" s="4">
        <v>7.4750000000000014</v>
      </c>
      <c r="P241" s="4">
        <v>60.75</v>
      </c>
      <c r="Q241" s="4">
        <v>86</v>
      </c>
      <c r="R241" s="4">
        <v>322</v>
      </c>
      <c r="S241" s="4" t="str" cm="1">
        <f t="array" ref="S241">_xlfn.IFS($R241&lt;=50,"Good",$R241&lt;=100,"Moderate",$R241&lt;=200,"Poor",$R241&lt;=300,"Very Poor",$R241&lt;=500,"Hazardous")</f>
        <v>Hazardous</v>
      </c>
      <c r="T241" t="s">
        <v>25</v>
      </c>
      <c r="X241" s="2"/>
      <c r="Y241" s="2"/>
    </row>
    <row r="242" spans="1:25" x14ac:dyDescent="0.3">
      <c r="A242" s="2">
        <v>45340</v>
      </c>
      <c r="B242" t="s">
        <v>20</v>
      </c>
      <c r="C242" s="4">
        <v>49</v>
      </c>
      <c r="D242" s="4">
        <v>248</v>
      </c>
      <c r="E242" s="4">
        <v>101.1</v>
      </c>
      <c r="F242" s="4">
        <v>25.21</v>
      </c>
      <c r="G242" s="4">
        <v>82.3</v>
      </c>
      <c r="H242" s="4">
        <v>1.0900000000000001</v>
      </c>
      <c r="I242" s="4">
        <v>19.3</v>
      </c>
      <c r="J242" s="4">
        <v>37.4</v>
      </c>
      <c r="K242" s="4">
        <v>2.2200000000000002</v>
      </c>
      <c r="L242" s="4">
        <v>81.666666666666671</v>
      </c>
      <c r="M242" s="4">
        <v>248</v>
      </c>
      <c r="N242" s="4">
        <v>126.375</v>
      </c>
      <c r="O242" s="4">
        <v>63.024999999999999</v>
      </c>
      <c r="P242" s="4">
        <v>205.75</v>
      </c>
      <c r="Q242" s="4">
        <v>54.500000000000007</v>
      </c>
      <c r="R242" s="4">
        <v>248</v>
      </c>
      <c r="S242" s="4" t="str" cm="1">
        <f t="array" ref="S242">_xlfn.IFS($R242&lt;=50,"Good",$R242&lt;=100,"Moderate",$R242&lt;=200,"Poor",$R242&lt;=300,"Very Poor",$R242&lt;=500,"Hazardous")</f>
        <v>Very Poor</v>
      </c>
      <c r="T242" t="s">
        <v>28</v>
      </c>
      <c r="X242" s="2"/>
      <c r="Y242" s="2"/>
    </row>
    <row r="243" spans="1:25" x14ac:dyDescent="0.3">
      <c r="A243" s="2">
        <v>45340</v>
      </c>
      <c r="B243" t="s">
        <v>21</v>
      </c>
      <c r="C243" s="4">
        <v>148</v>
      </c>
      <c r="D243" s="4">
        <v>358.5</v>
      </c>
      <c r="E243" s="4">
        <v>87</v>
      </c>
      <c r="F243" s="4">
        <v>12.8</v>
      </c>
      <c r="G243" s="4">
        <v>49.3</v>
      </c>
      <c r="H243" s="4">
        <v>1.4</v>
      </c>
      <c r="I243" s="4">
        <v>39.6</v>
      </c>
      <c r="J243" s="4">
        <v>31.1</v>
      </c>
      <c r="K243" s="4">
        <v>2.72</v>
      </c>
      <c r="L243" s="4">
        <v>246.66666666666671</v>
      </c>
      <c r="M243" s="4">
        <v>358.5</v>
      </c>
      <c r="N243" s="4">
        <v>108.75</v>
      </c>
      <c r="O243" s="4">
        <v>32</v>
      </c>
      <c r="P243" s="4">
        <v>123.25</v>
      </c>
      <c r="Q243" s="4">
        <v>69.999999999999986</v>
      </c>
      <c r="R243" s="4">
        <v>358</v>
      </c>
      <c r="S243" s="4" t="str" cm="1">
        <f t="array" ref="S243">_xlfn.IFS($R243&lt;=50,"Good",$R243&lt;=100,"Moderate",$R243&lt;=200,"Poor",$R243&lt;=300,"Very Poor",$R243&lt;=500,"Hazardous")</f>
        <v>Hazardous</v>
      </c>
      <c r="T243" t="s">
        <v>28</v>
      </c>
      <c r="X243" s="2"/>
      <c r="Y243" s="2"/>
    </row>
    <row r="244" spans="1:25" x14ac:dyDescent="0.3">
      <c r="A244" s="2">
        <v>45340</v>
      </c>
      <c r="B244" t="s">
        <v>22</v>
      </c>
      <c r="C244" s="4">
        <v>183.5</v>
      </c>
      <c r="D244" s="4">
        <v>183</v>
      </c>
      <c r="E244" s="4">
        <v>62.6</v>
      </c>
      <c r="F244" s="4">
        <v>9.44</v>
      </c>
      <c r="G244" s="4">
        <v>30.3</v>
      </c>
      <c r="H244" s="4">
        <v>3.08</v>
      </c>
      <c r="I244" s="4">
        <v>9.5</v>
      </c>
      <c r="J244" s="4">
        <v>87.6</v>
      </c>
      <c r="K244" s="4">
        <v>0.79</v>
      </c>
      <c r="L244" s="4">
        <v>305.83333333333343</v>
      </c>
      <c r="M244" s="4">
        <v>183</v>
      </c>
      <c r="N244" s="4">
        <v>78.25</v>
      </c>
      <c r="O244" s="4">
        <v>23.6</v>
      </c>
      <c r="P244" s="4">
        <v>75.75</v>
      </c>
      <c r="Q244" s="4">
        <v>154</v>
      </c>
      <c r="R244" s="4">
        <v>306</v>
      </c>
      <c r="S244" s="4" t="str" cm="1">
        <f t="array" ref="S244">_xlfn.IFS($R244&lt;=50,"Good",$R244&lt;=100,"Moderate",$R244&lt;=200,"Poor",$R244&lt;=300,"Very Poor",$R244&lt;=500,"Hazardous")</f>
        <v>Hazardous</v>
      </c>
      <c r="T244" t="s">
        <v>25</v>
      </c>
      <c r="X244" s="2"/>
      <c r="Y244" s="2"/>
    </row>
    <row r="245" spans="1:25" x14ac:dyDescent="0.3">
      <c r="A245" s="2">
        <v>45340</v>
      </c>
      <c r="B245" t="s">
        <v>23</v>
      </c>
      <c r="C245" s="4">
        <v>83.2</v>
      </c>
      <c r="D245" s="4">
        <v>150.80000000000001</v>
      </c>
      <c r="E245" s="4">
        <v>90.8</v>
      </c>
      <c r="F245" s="4">
        <v>0.5</v>
      </c>
      <c r="G245" s="4">
        <v>46.4</v>
      </c>
      <c r="H245" s="4">
        <v>3.86</v>
      </c>
      <c r="I245" s="4">
        <v>15.5</v>
      </c>
      <c r="J245" s="4">
        <v>63.4</v>
      </c>
      <c r="K245" s="4">
        <v>1.71</v>
      </c>
      <c r="L245" s="4">
        <v>138.66666666666671</v>
      </c>
      <c r="M245" s="4">
        <v>150.80000000000001</v>
      </c>
      <c r="N245" s="4">
        <v>113.5</v>
      </c>
      <c r="O245" s="4">
        <v>1.25</v>
      </c>
      <c r="P245" s="4">
        <v>116</v>
      </c>
      <c r="Q245" s="4">
        <v>193</v>
      </c>
      <c r="R245" s="4">
        <v>193</v>
      </c>
      <c r="S245" s="4" t="str" cm="1">
        <f t="array" ref="S245">_xlfn.IFS($R245&lt;=50,"Good",$R245&lt;=100,"Moderate",$R245&lt;=200,"Poor",$R245&lt;=300,"Very Poor",$R245&lt;=500,"Hazardous")</f>
        <v>Poor</v>
      </c>
      <c r="T245" t="s">
        <v>29</v>
      </c>
      <c r="X245" s="2"/>
      <c r="Y245" s="2"/>
    </row>
    <row r="246" spans="1:25" x14ac:dyDescent="0.3">
      <c r="A246" s="2">
        <v>45340</v>
      </c>
      <c r="B246" t="s">
        <v>24</v>
      </c>
      <c r="C246" s="4">
        <v>128.1</v>
      </c>
      <c r="D246" s="4">
        <v>213.2</v>
      </c>
      <c r="E246" s="4">
        <v>56.6</v>
      </c>
      <c r="F246" s="4">
        <v>18.37</v>
      </c>
      <c r="G246" s="4">
        <v>84.3</v>
      </c>
      <c r="H246" s="4">
        <v>1.91</v>
      </c>
      <c r="I246" s="4">
        <v>30</v>
      </c>
      <c r="J246" s="4">
        <v>36.700000000000003</v>
      </c>
      <c r="K246" s="4">
        <v>1.85</v>
      </c>
      <c r="L246" s="4">
        <v>213.5</v>
      </c>
      <c r="M246" s="4">
        <v>213.2</v>
      </c>
      <c r="N246" s="4">
        <v>70.750000000000014</v>
      </c>
      <c r="O246" s="4">
        <v>45.924999999999997</v>
      </c>
      <c r="P246" s="4">
        <v>210.75</v>
      </c>
      <c r="Q246" s="4">
        <v>95.5</v>
      </c>
      <c r="R246" s="4">
        <v>214</v>
      </c>
      <c r="S246" s="4" t="str" cm="1">
        <f t="array" ref="S246">_xlfn.IFS($R246&lt;=50,"Good",$R246&lt;=100,"Moderate",$R246&lt;=200,"Poor",$R246&lt;=300,"Very Poor",$R246&lt;=500,"Hazardous")</f>
        <v>Very Poor</v>
      </c>
      <c r="T246" t="s">
        <v>25</v>
      </c>
      <c r="X246" s="2"/>
      <c r="Y246" s="2"/>
    </row>
    <row r="247" spans="1:25" x14ac:dyDescent="0.3">
      <c r="A247" s="2">
        <v>45341</v>
      </c>
      <c r="B247" t="s">
        <v>20</v>
      </c>
      <c r="C247" s="4">
        <v>136.5</v>
      </c>
      <c r="D247" s="4">
        <v>384.6</v>
      </c>
      <c r="E247" s="4">
        <v>95.9</v>
      </c>
      <c r="F247" s="4">
        <v>11.84</v>
      </c>
      <c r="G247" s="4">
        <v>41.4</v>
      </c>
      <c r="H247" s="4">
        <v>0.83</v>
      </c>
      <c r="I247" s="4">
        <v>29.2</v>
      </c>
      <c r="J247" s="4">
        <v>75.900000000000006</v>
      </c>
      <c r="K247" s="4">
        <v>1.96</v>
      </c>
      <c r="L247" s="4">
        <v>227.5</v>
      </c>
      <c r="M247" s="4">
        <v>384.6</v>
      </c>
      <c r="N247" s="4">
        <v>119.875</v>
      </c>
      <c r="O247" s="4">
        <v>29.6</v>
      </c>
      <c r="P247" s="4">
        <v>103.5</v>
      </c>
      <c r="Q247" s="4">
        <v>41.499999999999993</v>
      </c>
      <c r="R247" s="4">
        <v>385</v>
      </c>
      <c r="S247" s="4" t="str" cm="1">
        <f t="array" ref="S247">_xlfn.IFS($R247&lt;=50,"Good",$R247&lt;=100,"Moderate",$R247&lt;=200,"Poor",$R247&lt;=300,"Very Poor",$R247&lt;=500,"Hazardous")</f>
        <v>Hazardous</v>
      </c>
      <c r="T247" t="s">
        <v>28</v>
      </c>
      <c r="X247" s="2"/>
      <c r="Y247" s="2"/>
    </row>
    <row r="248" spans="1:25" x14ac:dyDescent="0.3">
      <c r="A248" s="2">
        <v>45341</v>
      </c>
      <c r="B248" t="s">
        <v>21</v>
      </c>
      <c r="C248" s="4">
        <v>91.8</v>
      </c>
      <c r="D248" s="4">
        <v>271.89999999999998</v>
      </c>
      <c r="E248" s="4">
        <v>72.5</v>
      </c>
      <c r="F248" s="4">
        <v>15.34</v>
      </c>
      <c r="G248" s="4">
        <v>104.1</v>
      </c>
      <c r="H248" s="4">
        <v>2.1</v>
      </c>
      <c r="I248" s="4">
        <v>22.5</v>
      </c>
      <c r="J248" s="4">
        <v>48.3</v>
      </c>
      <c r="K248" s="4">
        <v>3.39</v>
      </c>
      <c r="L248" s="4">
        <v>153</v>
      </c>
      <c r="M248" s="4">
        <v>271.89999999999998</v>
      </c>
      <c r="N248" s="4">
        <v>90.625</v>
      </c>
      <c r="O248" s="4">
        <v>38.35</v>
      </c>
      <c r="P248" s="4">
        <v>260.25</v>
      </c>
      <c r="Q248" s="4">
        <v>105</v>
      </c>
      <c r="R248" s="4">
        <v>272</v>
      </c>
      <c r="S248" s="4" t="str" cm="1">
        <f t="array" ref="S248">_xlfn.IFS($R248&lt;=50,"Good",$R248&lt;=100,"Moderate",$R248&lt;=200,"Poor",$R248&lt;=300,"Very Poor",$R248&lt;=500,"Hazardous")</f>
        <v>Very Poor</v>
      </c>
      <c r="T248" t="s">
        <v>28</v>
      </c>
      <c r="X248" s="2"/>
      <c r="Y248" s="2"/>
    </row>
    <row r="249" spans="1:25" x14ac:dyDescent="0.3">
      <c r="A249" s="2">
        <v>45341</v>
      </c>
      <c r="B249" t="s">
        <v>22</v>
      </c>
      <c r="C249" s="4">
        <v>82.9</v>
      </c>
      <c r="D249" s="4">
        <v>123.2</v>
      </c>
      <c r="E249" s="4">
        <v>108.6</v>
      </c>
      <c r="F249" s="4">
        <v>22.95</v>
      </c>
      <c r="G249" s="4">
        <v>21.4</v>
      </c>
      <c r="H249" s="4">
        <v>0.12</v>
      </c>
      <c r="I249" s="4">
        <v>32.1</v>
      </c>
      <c r="J249" s="4">
        <v>47.7</v>
      </c>
      <c r="K249" s="4">
        <v>3.45</v>
      </c>
      <c r="L249" s="4">
        <v>138.16666666666671</v>
      </c>
      <c r="M249" s="4">
        <v>123.2</v>
      </c>
      <c r="N249" s="4">
        <v>135.75</v>
      </c>
      <c r="O249" s="4">
        <v>57.374999999999993</v>
      </c>
      <c r="P249" s="4">
        <v>53.5</v>
      </c>
      <c r="Q249" s="4">
        <v>6</v>
      </c>
      <c r="R249" s="4">
        <v>138</v>
      </c>
      <c r="S249" s="4" t="str" cm="1">
        <f t="array" ref="S249">_xlfn.IFS($R249&lt;=50,"Good",$R249&lt;=100,"Moderate",$R249&lt;=200,"Poor",$R249&lt;=300,"Very Poor",$R249&lt;=500,"Hazardous")</f>
        <v>Poor</v>
      </c>
      <c r="T249" t="s">
        <v>25</v>
      </c>
      <c r="X249" s="2"/>
      <c r="Y249" s="2"/>
    </row>
    <row r="250" spans="1:25" x14ac:dyDescent="0.3">
      <c r="A250" s="2">
        <v>45341</v>
      </c>
      <c r="B250" t="s">
        <v>23</v>
      </c>
      <c r="C250" s="4">
        <v>2</v>
      </c>
      <c r="D250" s="4">
        <v>277.7</v>
      </c>
      <c r="E250" s="4">
        <v>33.200000000000003</v>
      </c>
      <c r="F250" s="4">
        <v>18.649999999999999</v>
      </c>
      <c r="G250" s="4">
        <v>36.299999999999997</v>
      </c>
      <c r="H250" s="4">
        <v>1</v>
      </c>
      <c r="I250" s="4">
        <v>22.2</v>
      </c>
      <c r="J250" s="4">
        <v>72.400000000000006</v>
      </c>
      <c r="K250" s="4">
        <v>2.63</v>
      </c>
      <c r="L250" s="4">
        <v>3.333333333333333</v>
      </c>
      <c r="M250" s="4">
        <v>277.7</v>
      </c>
      <c r="N250" s="4">
        <v>41.5</v>
      </c>
      <c r="O250" s="4">
        <v>46.625</v>
      </c>
      <c r="P250" s="4">
        <v>90.75</v>
      </c>
      <c r="Q250" s="4">
        <v>50</v>
      </c>
      <c r="R250" s="4">
        <v>278</v>
      </c>
      <c r="S250" s="4" t="str" cm="1">
        <f t="array" ref="S250">_xlfn.IFS($R250&lt;=50,"Good",$R250&lt;=100,"Moderate",$R250&lt;=200,"Poor",$R250&lt;=300,"Very Poor",$R250&lt;=500,"Hazardous")</f>
        <v>Very Poor</v>
      </c>
      <c r="T250" t="s">
        <v>28</v>
      </c>
      <c r="X250" s="2"/>
      <c r="Y250" s="2"/>
    </row>
    <row r="251" spans="1:25" x14ac:dyDescent="0.3">
      <c r="A251" s="2">
        <v>45341</v>
      </c>
      <c r="B251" t="s">
        <v>24</v>
      </c>
      <c r="C251" s="4">
        <v>136.5</v>
      </c>
      <c r="D251" s="4">
        <v>419.9</v>
      </c>
      <c r="E251" s="4">
        <v>24.1</v>
      </c>
      <c r="F251" s="4">
        <v>28.31</v>
      </c>
      <c r="G251" s="4">
        <v>42.2</v>
      </c>
      <c r="H251" s="4">
        <v>1.1599999999999999</v>
      </c>
      <c r="I251" s="4">
        <v>15.7</v>
      </c>
      <c r="J251" s="4">
        <v>56.6</v>
      </c>
      <c r="K251" s="4">
        <v>4.1100000000000003</v>
      </c>
      <c r="L251" s="4">
        <v>227.5</v>
      </c>
      <c r="M251" s="4">
        <v>419.9</v>
      </c>
      <c r="N251" s="4">
        <v>30.125</v>
      </c>
      <c r="O251" s="4">
        <v>70.774999999999991</v>
      </c>
      <c r="P251" s="4">
        <v>105.5</v>
      </c>
      <c r="Q251" s="4">
        <v>57.999999999999993</v>
      </c>
      <c r="R251" s="4">
        <v>420</v>
      </c>
      <c r="S251" s="4" t="str" cm="1">
        <f t="array" ref="S251">_xlfn.IFS($R251&lt;=50,"Good",$R251&lt;=100,"Moderate",$R251&lt;=200,"Poor",$R251&lt;=300,"Very Poor",$R251&lt;=500,"Hazardous")</f>
        <v>Hazardous</v>
      </c>
      <c r="T251" t="s">
        <v>28</v>
      </c>
      <c r="X251" s="2"/>
      <c r="Y251" s="2"/>
    </row>
    <row r="252" spans="1:25" x14ac:dyDescent="0.3">
      <c r="A252" s="2">
        <v>45342</v>
      </c>
      <c r="B252" t="s">
        <v>20</v>
      </c>
      <c r="C252" s="4">
        <v>103.4</v>
      </c>
      <c r="D252" s="4">
        <v>387.6</v>
      </c>
      <c r="E252" s="4">
        <v>29.4</v>
      </c>
      <c r="F252" s="4">
        <v>14.61</v>
      </c>
      <c r="G252" s="4">
        <v>9</v>
      </c>
      <c r="H252" s="4">
        <v>2.61</v>
      </c>
      <c r="I252" s="4">
        <v>31.2</v>
      </c>
      <c r="J252" s="4">
        <v>52.4</v>
      </c>
      <c r="K252" s="4">
        <v>0.2</v>
      </c>
      <c r="L252" s="4">
        <v>172.33333333333329</v>
      </c>
      <c r="M252" s="4">
        <v>387.6</v>
      </c>
      <c r="N252" s="4">
        <v>36.75</v>
      </c>
      <c r="O252" s="4">
        <v>36.524999999999999</v>
      </c>
      <c r="P252" s="4">
        <v>22.5</v>
      </c>
      <c r="Q252" s="4">
        <v>130.5</v>
      </c>
      <c r="R252" s="4">
        <v>388</v>
      </c>
      <c r="S252" s="4" t="str" cm="1">
        <f t="array" ref="S252">_xlfn.IFS($R252&lt;=50,"Good",$R252&lt;=100,"Moderate",$R252&lt;=200,"Poor",$R252&lt;=300,"Very Poor",$R252&lt;=500,"Hazardous")</f>
        <v>Hazardous</v>
      </c>
      <c r="T252" t="s">
        <v>28</v>
      </c>
      <c r="X252" s="2"/>
      <c r="Y252" s="2"/>
    </row>
    <row r="253" spans="1:25" x14ac:dyDescent="0.3">
      <c r="A253" s="2">
        <v>45342</v>
      </c>
      <c r="B253" t="s">
        <v>21</v>
      </c>
      <c r="C253" s="4">
        <v>131.9</v>
      </c>
      <c r="D253" s="4">
        <v>292.39999999999998</v>
      </c>
      <c r="E253" s="4">
        <v>106.2</v>
      </c>
      <c r="F253" s="4">
        <v>28.36</v>
      </c>
      <c r="G253" s="4">
        <v>14.9</v>
      </c>
      <c r="H253" s="4">
        <v>3.22</v>
      </c>
      <c r="I253" s="4">
        <v>33.299999999999997</v>
      </c>
      <c r="J253" s="4">
        <v>28</v>
      </c>
      <c r="K253" s="4">
        <v>2.88</v>
      </c>
      <c r="L253" s="4">
        <v>219.83333333333329</v>
      </c>
      <c r="M253" s="4">
        <v>292.39999999999998</v>
      </c>
      <c r="N253" s="4">
        <v>132.75</v>
      </c>
      <c r="O253" s="4">
        <v>70.900000000000006</v>
      </c>
      <c r="P253" s="4">
        <v>37.25</v>
      </c>
      <c r="Q253" s="4">
        <v>161</v>
      </c>
      <c r="R253" s="4">
        <v>292</v>
      </c>
      <c r="S253" s="4" t="str" cm="1">
        <f t="array" ref="S253">_xlfn.IFS($R253&lt;=50,"Good",$R253&lt;=100,"Moderate",$R253&lt;=200,"Poor",$R253&lt;=300,"Very Poor",$R253&lt;=500,"Hazardous")</f>
        <v>Very Poor</v>
      </c>
      <c r="T253" t="s">
        <v>28</v>
      </c>
      <c r="X253" s="2"/>
      <c r="Y253" s="2"/>
    </row>
    <row r="254" spans="1:25" x14ac:dyDescent="0.3">
      <c r="A254" s="2">
        <v>45342</v>
      </c>
      <c r="B254" t="s">
        <v>22</v>
      </c>
      <c r="C254" s="4">
        <v>68.2</v>
      </c>
      <c r="D254" s="4">
        <v>175</v>
      </c>
      <c r="E254" s="4">
        <v>79</v>
      </c>
      <c r="F254" s="4">
        <v>8.4600000000000009</v>
      </c>
      <c r="G254" s="4">
        <v>19.8</v>
      </c>
      <c r="H254" s="4">
        <v>1.86</v>
      </c>
      <c r="I254" s="4">
        <v>17.399999999999999</v>
      </c>
      <c r="J254" s="4">
        <v>40.5</v>
      </c>
      <c r="K254" s="4">
        <v>3.32</v>
      </c>
      <c r="L254" s="4">
        <v>113.6666666666667</v>
      </c>
      <c r="M254" s="4">
        <v>175</v>
      </c>
      <c r="N254" s="4">
        <v>98.75</v>
      </c>
      <c r="O254" s="4">
        <v>21.15</v>
      </c>
      <c r="P254" s="4">
        <v>49.5</v>
      </c>
      <c r="Q254" s="4">
        <v>93</v>
      </c>
      <c r="R254" s="4">
        <v>175</v>
      </c>
      <c r="S254" s="4" t="str" cm="1">
        <f t="array" ref="S254">_xlfn.IFS($R254&lt;=50,"Good",$R254&lt;=100,"Moderate",$R254&lt;=200,"Poor",$R254&lt;=300,"Very Poor",$R254&lt;=500,"Hazardous")</f>
        <v>Poor</v>
      </c>
      <c r="T254" t="s">
        <v>28</v>
      </c>
      <c r="X254" s="2"/>
      <c r="Y254" s="2"/>
    </row>
    <row r="255" spans="1:25" x14ac:dyDescent="0.3">
      <c r="A255" s="2">
        <v>45342</v>
      </c>
      <c r="B255" t="s">
        <v>23</v>
      </c>
      <c r="C255" s="4">
        <v>40.9</v>
      </c>
      <c r="D255" s="4">
        <v>256</v>
      </c>
      <c r="E255" s="4">
        <v>86.8</v>
      </c>
      <c r="F255" s="4">
        <v>0.5</v>
      </c>
      <c r="G255" s="4">
        <v>20.8</v>
      </c>
      <c r="H255" s="4">
        <v>3.07</v>
      </c>
      <c r="I255" s="4">
        <v>18.100000000000001</v>
      </c>
      <c r="J255" s="4">
        <v>51.6</v>
      </c>
      <c r="K255" s="4">
        <v>3.05</v>
      </c>
      <c r="L255" s="4">
        <v>68.166666666666671</v>
      </c>
      <c r="M255" s="4">
        <v>256</v>
      </c>
      <c r="N255" s="4">
        <v>108.5</v>
      </c>
      <c r="O255" s="4">
        <v>1.25</v>
      </c>
      <c r="P255" s="4">
        <v>52.000000000000007</v>
      </c>
      <c r="Q255" s="4">
        <v>153.5</v>
      </c>
      <c r="R255" s="4">
        <v>256</v>
      </c>
      <c r="S255" s="4" t="str" cm="1">
        <f t="array" ref="S255">_xlfn.IFS($R255&lt;=50,"Good",$R255&lt;=100,"Moderate",$R255&lt;=200,"Poor",$R255&lt;=300,"Very Poor",$R255&lt;=500,"Hazardous")</f>
        <v>Very Poor</v>
      </c>
      <c r="T255" t="s">
        <v>28</v>
      </c>
      <c r="X255" s="2"/>
      <c r="Y255" s="2"/>
    </row>
    <row r="256" spans="1:25" x14ac:dyDescent="0.3">
      <c r="A256" s="2">
        <v>45342</v>
      </c>
      <c r="B256" t="s">
        <v>24</v>
      </c>
      <c r="C256" s="4">
        <v>147</v>
      </c>
      <c r="D256" s="4">
        <v>184.6</v>
      </c>
      <c r="E256" s="4">
        <v>58.2</v>
      </c>
      <c r="F256" s="4">
        <v>26.6</v>
      </c>
      <c r="G256" s="4">
        <v>82.6</v>
      </c>
      <c r="H256" s="4">
        <v>3.15</v>
      </c>
      <c r="I256" s="4">
        <v>25.6</v>
      </c>
      <c r="J256" s="4">
        <v>45.5</v>
      </c>
      <c r="K256" s="4">
        <v>2</v>
      </c>
      <c r="L256" s="4">
        <v>245</v>
      </c>
      <c r="M256" s="4">
        <v>184.6</v>
      </c>
      <c r="N256" s="4">
        <v>72.750000000000014</v>
      </c>
      <c r="O256" s="4">
        <v>66.5</v>
      </c>
      <c r="P256" s="4">
        <v>206.5</v>
      </c>
      <c r="Q256" s="4">
        <v>157.5</v>
      </c>
      <c r="R256" s="4">
        <v>245</v>
      </c>
      <c r="S256" s="4" t="str" cm="1">
        <f t="array" ref="S256">_xlfn.IFS($R256&lt;=50,"Good",$R256&lt;=100,"Moderate",$R256&lt;=200,"Poor",$R256&lt;=300,"Very Poor",$R256&lt;=500,"Hazardous")</f>
        <v>Very Poor</v>
      </c>
      <c r="T256" t="s">
        <v>25</v>
      </c>
      <c r="X256" s="2"/>
      <c r="Y256" s="2"/>
    </row>
    <row r="257" spans="1:25" x14ac:dyDescent="0.3">
      <c r="A257" s="2">
        <v>45343</v>
      </c>
      <c r="B257" t="s">
        <v>20</v>
      </c>
      <c r="C257" s="4">
        <v>139.19999999999999</v>
      </c>
      <c r="D257" s="4">
        <v>267</v>
      </c>
      <c r="E257" s="4">
        <v>134.4</v>
      </c>
      <c r="F257" s="4">
        <v>20.7</v>
      </c>
      <c r="G257" s="4">
        <v>2.5</v>
      </c>
      <c r="H257" s="4">
        <v>3.37</v>
      </c>
      <c r="I257" s="4">
        <v>18</v>
      </c>
      <c r="J257" s="4">
        <v>53.1</v>
      </c>
      <c r="K257" s="4">
        <v>2.8</v>
      </c>
      <c r="L257" s="4">
        <v>232</v>
      </c>
      <c r="M257" s="4">
        <v>267</v>
      </c>
      <c r="N257" s="4">
        <v>168</v>
      </c>
      <c r="O257" s="4">
        <v>51.75</v>
      </c>
      <c r="P257" s="4">
        <v>6.25</v>
      </c>
      <c r="Q257" s="4">
        <v>168.5</v>
      </c>
      <c r="R257" s="4">
        <v>267</v>
      </c>
      <c r="S257" s="4" t="str" cm="1">
        <f t="array" ref="S257">_xlfn.IFS($R257&lt;=50,"Good",$R257&lt;=100,"Moderate",$R257&lt;=200,"Poor",$R257&lt;=300,"Very Poor",$R257&lt;=500,"Hazardous")</f>
        <v>Very Poor</v>
      </c>
      <c r="T257" t="s">
        <v>28</v>
      </c>
      <c r="X257" s="2"/>
      <c r="Y257" s="2"/>
    </row>
    <row r="258" spans="1:25" x14ac:dyDescent="0.3">
      <c r="A258" s="2">
        <v>45343</v>
      </c>
      <c r="B258" t="s">
        <v>21</v>
      </c>
      <c r="C258" s="4">
        <v>239.7</v>
      </c>
      <c r="D258" s="4">
        <v>613.20000000000005</v>
      </c>
      <c r="E258" s="4">
        <v>114.3</v>
      </c>
      <c r="F258" s="4">
        <v>14.17</v>
      </c>
      <c r="G258" s="4">
        <v>60</v>
      </c>
      <c r="H258" s="4">
        <v>3.47</v>
      </c>
      <c r="I258" s="4">
        <v>22.8</v>
      </c>
      <c r="J258" s="4">
        <v>92.3</v>
      </c>
      <c r="K258" s="4">
        <v>2.78</v>
      </c>
      <c r="L258" s="4">
        <v>399.49999999999989</v>
      </c>
      <c r="M258" s="4">
        <v>500</v>
      </c>
      <c r="N258" s="4">
        <v>142.875</v>
      </c>
      <c r="O258" s="4">
        <v>35.424999999999997</v>
      </c>
      <c r="P258" s="4">
        <v>150</v>
      </c>
      <c r="Q258" s="4">
        <v>173.5</v>
      </c>
      <c r="R258" s="4">
        <v>500</v>
      </c>
      <c r="S258" s="4" t="str" cm="1">
        <f t="array" ref="S258">_xlfn.IFS($R258&lt;=50,"Good",$R258&lt;=100,"Moderate",$R258&lt;=200,"Poor",$R258&lt;=300,"Very Poor",$R258&lt;=500,"Hazardous")</f>
        <v>Hazardous</v>
      </c>
      <c r="T258" t="s">
        <v>28</v>
      </c>
      <c r="X258" s="2"/>
      <c r="Y258" s="2"/>
    </row>
    <row r="259" spans="1:25" x14ac:dyDescent="0.3">
      <c r="A259" s="2">
        <v>45343</v>
      </c>
      <c r="B259" t="s">
        <v>22</v>
      </c>
      <c r="C259" s="4">
        <v>113.9</v>
      </c>
      <c r="D259" s="4">
        <v>243.1</v>
      </c>
      <c r="E259" s="4">
        <v>81.2</v>
      </c>
      <c r="F259" s="4">
        <v>18.54</v>
      </c>
      <c r="G259" s="4">
        <v>21</v>
      </c>
      <c r="H259" s="4">
        <v>1.31</v>
      </c>
      <c r="I259" s="4">
        <v>17.3</v>
      </c>
      <c r="J259" s="4">
        <v>67.900000000000006</v>
      </c>
      <c r="K259" s="4">
        <v>3.43</v>
      </c>
      <c r="L259" s="4">
        <v>189.83333333333329</v>
      </c>
      <c r="M259" s="4">
        <v>243.1</v>
      </c>
      <c r="N259" s="4">
        <v>101.5</v>
      </c>
      <c r="O259" s="4">
        <v>46.349999999999987</v>
      </c>
      <c r="P259" s="4">
        <v>52.5</v>
      </c>
      <c r="Q259" s="4">
        <v>65.5</v>
      </c>
      <c r="R259" s="4">
        <v>243</v>
      </c>
      <c r="S259" s="4" t="str" cm="1">
        <f t="array" ref="S259">_xlfn.IFS($R259&lt;=50,"Good",$R259&lt;=100,"Moderate",$R259&lt;=200,"Poor",$R259&lt;=300,"Very Poor",$R259&lt;=500,"Hazardous")</f>
        <v>Very Poor</v>
      </c>
      <c r="T259" t="s">
        <v>28</v>
      </c>
      <c r="X259" s="2"/>
      <c r="Y259" s="2"/>
    </row>
    <row r="260" spans="1:25" x14ac:dyDescent="0.3">
      <c r="A260" s="2">
        <v>45343</v>
      </c>
      <c r="B260" t="s">
        <v>23</v>
      </c>
      <c r="C260" s="4">
        <v>118</v>
      </c>
      <c r="D260" s="4">
        <v>352.8</v>
      </c>
      <c r="E260" s="4">
        <v>71.8</v>
      </c>
      <c r="F260" s="4">
        <v>18.149999999999999</v>
      </c>
      <c r="G260" s="4">
        <v>11.4</v>
      </c>
      <c r="H260" s="4">
        <v>1.55</v>
      </c>
      <c r="I260" s="4">
        <v>29.9</v>
      </c>
      <c r="J260" s="4">
        <v>75.3</v>
      </c>
      <c r="K260" s="4">
        <v>2.15</v>
      </c>
      <c r="L260" s="4">
        <v>196.66666666666671</v>
      </c>
      <c r="M260" s="4">
        <v>352.8</v>
      </c>
      <c r="N260" s="4">
        <v>89.75</v>
      </c>
      <c r="O260" s="4">
        <v>45.375</v>
      </c>
      <c r="P260" s="4">
        <v>28.5</v>
      </c>
      <c r="Q260" s="4">
        <v>77.5</v>
      </c>
      <c r="R260" s="4">
        <v>353</v>
      </c>
      <c r="S260" s="4" t="str" cm="1">
        <f t="array" ref="S260">_xlfn.IFS($R260&lt;=50,"Good",$R260&lt;=100,"Moderate",$R260&lt;=200,"Poor",$R260&lt;=300,"Very Poor",$R260&lt;=500,"Hazardous")</f>
        <v>Hazardous</v>
      </c>
      <c r="T260" t="s">
        <v>28</v>
      </c>
      <c r="X260" s="2"/>
      <c r="Y260" s="2"/>
    </row>
    <row r="261" spans="1:25" x14ac:dyDescent="0.3">
      <c r="A261" s="2">
        <v>45343</v>
      </c>
      <c r="B261" t="s">
        <v>24</v>
      </c>
      <c r="C261" s="4">
        <v>101.8</v>
      </c>
      <c r="D261" s="4">
        <v>50.9</v>
      </c>
      <c r="E261" s="4">
        <v>66.599999999999994</v>
      </c>
      <c r="F261" s="4">
        <v>21.92</v>
      </c>
      <c r="G261" s="4">
        <v>53.8</v>
      </c>
      <c r="H261" s="4">
        <v>2.64</v>
      </c>
      <c r="I261" s="4">
        <v>25.3</v>
      </c>
      <c r="J261" s="4">
        <v>60.1</v>
      </c>
      <c r="K261" s="4">
        <v>2.21</v>
      </c>
      <c r="L261" s="4">
        <v>169.66666666666671</v>
      </c>
      <c r="M261" s="4">
        <v>50.9</v>
      </c>
      <c r="N261" s="4">
        <v>83.249999999999986</v>
      </c>
      <c r="O261" s="4">
        <v>54.8</v>
      </c>
      <c r="P261" s="4">
        <v>134.5</v>
      </c>
      <c r="Q261" s="4">
        <v>132</v>
      </c>
      <c r="R261" s="4">
        <v>170</v>
      </c>
      <c r="S261" s="4" t="str" cm="1">
        <f t="array" ref="S261">_xlfn.IFS($R261&lt;=50,"Good",$R261&lt;=100,"Moderate",$R261&lt;=200,"Poor",$R261&lt;=300,"Very Poor",$R261&lt;=500,"Hazardous")</f>
        <v>Poor</v>
      </c>
      <c r="T261" t="s">
        <v>25</v>
      </c>
      <c r="X261" s="2"/>
      <c r="Y261" s="2"/>
    </row>
    <row r="262" spans="1:25" x14ac:dyDescent="0.3">
      <c r="A262" s="2">
        <v>45344</v>
      </c>
      <c r="B262" t="s">
        <v>20</v>
      </c>
      <c r="C262" s="4">
        <v>149</v>
      </c>
      <c r="D262" s="4">
        <v>267.3</v>
      </c>
      <c r="E262" s="4">
        <v>100.9</v>
      </c>
      <c r="F262" s="4">
        <v>9.8800000000000008</v>
      </c>
      <c r="G262" s="4">
        <v>1</v>
      </c>
      <c r="H262" s="4">
        <v>3.42</v>
      </c>
      <c r="I262" s="4">
        <v>21.6</v>
      </c>
      <c r="J262" s="4">
        <v>44.5</v>
      </c>
      <c r="K262" s="4">
        <v>3.33</v>
      </c>
      <c r="L262" s="4">
        <v>248.33333333333329</v>
      </c>
      <c r="M262" s="4">
        <v>267.3</v>
      </c>
      <c r="N262" s="4">
        <v>126.125</v>
      </c>
      <c r="O262" s="4">
        <v>24.7</v>
      </c>
      <c r="P262" s="4">
        <v>2.5</v>
      </c>
      <c r="Q262" s="4">
        <v>171</v>
      </c>
      <c r="R262" s="4">
        <v>267</v>
      </c>
      <c r="S262" s="4" t="str" cm="1">
        <f t="array" ref="S262">_xlfn.IFS($R262&lt;=50,"Good",$R262&lt;=100,"Moderate",$R262&lt;=200,"Poor",$R262&lt;=300,"Very Poor",$R262&lt;=500,"Hazardous")</f>
        <v>Very Poor</v>
      </c>
      <c r="T262" t="s">
        <v>28</v>
      </c>
      <c r="X262" s="2"/>
      <c r="Y262" s="2"/>
    </row>
    <row r="263" spans="1:25" x14ac:dyDescent="0.3">
      <c r="A263" s="2">
        <v>45344</v>
      </c>
      <c r="B263" t="s">
        <v>21</v>
      </c>
      <c r="C263" s="4">
        <v>96.5</v>
      </c>
      <c r="D263" s="4">
        <v>367.2</v>
      </c>
      <c r="E263" s="4">
        <v>114.7</v>
      </c>
      <c r="F263" s="4">
        <v>22.84</v>
      </c>
      <c r="G263" s="4">
        <v>6.6</v>
      </c>
      <c r="H263" s="4">
        <v>3.85</v>
      </c>
      <c r="I263" s="4">
        <v>26.8</v>
      </c>
      <c r="J263" s="4">
        <v>53.4</v>
      </c>
      <c r="K263" s="4">
        <v>2.67</v>
      </c>
      <c r="L263" s="4">
        <v>160.83333333333329</v>
      </c>
      <c r="M263" s="4">
        <v>367.2</v>
      </c>
      <c r="N263" s="4">
        <v>143.375</v>
      </c>
      <c r="O263" s="4">
        <v>57.1</v>
      </c>
      <c r="P263" s="4">
        <v>16.5</v>
      </c>
      <c r="Q263" s="4">
        <v>192.5</v>
      </c>
      <c r="R263" s="4">
        <v>367</v>
      </c>
      <c r="S263" s="4" t="str" cm="1">
        <f t="array" ref="S263">_xlfn.IFS($R263&lt;=50,"Good",$R263&lt;=100,"Moderate",$R263&lt;=200,"Poor",$R263&lt;=300,"Very Poor",$R263&lt;=500,"Hazardous")</f>
        <v>Hazardous</v>
      </c>
      <c r="T263" t="s">
        <v>28</v>
      </c>
      <c r="X263" s="2"/>
      <c r="Y263" s="2"/>
    </row>
    <row r="264" spans="1:25" x14ac:dyDescent="0.3">
      <c r="A264" s="2">
        <v>45344</v>
      </c>
      <c r="B264" t="s">
        <v>22</v>
      </c>
      <c r="C264" s="4">
        <v>10.199999999999999</v>
      </c>
      <c r="D264" s="4">
        <v>219.7</v>
      </c>
      <c r="E264" s="4">
        <v>37.1</v>
      </c>
      <c r="F264" s="4">
        <v>1.88</v>
      </c>
      <c r="G264" s="4">
        <v>1.7</v>
      </c>
      <c r="H264" s="4">
        <v>2.84</v>
      </c>
      <c r="I264" s="4">
        <v>20.6</v>
      </c>
      <c r="J264" s="4">
        <v>87.6</v>
      </c>
      <c r="K264" s="4">
        <v>1.86</v>
      </c>
      <c r="L264" s="4">
        <v>17</v>
      </c>
      <c r="M264" s="4">
        <v>219.7</v>
      </c>
      <c r="N264" s="4">
        <v>46.375</v>
      </c>
      <c r="O264" s="4">
        <v>4.6999999999999993</v>
      </c>
      <c r="P264" s="4">
        <v>4.25</v>
      </c>
      <c r="Q264" s="4">
        <v>142</v>
      </c>
      <c r="R264" s="4">
        <v>220</v>
      </c>
      <c r="S264" s="4" t="str" cm="1">
        <f t="array" ref="S264">_xlfn.IFS($R264&lt;=50,"Good",$R264&lt;=100,"Moderate",$R264&lt;=200,"Poor",$R264&lt;=300,"Very Poor",$R264&lt;=500,"Hazardous")</f>
        <v>Very Poor</v>
      </c>
      <c r="T264" t="s">
        <v>28</v>
      </c>
      <c r="X264" s="2"/>
      <c r="Y264" s="2"/>
    </row>
    <row r="265" spans="1:25" x14ac:dyDescent="0.3">
      <c r="A265" s="2">
        <v>45344</v>
      </c>
      <c r="B265" t="s">
        <v>23</v>
      </c>
      <c r="C265" s="4">
        <v>14</v>
      </c>
      <c r="D265" s="4">
        <v>84.8</v>
      </c>
      <c r="E265" s="4">
        <v>111.5</v>
      </c>
      <c r="F265" s="4">
        <v>11.55</v>
      </c>
      <c r="G265" s="4">
        <v>23.7</v>
      </c>
      <c r="H265" s="4">
        <v>2.0699999999999998</v>
      </c>
      <c r="I265" s="4">
        <v>28.5</v>
      </c>
      <c r="J265" s="4">
        <v>80.099999999999994</v>
      </c>
      <c r="K265" s="4">
        <v>4.24</v>
      </c>
      <c r="L265" s="4">
        <v>23.333333333333339</v>
      </c>
      <c r="M265" s="4">
        <v>84.8</v>
      </c>
      <c r="N265" s="4">
        <v>139.375</v>
      </c>
      <c r="O265" s="4">
        <v>28.875</v>
      </c>
      <c r="P265" s="4">
        <v>59.25</v>
      </c>
      <c r="Q265" s="4">
        <v>103.5</v>
      </c>
      <c r="R265" s="4">
        <v>139</v>
      </c>
      <c r="S265" s="4" t="str" cm="1">
        <f t="array" ref="S265">_xlfn.IFS($R265&lt;=50,"Good",$R265&lt;=100,"Moderate",$R265&lt;=200,"Poor",$R265&lt;=300,"Very Poor",$R265&lt;=500,"Hazardous")</f>
        <v>Poor</v>
      </c>
      <c r="T265" t="s">
        <v>26</v>
      </c>
      <c r="X265" s="2"/>
      <c r="Y265" s="2"/>
    </row>
    <row r="266" spans="1:25" x14ac:dyDescent="0.3">
      <c r="A266" s="2">
        <v>45344</v>
      </c>
      <c r="B266" t="s">
        <v>24</v>
      </c>
      <c r="C266" s="4">
        <v>86.6</v>
      </c>
      <c r="D266" s="4">
        <v>71.2</v>
      </c>
      <c r="E266" s="4">
        <v>64.599999999999994</v>
      </c>
      <c r="F266" s="4">
        <v>16.37</v>
      </c>
      <c r="G266" s="4">
        <v>15.7</v>
      </c>
      <c r="H266" s="4">
        <v>1.1000000000000001</v>
      </c>
      <c r="I266" s="4">
        <v>27.4</v>
      </c>
      <c r="J266" s="4">
        <v>59.1</v>
      </c>
      <c r="K266" s="4">
        <v>3.04</v>
      </c>
      <c r="L266" s="4">
        <v>144.33333333333329</v>
      </c>
      <c r="M266" s="4">
        <v>71.2</v>
      </c>
      <c r="N266" s="4">
        <v>80.749999999999986</v>
      </c>
      <c r="O266" s="4">
        <v>40.924999999999997</v>
      </c>
      <c r="P266" s="4">
        <v>39.25</v>
      </c>
      <c r="Q266" s="4">
        <v>55.000000000000007</v>
      </c>
      <c r="R266" s="4">
        <v>144</v>
      </c>
      <c r="S266" s="4" t="str" cm="1">
        <f t="array" ref="S266">_xlfn.IFS($R266&lt;=50,"Good",$R266&lt;=100,"Moderate",$R266&lt;=200,"Poor",$R266&lt;=300,"Very Poor",$R266&lt;=500,"Hazardous")</f>
        <v>Poor</v>
      </c>
      <c r="T266" t="s">
        <v>25</v>
      </c>
      <c r="X266" s="2"/>
      <c r="Y266" s="2"/>
    </row>
    <row r="267" spans="1:25" x14ac:dyDescent="0.3">
      <c r="A267" s="2">
        <v>45345</v>
      </c>
      <c r="B267" t="s">
        <v>20</v>
      </c>
      <c r="C267" s="4">
        <v>68.5</v>
      </c>
      <c r="D267" s="4">
        <v>195.4</v>
      </c>
      <c r="E267" s="4">
        <v>48.8</v>
      </c>
      <c r="F267" s="4">
        <v>22.91</v>
      </c>
      <c r="G267" s="4">
        <v>68.2</v>
      </c>
      <c r="H267" s="4">
        <v>0.17</v>
      </c>
      <c r="I267" s="4">
        <v>18.5</v>
      </c>
      <c r="J267" s="4">
        <v>33.1</v>
      </c>
      <c r="K267" s="4">
        <v>1.72</v>
      </c>
      <c r="L267" s="4">
        <v>114.1666666666667</v>
      </c>
      <c r="M267" s="4">
        <v>195.4</v>
      </c>
      <c r="N267" s="4">
        <v>61</v>
      </c>
      <c r="O267" s="4">
        <v>57.274999999999999</v>
      </c>
      <c r="P267" s="4">
        <v>170.5</v>
      </c>
      <c r="Q267" s="4">
        <v>8.5</v>
      </c>
      <c r="R267" s="4">
        <v>195</v>
      </c>
      <c r="S267" s="4" t="str" cm="1">
        <f t="array" ref="S267">_xlfn.IFS($R267&lt;=50,"Good",$R267&lt;=100,"Moderate",$R267&lt;=200,"Poor",$R267&lt;=300,"Very Poor",$R267&lt;=500,"Hazardous")</f>
        <v>Poor</v>
      </c>
      <c r="T267" t="s">
        <v>28</v>
      </c>
      <c r="X267" s="2"/>
      <c r="Y267" s="2"/>
    </row>
    <row r="268" spans="1:25" x14ac:dyDescent="0.3">
      <c r="A268" s="2">
        <v>45345</v>
      </c>
      <c r="B268" t="s">
        <v>21</v>
      </c>
      <c r="C268" s="4">
        <v>115</v>
      </c>
      <c r="D268" s="4">
        <v>66</v>
      </c>
      <c r="E268" s="4">
        <v>53.1</v>
      </c>
      <c r="F268" s="4">
        <v>5.96</v>
      </c>
      <c r="G268" s="4">
        <v>50.8</v>
      </c>
      <c r="H268" s="4">
        <v>2.48</v>
      </c>
      <c r="I268" s="4">
        <v>19.899999999999999</v>
      </c>
      <c r="J268" s="4">
        <v>63.2</v>
      </c>
      <c r="K268" s="4">
        <v>1.84</v>
      </c>
      <c r="L268" s="4">
        <v>191.66666666666671</v>
      </c>
      <c r="M268" s="4">
        <v>66</v>
      </c>
      <c r="N268" s="4">
        <v>66.375</v>
      </c>
      <c r="O268" s="4">
        <v>14.9</v>
      </c>
      <c r="P268" s="4">
        <v>127</v>
      </c>
      <c r="Q268" s="4">
        <v>124</v>
      </c>
      <c r="R268" s="4">
        <v>192</v>
      </c>
      <c r="S268" s="4" t="str" cm="1">
        <f t="array" ref="S268">_xlfn.IFS($R268&lt;=50,"Good",$R268&lt;=100,"Moderate",$R268&lt;=200,"Poor",$R268&lt;=300,"Very Poor",$R268&lt;=500,"Hazardous")</f>
        <v>Poor</v>
      </c>
      <c r="T268" t="s">
        <v>25</v>
      </c>
      <c r="X268" s="2"/>
      <c r="Y268" s="2"/>
    </row>
    <row r="269" spans="1:25" x14ac:dyDescent="0.3">
      <c r="A269" s="2">
        <v>45345</v>
      </c>
      <c r="B269" t="s">
        <v>22</v>
      </c>
      <c r="C269" s="4">
        <v>78.8</v>
      </c>
      <c r="D269" s="4">
        <v>335</v>
      </c>
      <c r="E269" s="4">
        <v>109.2</v>
      </c>
      <c r="F269" s="4">
        <v>2.2799999999999998</v>
      </c>
      <c r="G269" s="4">
        <v>51.9</v>
      </c>
      <c r="H269" s="4">
        <v>2.56</v>
      </c>
      <c r="I269" s="4">
        <v>17</v>
      </c>
      <c r="J269" s="4">
        <v>74.7</v>
      </c>
      <c r="K269" s="4">
        <v>4.3499999999999996</v>
      </c>
      <c r="L269" s="4">
        <v>131.33333333333329</v>
      </c>
      <c r="M269" s="4">
        <v>335</v>
      </c>
      <c r="N269" s="4">
        <v>136.5</v>
      </c>
      <c r="O269" s="4">
        <v>5.6999999999999993</v>
      </c>
      <c r="P269" s="4">
        <v>129.75</v>
      </c>
      <c r="Q269" s="4">
        <v>128</v>
      </c>
      <c r="R269" s="4">
        <v>335</v>
      </c>
      <c r="S269" s="4" t="str" cm="1">
        <f t="array" ref="S269">_xlfn.IFS($R269&lt;=50,"Good",$R269&lt;=100,"Moderate",$R269&lt;=200,"Poor",$R269&lt;=300,"Very Poor",$R269&lt;=500,"Hazardous")</f>
        <v>Hazardous</v>
      </c>
      <c r="T269" t="s">
        <v>28</v>
      </c>
      <c r="X269" s="2"/>
      <c r="Y269" s="2"/>
    </row>
    <row r="270" spans="1:25" x14ac:dyDescent="0.3">
      <c r="A270" s="2">
        <v>45345</v>
      </c>
      <c r="B270" t="s">
        <v>23</v>
      </c>
      <c r="C270" s="4">
        <v>42.1</v>
      </c>
      <c r="D270" s="4">
        <v>103.9</v>
      </c>
      <c r="E270" s="4">
        <v>104.6</v>
      </c>
      <c r="F270" s="4">
        <v>14.97</v>
      </c>
      <c r="G270" s="4">
        <v>48.4</v>
      </c>
      <c r="H270" s="4">
        <v>2.25</v>
      </c>
      <c r="I270" s="4">
        <v>27.7</v>
      </c>
      <c r="J270" s="4">
        <v>36.1</v>
      </c>
      <c r="K270" s="4">
        <v>3.76</v>
      </c>
      <c r="L270" s="4">
        <v>70.166666666666671</v>
      </c>
      <c r="M270" s="4">
        <v>103.9</v>
      </c>
      <c r="N270" s="4">
        <v>130.75</v>
      </c>
      <c r="O270" s="4">
        <v>37.424999999999997</v>
      </c>
      <c r="P270" s="4">
        <v>121</v>
      </c>
      <c r="Q270" s="4">
        <v>112.5</v>
      </c>
      <c r="R270" s="4">
        <v>131</v>
      </c>
      <c r="S270" s="4" t="str" cm="1">
        <f t="array" ref="S270">_xlfn.IFS($R270&lt;=50,"Good",$R270&lt;=100,"Moderate",$R270&lt;=200,"Poor",$R270&lt;=300,"Very Poor",$R270&lt;=500,"Hazardous")</f>
        <v>Poor</v>
      </c>
      <c r="T270" t="s">
        <v>26</v>
      </c>
      <c r="X270" s="2"/>
      <c r="Y270" s="2"/>
    </row>
    <row r="271" spans="1:25" x14ac:dyDescent="0.3">
      <c r="A271" s="2">
        <v>45345</v>
      </c>
      <c r="B271" t="s">
        <v>24</v>
      </c>
      <c r="C271" s="4">
        <v>167.4</v>
      </c>
      <c r="D271" s="4">
        <v>187</v>
      </c>
      <c r="E271" s="4">
        <v>77.7</v>
      </c>
      <c r="F271" s="4">
        <v>0.61</v>
      </c>
      <c r="G271" s="4">
        <v>52.3</v>
      </c>
      <c r="H271" s="4">
        <v>2.72</v>
      </c>
      <c r="I271" s="4">
        <v>24.6</v>
      </c>
      <c r="J271" s="4">
        <v>80.2</v>
      </c>
      <c r="K271" s="4">
        <v>2.6</v>
      </c>
      <c r="L271" s="4">
        <v>279</v>
      </c>
      <c r="M271" s="4">
        <v>187</v>
      </c>
      <c r="N271" s="4">
        <v>97.125</v>
      </c>
      <c r="O271" s="4">
        <v>1.5249999999999999</v>
      </c>
      <c r="P271" s="4">
        <v>130.75</v>
      </c>
      <c r="Q271" s="4">
        <v>136</v>
      </c>
      <c r="R271" s="4">
        <v>279</v>
      </c>
      <c r="S271" s="4" t="str" cm="1">
        <f t="array" ref="S271">_xlfn.IFS($R271&lt;=50,"Good",$R271&lt;=100,"Moderate",$R271&lt;=200,"Poor",$R271&lt;=300,"Very Poor",$R271&lt;=500,"Hazardous")</f>
        <v>Very Poor</v>
      </c>
      <c r="T271" t="s">
        <v>25</v>
      </c>
      <c r="X271" s="2"/>
      <c r="Y271" s="2"/>
    </row>
    <row r="272" spans="1:25" x14ac:dyDescent="0.3">
      <c r="A272" s="2">
        <v>45346</v>
      </c>
      <c r="B272" t="s">
        <v>20</v>
      </c>
      <c r="C272" s="4">
        <v>141.6</v>
      </c>
      <c r="D272" s="4">
        <v>108.2</v>
      </c>
      <c r="E272" s="4">
        <v>81.900000000000006</v>
      </c>
      <c r="F272" s="4">
        <v>13.12</v>
      </c>
      <c r="G272" s="4">
        <v>47.2</v>
      </c>
      <c r="H272" s="4">
        <v>1.8</v>
      </c>
      <c r="I272" s="4">
        <v>24.1</v>
      </c>
      <c r="J272" s="4">
        <v>74.900000000000006</v>
      </c>
      <c r="K272" s="4">
        <v>1.98</v>
      </c>
      <c r="L272" s="4">
        <v>236</v>
      </c>
      <c r="M272" s="4">
        <v>108.2</v>
      </c>
      <c r="N272" s="4">
        <v>102.375</v>
      </c>
      <c r="O272" s="4">
        <v>32.799999999999997</v>
      </c>
      <c r="P272" s="4">
        <v>118</v>
      </c>
      <c r="Q272" s="4">
        <v>90</v>
      </c>
      <c r="R272" s="4">
        <v>236</v>
      </c>
      <c r="S272" s="4" t="str" cm="1">
        <f t="array" ref="S272">_xlfn.IFS($R272&lt;=50,"Good",$R272&lt;=100,"Moderate",$R272&lt;=200,"Poor",$R272&lt;=300,"Very Poor",$R272&lt;=500,"Hazardous")</f>
        <v>Very Poor</v>
      </c>
      <c r="T272" t="s">
        <v>25</v>
      </c>
      <c r="X272" s="2"/>
      <c r="Y272" s="2"/>
    </row>
    <row r="273" spans="1:25" x14ac:dyDescent="0.3">
      <c r="A273" s="2">
        <v>45346</v>
      </c>
      <c r="B273" t="s">
        <v>21</v>
      </c>
      <c r="C273" s="4">
        <v>23.6</v>
      </c>
      <c r="D273" s="4">
        <v>450</v>
      </c>
      <c r="E273" s="4">
        <v>145.30000000000001</v>
      </c>
      <c r="F273" s="4">
        <v>3.08</v>
      </c>
      <c r="G273" s="4">
        <v>64.400000000000006</v>
      </c>
      <c r="H273" s="4">
        <v>1.8</v>
      </c>
      <c r="I273" s="4">
        <v>26.8</v>
      </c>
      <c r="J273" s="4">
        <v>65.3</v>
      </c>
      <c r="K273" s="4">
        <v>2.2200000000000002</v>
      </c>
      <c r="L273" s="4">
        <v>39.333333333333343</v>
      </c>
      <c r="M273" s="4">
        <v>450</v>
      </c>
      <c r="N273" s="4">
        <v>181.625</v>
      </c>
      <c r="O273" s="4">
        <v>7.7</v>
      </c>
      <c r="P273" s="4">
        <v>161</v>
      </c>
      <c r="Q273" s="4">
        <v>90</v>
      </c>
      <c r="R273" s="4">
        <v>450</v>
      </c>
      <c r="S273" s="4" t="str" cm="1">
        <f t="array" ref="S273">_xlfn.IFS($R273&lt;=50,"Good",$R273&lt;=100,"Moderate",$R273&lt;=200,"Poor",$R273&lt;=300,"Very Poor",$R273&lt;=500,"Hazardous")</f>
        <v>Hazardous</v>
      </c>
      <c r="T273" t="s">
        <v>28</v>
      </c>
      <c r="X273" s="2"/>
      <c r="Y273" s="2"/>
    </row>
    <row r="274" spans="1:25" x14ac:dyDescent="0.3">
      <c r="A274" s="2">
        <v>45346</v>
      </c>
      <c r="B274" t="s">
        <v>22</v>
      </c>
      <c r="C274" s="4">
        <v>55.5</v>
      </c>
      <c r="D274" s="4">
        <v>119.4</v>
      </c>
      <c r="E274" s="4">
        <v>40.5</v>
      </c>
      <c r="F274" s="4">
        <v>5.84</v>
      </c>
      <c r="G274" s="4">
        <v>32.799999999999997</v>
      </c>
      <c r="H274" s="4">
        <v>1.17</v>
      </c>
      <c r="I274" s="4">
        <v>29.8</v>
      </c>
      <c r="J274" s="4">
        <v>86.8</v>
      </c>
      <c r="K274" s="4">
        <v>1.8</v>
      </c>
      <c r="L274" s="4">
        <v>92.5</v>
      </c>
      <c r="M274" s="4">
        <v>119.4</v>
      </c>
      <c r="N274" s="4">
        <v>50.625</v>
      </c>
      <c r="O274" s="4">
        <v>14.6</v>
      </c>
      <c r="P274" s="4">
        <v>81.999999999999986</v>
      </c>
      <c r="Q274" s="4">
        <v>58.5</v>
      </c>
      <c r="R274" s="4">
        <v>119</v>
      </c>
      <c r="S274" s="4" t="str" cm="1">
        <f t="array" ref="S274">_xlfn.IFS($R274&lt;=50,"Good",$R274&lt;=100,"Moderate",$R274&lt;=200,"Poor",$R274&lt;=300,"Very Poor",$R274&lt;=500,"Hazardous")</f>
        <v>Poor</v>
      </c>
      <c r="T274" t="s">
        <v>28</v>
      </c>
      <c r="X274" s="2"/>
      <c r="Y274" s="2"/>
    </row>
    <row r="275" spans="1:25" x14ac:dyDescent="0.3">
      <c r="A275" s="2">
        <v>45346</v>
      </c>
      <c r="B275" t="s">
        <v>23</v>
      </c>
      <c r="C275" s="4">
        <v>107.5</v>
      </c>
      <c r="D275" s="4">
        <v>240</v>
      </c>
      <c r="E275" s="4">
        <v>87.1</v>
      </c>
      <c r="F275" s="4">
        <v>13.41</v>
      </c>
      <c r="G275" s="4">
        <v>52.7</v>
      </c>
      <c r="H275" s="4">
        <v>2.38</v>
      </c>
      <c r="I275" s="4">
        <v>16.3</v>
      </c>
      <c r="J275" s="4">
        <v>75.599999999999994</v>
      </c>
      <c r="K275" s="4">
        <v>3.56</v>
      </c>
      <c r="L275" s="4">
        <v>179.16666666666671</v>
      </c>
      <c r="M275" s="4">
        <v>240</v>
      </c>
      <c r="N275" s="4">
        <v>108.875</v>
      </c>
      <c r="O275" s="4">
        <v>33.524999999999999</v>
      </c>
      <c r="P275" s="4">
        <v>131.75</v>
      </c>
      <c r="Q275" s="4">
        <v>119</v>
      </c>
      <c r="R275" s="4">
        <v>240</v>
      </c>
      <c r="S275" s="4" t="str" cm="1">
        <f t="array" ref="S275">_xlfn.IFS($R275&lt;=50,"Good",$R275&lt;=100,"Moderate",$R275&lt;=200,"Poor",$R275&lt;=300,"Very Poor",$R275&lt;=500,"Hazardous")</f>
        <v>Very Poor</v>
      </c>
      <c r="T275" t="s">
        <v>28</v>
      </c>
      <c r="X275" s="2"/>
      <c r="Y275" s="2"/>
    </row>
    <row r="276" spans="1:25" x14ac:dyDescent="0.3">
      <c r="A276" s="2">
        <v>45346</v>
      </c>
      <c r="B276" t="s">
        <v>24</v>
      </c>
      <c r="C276" s="4">
        <v>65.3</v>
      </c>
      <c r="D276" s="4">
        <v>215.2</v>
      </c>
      <c r="E276" s="4">
        <v>103.3</v>
      </c>
      <c r="F276" s="4">
        <v>12.24</v>
      </c>
      <c r="G276" s="4">
        <v>66.2</v>
      </c>
      <c r="H276" s="4">
        <v>4.6100000000000003</v>
      </c>
      <c r="I276" s="4">
        <v>19.5</v>
      </c>
      <c r="J276" s="4">
        <v>35.1</v>
      </c>
      <c r="K276" s="4">
        <v>3.36</v>
      </c>
      <c r="L276" s="4">
        <v>108.8333333333333</v>
      </c>
      <c r="M276" s="4">
        <v>215.2</v>
      </c>
      <c r="N276" s="4">
        <v>129.125</v>
      </c>
      <c r="O276" s="4">
        <v>30.6</v>
      </c>
      <c r="P276" s="4">
        <v>165.5</v>
      </c>
      <c r="Q276" s="4">
        <v>230.5</v>
      </c>
      <c r="R276" s="4">
        <v>230</v>
      </c>
      <c r="S276" s="4" t="str" cm="1">
        <f t="array" ref="S276">_xlfn.IFS($R276&lt;=50,"Good",$R276&lt;=100,"Moderate",$R276&lt;=200,"Poor",$R276&lt;=300,"Very Poor",$R276&lt;=500,"Hazardous")</f>
        <v>Very Poor</v>
      </c>
      <c r="T276" t="s">
        <v>29</v>
      </c>
      <c r="X276" s="2"/>
      <c r="Y276" s="2"/>
    </row>
    <row r="277" spans="1:25" x14ac:dyDescent="0.3">
      <c r="A277" s="2">
        <v>45347</v>
      </c>
      <c r="B277" t="s">
        <v>20</v>
      </c>
      <c r="C277" s="4">
        <v>150.19999999999999</v>
      </c>
      <c r="D277" s="4">
        <v>195.3</v>
      </c>
      <c r="E277" s="4">
        <v>136.30000000000001</v>
      </c>
      <c r="F277" s="4">
        <v>2.4</v>
      </c>
      <c r="G277" s="4">
        <v>59.3</v>
      </c>
      <c r="H277" s="4">
        <v>1.54</v>
      </c>
      <c r="I277" s="4">
        <v>37</v>
      </c>
      <c r="J277" s="4">
        <v>95.9</v>
      </c>
      <c r="K277" s="4">
        <v>1.58</v>
      </c>
      <c r="L277" s="4">
        <v>250.33333333333329</v>
      </c>
      <c r="M277" s="4">
        <v>195.3</v>
      </c>
      <c r="N277" s="4">
        <v>170.375</v>
      </c>
      <c r="O277" s="4">
        <v>6</v>
      </c>
      <c r="P277" s="4">
        <v>148.25</v>
      </c>
      <c r="Q277" s="4">
        <v>77</v>
      </c>
      <c r="R277" s="4">
        <v>250</v>
      </c>
      <c r="S277" s="4" t="str" cm="1">
        <f t="array" ref="S277">_xlfn.IFS($R277&lt;=50,"Good",$R277&lt;=100,"Moderate",$R277&lt;=200,"Poor",$R277&lt;=300,"Very Poor",$R277&lt;=500,"Hazardous")</f>
        <v>Very Poor</v>
      </c>
      <c r="T277" t="s">
        <v>25</v>
      </c>
      <c r="X277" s="2"/>
      <c r="Y277" s="2"/>
    </row>
    <row r="278" spans="1:25" x14ac:dyDescent="0.3">
      <c r="A278" s="2">
        <v>45347</v>
      </c>
      <c r="B278" t="s">
        <v>21</v>
      </c>
      <c r="C278" s="4">
        <v>87</v>
      </c>
      <c r="D278" s="4">
        <v>343.2</v>
      </c>
      <c r="E278" s="4">
        <v>74.5</v>
      </c>
      <c r="F278" s="4">
        <v>15.55</v>
      </c>
      <c r="G278" s="4">
        <v>45.7</v>
      </c>
      <c r="H278" s="4">
        <v>0.1</v>
      </c>
      <c r="I278" s="4">
        <v>24.9</v>
      </c>
      <c r="J278" s="4">
        <v>47.6</v>
      </c>
      <c r="K278" s="4">
        <v>1.91</v>
      </c>
      <c r="L278" s="4">
        <v>145</v>
      </c>
      <c r="M278" s="4">
        <v>343.2</v>
      </c>
      <c r="N278" s="4">
        <v>93.125</v>
      </c>
      <c r="O278" s="4">
        <v>38.875</v>
      </c>
      <c r="P278" s="4">
        <v>114.25</v>
      </c>
      <c r="Q278" s="4">
        <v>5</v>
      </c>
      <c r="R278" s="4">
        <v>343</v>
      </c>
      <c r="S278" s="4" t="str" cm="1">
        <f t="array" ref="S278">_xlfn.IFS($R278&lt;=50,"Good",$R278&lt;=100,"Moderate",$R278&lt;=200,"Poor",$R278&lt;=300,"Very Poor",$R278&lt;=500,"Hazardous")</f>
        <v>Hazardous</v>
      </c>
      <c r="T278" t="s">
        <v>28</v>
      </c>
      <c r="X278" s="2"/>
      <c r="Y278" s="2"/>
    </row>
    <row r="279" spans="1:25" x14ac:dyDescent="0.3">
      <c r="A279" s="2">
        <v>45347</v>
      </c>
      <c r="B279" t="s">
        <v>22</v>
      </c>
      <c r="C279" s="4">
        <v>157</v>
      </c>
      <c r="D279" s="4">
        <v>67.8</v>
      </c>
      <c r="E279" s="4">
        <v>93.1</v>
      </c>
      <c r="F279" s="4">
        <v>10.039999999999999</v>
      </c>
      <c r="G279" s="4">
        <v>28.2</v>
      </c>
      <c r="H279" s="4">
        <v>2.54</v>
      </c>
      <c r="I279" s="4">
        <v>27.4</v>
      </c>
      <c r="J279" s="4">
        <v>70.3</v>
      </c>
      <c r="K279" s="4">
        <v>3.66</v>
      </c>
      <c r="L279" s="4">
        <v>261.66666666666669</v>
      </c>
      <c r="M279" s="4">
        <v>67.8</v>
      </c>
      <c r="N279" s="4">
        <v>116.375</v>
      </c>
      <c r="O279" s="4">
        <v>25.1</v>
      </c>
      <c r="P279" s="4">
        <v>70.5</v>
      </c>
      <c r="Q279" s="4">
        <v>127</v>
      </c>
      <c r="R279" s="4">
        <v>262</v>
      </c>
      <c r="S279" s="4" t="str" cm="1">
        <f t="array" ref="S279">_xlfn.IFS($R279&lt;=50,"Good",$R279&lt;=100,"Moderate",$R279&lt;=200,"Poor",$R279&lt;=300,"Very Poor",$R279&lt;=500,"Hazardous")</f>
        <v>Very Poor</v>
      </c>
      <c r="T279" t="s">
        <v>25</v>
      </c>
      <c r="X279" s="2"/>
      <c r="Y279" s="2"/>
    </row>
    <row r="280" spans="1:25" x14ac:dyDescent="0.3">
      <c r="A280" s="2">
        <v>45347</v>
      </c>
      <c r="B280" t="s">
        <v>23</v>
      </c>
      <c r="C280" s="4">
        <v>80.099999999999994</v>
      </c>
      <c r="D280" s="4">
        <v>133.19999999999999</v>
      </c>
      <c r="E280" s="4">
        <v>37.299999999999997</v>
      </c>
      <c r="F280" s="4">
        <v>6.2</v>
      </c>
      <c r="G280" s="4">
        <v>102.4</v>
      </c>
      <c r="H280" s="4">
        <v>3.11</v>
      </c>
      <c r="I280" s="4">
        <v>15.5</v>
      </c>
      <c r="J280" s="4">
        <v>36.200000000000003</v>
      </c>
      <c r="K280" s="4">
        <v>3.08</v>
      </c>
      <c r="L280" s="4">
        <v>133.5</v>
      </c>
      <c r="M280" s="4">
        <v>133.19999999999999</v>
      </c>
      <c r="N280" s="4">
        <v>46.625</v>
      </c>
      <c r="O280" s="4">
        <v>15.5</v>
      </c>
      <c r="P280" s="4">
        <v>256</v>
      </c>
      <c r="Q280" s="4">
        <v>155.5</v>
      </c>
      <c r="R280" s="4">
        <v>256</v>
      </c>
      <c r="S280" s="4" t="str" cm="1">
        <f t="array" ref="S280">_xlfn.IFS($R280&lt;=50,"Good",$R280&lt;=100,"Moderate",$R280&lt;=200,"Poor",$R280&lt;=300,"Very Poor",$R280&lt;=500,"Hazardous")</f>
        <v>Very Poor</v>
      </c>
      <c r="T280" t="s">
        <v>27</v>
      </c>
      <c r="X280" s="2"/>
      <c r="Y280" s="2"/>
    </row>
    <row r="281" spans="1:25" x14ac:dyDescent="0.3">
      <c r="A281" s="2">
        <v>45347</v>
      </c>
      <c r="B281" t="s">
        <v>24</v>
      </c>
      <c r="C281" s="4">
        <v>134.5</v>
      </c>
      <c r="D281" s="4">
        <v>269.2</v>
      </c>
      <c r="E281" s="4">
        <v>70.2</v>
      </c>
      <c r="F281" s="4">
        <v>12.98</v>
      </c>
      <c r="G281" s="4">
        <v>47.7</v>
      </c>
      <c r="H281" s="4">
        <v>2.2000000000000002</v>
      </c>
      <c r="I281" s="4">
        <v>9.5</v>
      </c>
      <c r="J281" s="4">
        <v>55.9</v>
      </c>
      <c r="K281" s="4">
        <v>1.98</v>
      </c>
      <c r="L281" s="4">
        <v>224.16666666666671</v>
      </c>
      <c r="M281" s="4">
        <v>269.2</v>
      </c>
      <c r="N281" s="4">
        <v>87.750000000000014</v>
      </c>
      <c r="O281" s="4">
        <v>32.450000000000003</v>
      </c>
      <c r="P281" s="4">
        <v>119.25</v>
      </c>
      <c r="Q281" s="4">
        <v>110</v>
      </c>
      <c r="R281" s="4">
        <v>269</v>
      </c>
      <c r="S281" s="4" t="str" cm="1">
        <f t="array" ref="S281">_xlfn.IFS($R281&lt;=50,"Good",$R281&lt;=100,"Moderate",$R281&lt;=200,"Poor",$R281&lt;=300,"Very Poor",$R281&lt;=500,"Hazardous")</f>
        <v>Very Poor</v>
      </c>
      <c r="T281" t="s">
        <v>28</v>
      </c>
      <c r="X281" s="2"/>
      <c r="Y281" s="2"/>
    </row>
    <row r="282" spans="1:25" x14ac:dyDescent="0.3">
      <c r="A282" s="2">
        <v>45348</v>
      </c>
      <c r="B282" t="s">
        <v>20</v>
      </c>
      <c r="C282" s="4">
        <v>120.1</v>
      </c>
      <c r="D282" s="4">
        <v>550.4</v>
      </c>
      <c r="E282" s="4">
        <v>96.3</v>
      </c>
      <c r="F282" s="4">
        <v>11.84</v>
      </c>
      <c r="G282" s="4">
        <v>65.3</v>
      </c>
      <c r="H282" s="4">
        <v>2.74</v>
      </c>
      <c r="I282" s="4">
        <v>27.9</v>
      </c>
      <c r="J282" s="4">
        <v>70.900000000000006</v>
      </c>
      <c r="K282" s="4">
        <v>4.97</v>
      </c>
      <c r="L282" s="4">
        <v>200.16666666666671</v>
      </c>
      <c r="M282" s="4">
        <v>500</v>
      </c>
      <c r="N282" s="4">
        <v>120.375</v>
      </c>
      <c r="O282" s="4">
        <v>29.6</v>
      </c>
      <c r="P282" s="4">
        <v>163.25</v>
      </c>
      <c r="Q282" s="4">
        <v>137</v>
      </c>
      <c r="R282" s="4">
        <v>500</v>
      </c>
      <c r="S282" s="4" t="str" cm="1">
        <f t="array" ref="S282">_xlfn.IFS($R282&lt;=50,"Good",$R282&lt;=100,"Moderate",$R282&lt;=200,"Poor",$R282&lt;=300,"Very Poor",$R282&lt;=500,"Hazardous")</f>
        <v>Hazardous</v>
      </c>
      <c r="T282" t="s">
        <v>28</v>
      </c>
      <c r="X282" s="2"/>
      <c r="Y282" s="2"/>
    </row>
    <row r="283" spans="1:25" x14ac:dyDescent="0.3">
      <c r="A283" s="2">
        <v>45348</v>
      </c>
      <c r="B283" t="s">
        <v>21</v>
      </c>
      <c r="C283" s="4">
        <v>52.1</v>
      </c>
      <c r="D283" s="4">
        <v>296.8</v>
      </c>
      <c r="E283" s="4">
        <v>52.9</v>
      </c>
      <c r="F283" s="4">
        <v>21.56</v>
      </c>
      <c r="G283" s="4">
        <v>19.2</v>
      </c>
      <c r="H283" s="4">
        <v>1.9</v>
      </c>
      <c r="I283" s="4">
        <v>22.9</v>
      </c>
      <c r="J283" s="4">
        <v>77.599999999999994</v>
      </c>
      <c r="K283" s="4">
        <v>3.6</v>
      </c>
      <c r="L283" s="4">
        <v>86.833333333333329</v>
      </c>
      <c r="M283" s="4">
        <v>296.8</v>
      </c>
      <c r="N283" s="4">
        <v>66.125</v>
      </c>
      <c r="O283" s="4">
        <v>53.9</v>
      </c>
      <c r="P283" s="4">
        <v>48</v>
      </c>
      <c r="Q283" s="4">
        <v>95</v>
      </c>
      <c r="R283" s="4">
        <v>297</v>
      </c>
      <c r="S283" s="4" t="str" cm="1">
        <f t="array" ref="S283">_xlfn.IFS($R283&lt;=50,"Good",$R283&lt;=100,"Moderate",$R283&lt;=200,"Poor",$R283&lt;=300,"Very Poor",$R283&lt;=500,"Hazardous")</f>
        <v>Very Poor</v>
      </c>
      <c r="T283" t="s">
        <v>28</v>
      </c>
      <c r="X283" s="2"/>
      <c r="Y283" s="2"/>
    </row>
    <row r="284" spans="1:25" x14ac:dyDescent="0.3">
      <c r="A284" s="2">
        <v>45348</v>
      </c>
      <c r="B284" t="s">
        <v>22</v>
      </c>
      <c r="C284" s="4">
        <v>34.4</v>
      </c>
      <c r="D284" s="4">
        <v>187.4</v>
      </c>
      <c r="E284" s="4">
        <v>46.8</v>
      </c>
      <c r="F284" s="4">
        <v>2.6</v>
      </c>
      <c r="G284" s="4">
        <v>29.6</v>
      </c>
      <c r="H284" s="4">
        <v>1.54</v>
      </c>
      <c r="I284" s="4">
        <v>42</v>
      </c>
      <c r="J284" s="4">
        <v>67.8</v>
      </c>
      <c r="K284" s="4">
        <v>0.85</v>
      </c>
      <c r="L284" s="4">
        <v>57.333333333333343</v>
      </c>
      <c r="M284" s="4">
        <v>187.4</v>
      </c>
      <c r="N284" s="4">
        <v>58.5</v>
      </c>
      <c r="O284" s="4">
        <v>6.5000000000000009</v>
      </c>
      <c r="P284" s="4">
        <v>74.000000000000014</v>
      </c>
      <c r="Q284" s="4">
        <v>77</v>
      </c>
      <c r="R284" s="4">
        <v>187</v>
      </c>
      <c r="S284" s="4" t="str" cm="1">
        <f t="array" ref="S284">_xlfn.IFS($R284&lt;=50,"Good",$R284&lt;=100,"Moderate",$R284&lt;=200,"Poor",$R284&lt;=300,"Very Poor",$R284&lt;=500,"Hazardous")</f>
        <v>Poor</v>
      </c>
      <c r="T284" t="s">
        <v>28</v>
      </c>
      <c r="X284" s="2"/>
      <c r="Y284" s="2"/>
    </row>
    <row r="285" spans="1:25" x14ac:dyDescent="0.3">
      <c r="A285" s="2">
        <v>45348</v>
      </c>
      <c r="B285" t="s">
        <v>23</v>
      </c>
      <c r="C285" s="4">
        <v>68.900000000000006</v>
      </c>
      <c r="D285" s="4">
        <v>290.10000000000002</v>
      </c>
      <c r="E285" s="4">
        <v>138.80000000000001</v>
      </c>
      <c r="F285" s="4">
        <v>0.5</v>
      </c>
      <c r="G285" s="4">
        <v>1</v>
      </c>
      <c r="H285" s="4">
        <v>3.72</v>
      </c>
      <c r="I285" s="4">
        <v>27.7</v>
      </c>
      <c r="J285" s="4">
        <v>44.4</v>
      </c>
      <c r="K285" s="4">
        <v>3.14</v>
      </c>
      <c r="L285" s="4">
        <v>114.8333333333333</v>
      </c>
      <c r="M285" s="4">
        <v>290.10000000000002</v>
      </c>
      <c r="N285" s="4">
        <v>173.5</v>
      </c>
      <c r="O285" s="4">
        <v>1.25</v>
      </c>
      <c r="P285" s="4">
        <v>2.5</v>
      </c>
      <c r="Q285" s="4">
        <v>186</v>
      </c>
      <c r="R285" s="4">
        <v>290</v>
      </c>
      <c r="S285" s="4" t="str" cm="1">
        <f t="array" ref="S285">_xlfn.IFS($R285&lt;=50,"Good",$R285&lt;=100,"Moderate",$R285&lt;=200,"Poor",$R285&lt;=300,"Very Poor",$R285&lt;=500,"Hazardous")</f>
        <v>Very Poor</v>
      </c>
      <c r="T285" t="s">
        <v>28</v>
      </c>
      <c r="X285" s="2"/>
      <c r="Y285" s="2"/>
    </row>
    <row r="286" spans="1:25" x14ac:dyDescent="0.3">
      <c r="A286" s="2">
        <v>45348</v>
      </c>
      <c r="B286" t="s">
        <v>24</v>
      </c>
      <c r="C286" s="4">
        <v>2</v>
      </c>
      <c r="D286" s="4">
        <v>211.6</v>
      </c>
      <c r="E286" s="4">
        <v>90.7</v>
      </c>
      <c r="F286" s="4">
        <v>22.21</v>
      </c>
      <c r="G286" s="4">
        <v>14.5</v>
      </c>
      <c r="H286" s="4">
        <v>2.2000000000000002</v>
      </c>
      <c r="I286" s="4">
        <v>18.5</v>
      </c>
      <c r="J286" s="4">
        <v>64.599999999999994</v>
      </c>
      <c r="K286" s="4">
        <v>1.93</v>
      </c>
      <c r="L286" s="4">
        <v>3.333333333333333</v>
      </c>
      <c r="M286" s="4">
        <v>211.6</v>
      </c>
      <c r="N286" s="4">
        <v>113.375</v>
      </c>
      <c r="O286" s="4">
        <v>55.525000000000013</v>
      </c>
      <c r="P286" s="4">
        <v>36.25</v>
      </c>
      <c r="Q286" s="4">
        <v>110</v>
      </c>
      <c r="R286" s="4">
        <v>212</v>
      </c>
      <c r="S286" s="4" t="str" cm="1">
        <f t="array" ref="S286">_xlfn.IFS($R286&lt;=50,"Good",$R286&lt;=100,"Moderate",$R286&lt;=200,"Poor",$R286&lt;=300,"Very Poor",$R286&lt;=500,"Hazardous")</f>
        <v>Very Poor</v>
      </c>
      <c r="T286" t="s">
        <v>28</v>
      </c>
      <c r="X286" s="2"/>
      <c r="Y286" s="2"/>
    </row>
    <row r="287" spans="1:25" x14ac:dyDescent="0.3">
      <c r="A287" s="2">
        <v>45349</v>
      </c>
      <c r="B287" t="s">
        <v>20</v>
      </c>
      <c r="C287" s="4">
        <v>87.9</v>
      </c>
      <c r="D287" s="4">
        <v>110.9</v>
      </c>
      <c r="E287" s="4">
        <v>106.8</v>
      </c>
      <c r="F287" s="4">
        <v>22.62</v>
      </c>
      <c r="G287" s="4">
        <v>35.299999999999997</v>
      </c>
      <c r="H287" s="4">
        <v>2.25</v>
      </c>
      <c r="I287" s="4">
        <v>14.9</v>
      </c>
      <c r="J287" s="4">
        <v>54.6</v>
      </c>
      <c r="K287" s="4">
        <v>2.44</v>
      </c>
      <c r="L287" s="4">
        <v>146.5</v>
      </c>
      <c r="M287" s="4">
        <v>110.9</v>
      </c>
      <c r="N287" s="4">
        <v>133.5</v>
      </c>
      <c r="O287" s="4">
        <v>56.55</v>
      </c>
      <c r="P287" s="4">
        <v>88.25</v>
      </c>
      <c r="Q287" s="4">
        <v>112.5</v>
      </c>
      <c r="R287" s="4">
        <v>147</v>
      </c>
      <c r="S287" s="4" t="str" cm="1">
        <f t="array" ref="S287">_xlfn.IFS($R287&lt;=50,"Good",$R287&lt;=100,"Moderate",$R287&lt;=200,"Poor",$R287&lt;=300,"Very Poor",$R287&lt;=500,"Hazardous")</f>
        <v>Poor</v>
      </c>
      <c r="T287" t="s">
        <v>25</v>
      </c>
      <c r="X287" s="2"/>
      <c r="Y287" s="2"/>
    </row>
    <row r="288" spans="1:25" x14ac:dyDescent="0.3">
      <c r="A288" s="2">
        <v>45349</v>
      </c>
      <c r="B288" t="s">
        <v>21</v>
      </c>
      <c r="C288" s="4">
        <v>277.2</v>
      </c>
      <c r="D288" s="4">
        <v>106.6</v>
      </c>
      <c r="E288" s="4">
        <v>148.6</v>
      </c>
      <c r="F288" s="4">
        <v>25.97</v>
      </c>
      <c r="G288" s="4">
        <v>52.9</v>
      </c>
      <c r="H288" s="4">
        <v>4.51</v>
      </c>
      <c r="I288" s="4">
        <v>27.6</v>
      </c>
      <c r="J288" s="4">
        <v>67</v>
      </c>
      <c r="K288" s="4">
        <v>2.44</v>
      </c>
      <c r="L288" s="4">
        <v>461.99999999999989</v>
      </c>
      <c r="M288" s="4">
        <v>106.6</v>
      </c>
      <c r="N288" s="4">
        <v>185.75</v>
      </c>
      <c r="O288" s="4">
        <v>64.924999999999997</v>
      </c>
      <c r="P288" s="4">
        <v>132.25</v>
      </c>
      <c r="Q288" s="4">
        <v>225.5</v>
      </c>
      <c r="R288" s="4">
        <v>462</v>
      </c>
      <c r="S288" s="4" t="str" cm="1">
        <f t="array" ref="S288">_xlfn.IFS($R288&lt;=50,"Good",$R288&lt;=100,"Moderate",$R288&lt;=200,"Poor",$R288&lt;=300,"Very Poor",$R288&lt;=500,"Hazardous")</f>
        <v>Hazardous</v>
      </c>
      <c r="T288" t="s">
        <v>25</v>
      </c>
      <c r="X288" s="2"/>
      <c r="Y288" s="2"/>
    </row>
    <row r="289" spans="1:25" x14ac:dyDescent="0.3">
      <c r="A289" s="2">
        <v>45349</v>
      </c>
      <c r="B289" t="s">
        <v>22</v>
      </c>
      <c r="C289" s="4">
        <v>147</v>
      </c>
      <c r="D289" s="4">
        <v>282.39999999999998</v>
      </c>
      <c r="E289" s="4">
        <v>49.4</v>
      </c>
      <c r="F289" s="4">
        <v>2.13</v>
      </c>
      <c r="G289" s="4">
        <v>29.9</v>
      </c>
      <c r="H289" s="4">
        <v>1.0900000000000001</v>
      </c>
      <c r="I289" s="4">
        <v>24.6</v>
      </c>
      <c r="J289" s="4">
        <v>82.3</v>
      </c>
      <c r="K289" s="4">
        <v>1.95</v>
      </c>
      <c r="L289" s="4">
        <v>245</v>
      </c>
      <c r="M289" s="4">
        <v>282.39999999999998</v>
      </c>
      <c r="N289" s="4">
        <v>61.75</v>
      </c>
      <c r="O289" s="4">
        <v>5.3250000000000002</v>
      </c>
      <c r="P289" s="4">
        <v>74.75</v>
      </c>
      <c r="Q289" s="4">
        <v>54.500000000000007</v>
      </c>
      <c r="R289" s="4">
        <v>282</v>
      </c>
      <c r="S289" s="4" t="str" cm="1">
        <f t="array" ref="S289">_xlfn.IFS($R289&lt;=50,"Good",$R289&lt;=100,"Moderate",$R289&lt;=200,"Poor",$R289&lt;=300,"Very Poor",$R289&lt;=500,"Hazardous")</f>
        <v>Very Poor</v>
      </c>
      <c r="T289" t="s">
        <v>28</v>
      </c>
      <c r="X289" s="2"/>
      <c r="Y289" s="2"/>
    </row>
    <row r="290" spans="1:25" x14ac:dyDescent="0.3">
      <c r="A290" s="2">
        <v>45349</v>
      </c>
      <c r="B290" t="s">
        <v>23</v>
      </c>
      <c r="C290" s="4">
        <v>93.9</v>
      </c>
      <c r="D290" s="4">
        <v>197.6</v>
      </c>
      <c r="E290" s="4">
        <v>99.1</v>
      </c>
      <c r="F290" s="4">
        <v>0.5</v>
      </c>
      <c r="G290" s="4">
        <v>22.3</v>
      </c>
      <c r="H290" s="4">
        <v>2.12</v>
      </c>
      <c r="I290" s="4">
        <v>33.4</v>
      </c>
      <c r="J290" s="4">
        <v>51.1</v>
      </c>
      <c r="K290" s="4">
        <v>0.25</v>
      </c>
      <c r="L290" s="4">
        <v>156.5</v>
      </c>
      <c r="M290" s="4">
        <v>197.6</v>
      </c>
      <c r="N290" s="4">
        <v>123.875</v>
      </c>
      <c r="O290" s="4">
        <v>1.25</v>
      </c>
      <c r="P290" s="4">
        <v>55.75</v>
      </c>
      <c r="Q290" s="4">
        <v>106</v>
      </c>
      <c r="R290" s="4">
        <v>198</v>
      </c>
      <c r="S290" s="4" t="str" cm="1">
        <f t="array" ref="S290">_xlfn.IFS($R290&lt;=50,"Good",$R290&lt;=100,"Moderate",$R290&lt;=200,"Poor",$R290&lt;=300,"Very Poor",$R290&lt;=500,"Hazardous")</f>
        <v>Poor</v>
      </c>
      <c r="T290" t="s">
        <v>28</v>
      </c>
      <c r="X290" s="2"/>
      <c r="Y290" s="2"/>
    </row>
    <row r="291" spans="1:25" x14ac:dyDescent="0.3">
      <c r="A291" s="2">
        <v>45349</v>
      </c>
      <c r="B291" t="s">
        <v>24</v>
      </c>
      <c r="C291" s="4">
        <v>138.30000000000001</v>
      </c>
      <c r="D291" s="4">
        <v>144.1</v>
      </c>
      <c r="E291" s="4">
        <v>37.299999999999997</v>
      </c>
      <c r="F291" s="4">
        <v>8.59</v>
      </c>
      <c r="G291" s="4">
        <v>35</v>
      </c>
      <c r="H291" s="4">
        <v>1.47</v>
      </c>
      <c r="I291" s="4">
        <v>9.6</v>
      </c>
      <c r="J291" s="4">
        <v>76.099999999999994</v>
      </c>
      <c r="K291" s="4">
        <v>4.53</v>
      </c>
      <c r="L291" s="4">
        <v>230.5</v>
      </c>
      <c r="M291" s="4">
        <v>144.1</v>
      </c>
      <c r="N291" s="4">
        <v>46.625</v>
      </c>
      <c r="O291" s="4">
        <v>21.475000000000001</v>
      </c>
      <c r="P291" s="4">
        <v>87.5</v>
      </c>
      <c r="Q291" s="4">
        <v>73.5</v>
      </c>
      <c r="R291" s="4">
        <v>230</v>
      </c>
      <c r="S291" s="4" t="str" cm="1">
        <f t="array" ref="S291">_xlfn.IFS($R291&lt;=50,"Good",$R291&lt;=100,"Moderate",$R291&lt;=200,"Poor",$R291&lt;=300,"Very Poor",$R291&lt;=500,"Hazardous")</f>
        <v>Very Poor</v>
      </c>
      <c r="T291" t="s">
        <v>25</v>
      </c>
      <c r="X291" s="2"/>
      <c r="Y291" s="2"/>
    </row>
    <row r="292" spans="1:25" x14ac:dyDescent="0.3">
      <c r="A292" s="2">
        <v>45350</v>
      </c>
      <c r="B292" t="s">
        <v>20</v>
      </c>
      <c r="C292" s="4">
        <v>146.4</v>
      </c>
      <c r="D292" s="4">
        <v>95.2</v>
      </c>
      <c r="E292" s="4">
        <v>75.400000000000006</v>
      </c>
      <c r="F292" s="4">
        <v>14.66</v>
      </c>
      <c r="G292" s="4">
        <v>56.9</v>
      </c>
      <c r="H292" s="4">
        <v>2.95</v>
      </c>
      <c r="I292" s="4">
        <v>19.899999999999999</v>
      </c>
      <c r="J292" s="4">
        <v>61.5</v>
      </c>
      <c r="K292" s="4">
        <v>3.05</v>
      </c>
      <c r="L292" s="4">
        <v>244</v>
      </c>
      <c r="M292" s="4">
        <v>95.2</v>
      </c>
      <c r="N292" s="4">
        <v>94.25</v>
      </c>
      <c r="O292" s="4">
        <v>36.65</v>
      </c>
      <c r="P292" s="4">
        <v>142.25</v>
      </c>
      <c r="Q292" s="4">
        <v>147.5</v>
      </c>
      <c r="R292" s="4">
        <v>244</v>
      </c>
      <c r="S292" s="4" t="str" cm="1">
        <f t="array" ref="S292">_xlfn.IFS($R292&lt;=50,"Good",$R292&lt;=100,"Moderate",$R292&lt;=200,"Poor",$R292&lt;=300,"Very Poor",$R292&lt;=500,"Hazardous")</f>
        <v>Very Poor</v>
      </c>
      <c r="T292" t="s">
        <v>25</v>
      </c>
      <c r="X292" s="2"/>
      <c r="Y292" s="2"/>
    </row>
    <row r="293" spans="1:25" x14ac:dyDescent="0.3">
      <c r="A293" s="2">
        <v>45350</v>
      </c>
      <c r="B293" t="s">
        <v>21</v>
      </c>
      <c r="C293" s="4">
        <v>207.3</v>
      </c>
      <c r="D293" s="4">
        <v>324.5</v>
      </c>
      <c r="E293" s="4">
        <v>121.6</v>
      </c>
      <c r="F293" s="4">
        <v>16.84</v>
      </c>
      <c r="G293" s="4">
        <v>84.7</v>
      </c>
      <c r="H293" s="4">
        <v>2.89</v>
      </c>
      <c r="I293" s="4">
        <v>19</v>
      </c>
      <c r="J293" s="4">
        <v>85.3</v>
      </c>
      <c r="K293" s="4">
        <v>3.34</v>
      </c>
      <c r="L293" s="4">
        <v>345.50000000000011</v>
      </c>
      <c r="M293" s="4">
        <v>324.5</v>
      </c>
      <c r="N293" s="4">
        <v>152</v>
      </c>
      <c r="O293" s="4">
        <v>42.1</v>
      </c>
      <c r="P293" s="4">
        <v>211.75</v>
      </c>
      <c r="Q293" s="4">
        <v>144.5</v>
      </c>
      <c r="R293" s="4">
        <v>346</v>
      </c>
      <c r="S293" s="4" t="str" cm="1">
        <f t="array" ref="S293">_xlfn.IFS($R293&lt;=50,"Good",$R293&lt;=100,"Moderate",$R293&lt;=200,"Poor",$R293&lt;=300,"Very Poor",$R293&lt;=500,"Hazardous")</f>
        <v>Hazardous</v>
      </c>
      <c r="T293" t="s">
        <v>25</v>
      </c>
      <c r="X293" s="2"/>
      <c r="Y293" s="2"/>
    </row>
    <row r="294" spans="1:25" x14ac:dyDescent="0.3">
      <c r="A294" s="2">
        <v>45350</v>
      </c>
      <c r="B294" t="s">
        <v>22</v>
      </c>
      <c r="C294" s="4">
        <v>71</v>
      </c>
      <c r="D294" s="4">
        <v>138.69999999999999</v>
      </c>
      <c r="E294" s="4">
        <v>77.400000000000006</v>
      </c>
      <c r="F294" s="4">
        <v>15.68</v>
      </c>
      <c r="G294" s="4">
        <v>38.4</v>
      </c>
      <c r="H294" s="4">
        <v>2.11</v>
      </c>
      <c r="I294" s="4">
        <v>36.9</v>
      </c>
      <c r="J294" s="4">
        <v>79.3</v>
      </c>
      <c r="K294" s="4">
        <v>2.73</v>
      </c>
      <c r="L294" s="4">
        <v>118.3333333333333</v>
      </c>
      <c r="M294" s="4">
        <v>138.69999999999999</v>
      </c>
      <c r="N294" s="4">
        <v>96.75</v>
      </c>
      <c r="O294" s="4">
        <v>39.200000000000003</v>
      </c>
      <c r="P294" s="4">
        <v>96</v>
      </c>
      <c r="Q294" s="4">
        <v>105.5</v>
      </c>
      <c r="R294" s="4">
        <v>139</v>
      </c>
      <c r="S294" s="4" t="str" cm="1">
        <f t="array" ref="S294">_xlfn.IFS($R294&lt;=50,"Good",$R294&lt;=100,"Moderate",$R294&lt;=200,"Poor",$R294&lt;=300,"Very Poor",$R294&lt;=500,"Hazardous")</f>
        <v>Poor</v>
      </c>
      <c r="T294" t="s">
        <v>28</v>
      </c>
      <c r="X294" s="2"/>
      <c r="Y294" s="2"/>
    </row>
    <row r="295" spans="1:25" x14ac:dyDescent="0.3">
      <c r="A295" s="2">
        <v>45350</v>
      </c>
      <c r="B295" t="s">
        <v>23</v>
      </c>
      <c r="C295" s="4">
        <v>141.19999999999999</v>
      </c>
      <c r="D295" s="4">
        <v>92.9</v>
      </c>
      <c r="E295" s="4">
        <v>84.7</v>
      </c>
      <c r="F295" s="4">
        <v>27.27</v>
      </c>
      <c r="G295" s="4">
        <v>31.1</v>
      </c>
      <c r="H295" s="4">
        <v>1.1100000000000001</v>
      </c>
      <c r="I295" s="4">
        <v>20.399999999999999</v>
      </c>
      <c r="J295" s="4">
        <v>40.4</v>
      </c>
      <c r="K295" s="4">
        <v>1.56</v>
      </c>
      <c r="L295" s="4">
        <v>235.33333333333329</v>
      </c>
      <c r="M295" s="4">
        <v>92.9</v>
      </c>
      <c r="N295" s="4">
        <v>105.875</v>
      </c>
      <c r="O295" s="4">
        <v>68.174999999999997</v>
      </c>
      <c r="P295" s="4">
        <v>77.75</v>
      </c>
      <c r="Q295" s="4">
        <v>55.500000000000007</v>
      </c>
      <c r="R295" s="4">
        <v>235</v>
      </c>
      <c r="S295" s="4" t="str" cm="1">
        <f t="array" ref="S295">_xlfn.IFS($R295&lt;=50,"Good",$R295&lt;=100,"Moderate",$R295&lt;=200,"Poor",$R295&lt;=300,"Very Poor",$R295&lt;=500,"Hazardous")</f>
        <v>Very Poor</v>
      </c>
      <c r="T295" t="s">
        <v>25</v>
      </c>
      <c r="X295" s="2"/>
      <c r="Y295" s="2"/>
    </row>
    <row r="296" spans="1:25" x14ac:dyDescent="0.3">
      <c r="A296" s="2">
        <v>45350</v>
      </c>
      <c r="B296" t="s">
        <v>24</v>
      </c>
      <c r="C296" s="4">
        <v>86</v>
      </c>
      <c r="D296" s="4">
        <v>62.8</v>
      </c>
      <c r="E296" s="4">
        <v>79.7</v>
      </c>
      <c r="F296" s="4">
        <v>22.02</v>
      </c>
      <c r="G296" s="4">
        <v>17.100000000000001</v>
      </c>
      <c r="H296" s="4">
        <v>3.72</v>
      </c>
      <c r="I296" s="4">
        <v>28.6</v>
      </c>
      <c r="J296" s="4">
        <v>78.599999999999994</v>
      </c>
      <c r="K296" s="4">
        <v>2.21</v>
      </c>
      <c r="L296" s="4">
        <v>143.33333333333329</v>
      </c>
      <c r="M296" s="4">
        <v>62.8</v>
      </c>
      <c r="N296" s="4">
        <v>99.625</v>
      </c>
      <c r="O296" s="4">
        <v>55.05</v>
      </c>
      <c r="P296" s="4">
        <v>42.75</v>
      </c>
      <c r="Q296" s="4">
        <v>186</v>
      </c>
      <c r="R296" s="4">
        <v>186</v>
      </c>
      <c r="S296" s="4" t="str" cm="1">
        <f t="array" ref="S296">_xlfn.IFS($R296&lt;=50,"Good",$R296&lt;=100,"Moderate",$R296&lt;=200,"Poor",$R296&lt;=300,"Very Poor",$R296&lt;=500,"Hazardous")</f>
        <v>Poor</v>
      </c>
      <c r="T296" t="s">
        <v>29</v>
      </c>
      <c r="X296" s="2"/>
      <c r="Y296" s="2"/>
    </row>
    <row r="297" spans="1:25" x14ac:dyDescent="0.3">
      <c r="A297" s="2">
        <v>45351</v>
      </c>
      <c r="B297" t="s">
        <v>20</v>
      </c>
      <c r="C297" s="4">
        <v>157.6</v>
      </c>
      <c r="D297" s="4">
        <v>100.3</v>
      </c>
      <c r="E297" s="4">
        <v>115.6</v>
      </c>
      <c r="F297" s="4">
        <v>16.3</v>
      </c>
      <c r="G297" s="4">
        <v>55.7</v>
      </c>
      <c r="H297" s="4">
        <v>0.91</v>
      </c>
      <c r="I297" s="4">
        <v>18.7</v>
      </c>
      <c r="J297" s="4">
        <v>70.8</v>
      </c>
      <c r="K297" s="4">
        <v>1.36</v>
      </c>
      <c r="L297" s="4">
        <v>262.66666666666669</v>
      </c>
      <c r="M297" s="4">
        <v>100.3</v>
      </c>
      <c r="N297" s="4">
        <v>144.5</v>
      </c>
      <c r="O297" s="4">
        <v>40.75</v>
      </c>
      <c r="P297" s="4">
        <v>139.25</v>
      </c>
      <c r="Q297" s="4">
        <v>45.5</v>
      </c>
      <c r="R297" s="4">
        <v>263</v>
      </c>
      <c r="S297" s="4" t="str" cm="1">
        <f t="array" ref="S297">_xlfn.IFS($R297&lt;=50,"Good",$R297&lt;=100,"Moderate",$R297&lt;=200,"Poor",$R297&lt;=300,"Very Poor",$R297&lt;=500,"Hazardous")</f>
        <v>Very Poor</v>
      </c>
      <c r="T297" t="s">
        <v>25</v>
      </c>
      <c r="X297" s="2"/>
      <c r="Y297" s="2"/>
    </row>
    <row r="298" spans="1:25" x14ac:dyDescent="0.3">
      <c r="A298" s="2">
        <v>45351</v>
      </c>
      <c r="B298" t="s">
        <v>21</v>
      </c>
      <c r="C298" s="4">
        <v>147.80000000000001</v>
      </c>
      <c r="D298" s="4">
        <v>75.900000000000006</v>
      </c>
      <c r="E298" s="4">
        <v>123.9</v>
      </c>
      <c r="F298" s="4">
        <v>3.67</v>
      </c>
      <c r="G298" s="4">
        <v>60.5</v>
      </c>
      <c r="H298" s="4">
        <v>3.15</v>
      </c>
      <c r="I298" s="4">
        <v>20.100000000000001</v>
      </c>
      <c r="J298" s="4">
        <v>70.5</v>
      </c>
      <c r="K298" s="4">
        <v>2.81</v>
      </c>
      <c r="L298" s="4">
        <v>246.33333333333329</v>
      </c>
      <c r="M298" s="4">
        <v>75.900000000000006</v>
      </c>
      <c r="N298" s="4">
        <v>154.875</v>
      </c>
      <c r="O298" s="4">
        <v>9.1749999999999989</v>
      </c>
      <c r="P298" s="4">
        <v>151.25</v>
      </c>
      <c r="Q298" s="4">
        <v>157.5</v>
      </c>
      <c r="R298" s="4">
        <v>246</v>
      </c>
      <c r="S298" s="4" t="str" cm="1">
        <f t="array" ref="S298">_xlfn.IFS($R298&lt;=50,"Good",$R298&lt;=100,"Moderate",$R298&lt;=200,"Poor",$R298&lt;=300,"Very Poor",$R298&lt;=500,"Hazardous")</f>
        <v>Very Poor</v>
      </c>
      <c r="T298" t="s">
        <v>25</v>
      </c>
      <c r="X298" s="2"/>
      <c r="Y298" s="2"/>
    </row>
    <row r="299" spans="1:25" x14ac:dyDescent="0.3">
      <c r="A299" s="2">
        <v>45351</v>
      </c>
      <c r="B299" t="s">
        <v>22</v>
      </c>
      <c r="C299" s="4">
        <v>66.599999999999994</v>
      </c>
      <c r="D299" s="4">
        <v>90.4</v>
      </c>
      <c r="E299" s="4">
        <v>8.6999999999999993</v>
      </c>
      <c r="F299" s="4">
        <v>14.82</v>
      </c>
      <c r="G299" s="4">
        <v>1</v>
      </c>
      <c r="H299" s="4">
        <v>1.91</v>
      </c>
      <c r="I299" s="4">
        <v>23.2</v>
      </c>
      <c r="J299" s="4">
        <v>72.2</v>
      </c>
      <c r="K299" s="4">
        <v>2.14</v>
      </c>
      <c r="L299" s="4">
        <v>111</v>
      </c>
      <c r="M299" s="4">
        <v>90.4</v>
      </c>
      <c r="N299" s="4">
        <v>10.875</v>
      </c>
      <c r="O299" s="4">
        <v>37.049999999999997</v>
      </c>
      <c r="P299" s="4">
        <v>2.5</v>
      </c>
      <c r="Q299" s="4">
        <v>95.5</v>
      </c>
      <c r="R299" s="4">
        <v>111</v>
      </c>
      <c r="S299" s="4" t="str" cm="1">
        <f t="array" ref="S299">_xlfn.IFS($R299&lt;=50,"Good",$R299&lt;=100,"Moderate",$R299&lt;=200,"Poor",$R299&lt;=300,"Very Poor",$R299&lt;=500,"Hazardous")</f>
        <v>Poor</v>
      </c>
      <c r="T299" t="s">
        <v>25</v>
      </c>
      <c r="X299" s="2"/>
      <c r="Y299" s="2"/>
    </row>
    <row r="300" spans="1:25" x14ac:dyDescent="0.3">
      <c r="A300" s="2">
        <v>45351</v>
      </c>
      <c r="B300" t="s">
        <v>23</v>
      </c>
      <c r="C300" s="4">
        <v>80.2</v>
      </c>
      <c r="D300" s="4">
        <v>262.3</v>
      </c>
      <c r="E300" s="4">
        <v>82.7</v>
      </c>
      <c r="F300" s="4">
        <v>15.33</v>
      </c>
      <c r="G300" s="4">
        <v>46.6</v>
      </c>
      <c r="H300" s="4">
        <v>0.45</v>
      </c>
      <c r="I300" s="4">
        <v>30.3</v>
      </c>
      <c r="J300" s="4">
        <v>71</v>
      </c>
      <c r="K300" s="4">
        <v>1.28</v>
      </c>
      <c r="L300" s="4">
        <v>133.66666666666671</v>
      </c>
      <c r="M300" s="4">
        <v>262.3</v>
      </c>
      <c r="N300" s="4">
        <v>103.375</v>
      </c>
      <c r="O300" s="4">
        <v>38.325000000000003</v>
      </c>
      <c r="P300" s="4">
        <v>116.5</v>
      </c>
      <c r="Q300" s="4">
        <v>22.5</v>
      </c>
      <c r="R300" s="4">
        <v>262</v>
      </c>
      <c r="S300" s="4" t="str" cm="1">
        <f t="array" ref="S300">_xlfn.IFS($R300&lt;=50,"Good",$R300&lt;=100,"Moderate",$R300&lt;=200,"Poor",$R300&lt;=300,"Very Poor",$R300&lt;=500,"Hazardous")</f>
        <v>Very Poor</v>
      </c>
      <c r="T300" t="s">
        <v>28</v>
      </c>
      <c r="X300" s="2"/>
      <c r="Y300" s="2"/>
    </row>
    <row r="301" spans="1:25" x14ac:dyDescent="0.3">
      <c r="A301" s="2">
        <v>45351</v>
      </c>
      <c r="B301" t="s">
        <v>24</v>
      </c>
      <c r="C301" s="4">
        <v>92.7</v>
      </c>
      <c r="D301" s="4">
        <v>207</v>
      </c>
      <c r="E301" s="4">
        <v>74.5</v>
      </c>
      <c r="F301" s="4">
        <v>17.02</v>
      </c>
      <c r="G301" s="4">
        <v>75</v>
      </c>
      <c r="H301" s="4">
        <v>3.25</v>
      </c>
      <c r="I301" s="4">
        <v>15.8</v>
      </c>
      <c r="J301" s="4">
        <v>71.2</v>
      </c>
      <c r="K301" s="4">
        <v>4.59</v>
      </c>
      <c r="L301" s="4">
        <v>154.5</v>
      </c>
      <c r="M301" s="4">
        <v>207</v>
      </c>
      <c r="N301" s="4">
        <v>93.125</v>
      </c>
      <c r="O301" s="4">
        <v>42.55</v>
      </c>
      <c r="P301" s="4">
        <v>187.5</v>
      </c>
      <c r="Q301" s="4">
        <v>162.5</v>
      </c>
      <c r="R301" s="4">
        <v>207</v>
      </c>
      <c r="S301" s="4" t="str" cm="1">
        <f t="array" ref="S301">_xlfn.IFS($R301&lt;=50,"Good",$R301&lt;=100,"Moderate",$R301&lt;=200,"Poor",$R301&lt;=300,"Very Poor",$R301&lt;=500,"Hazardous")</f>
        <v>Very Poor</v>
      </c>
      <c r="T301" t="s">
        <v>28</v>
      </c>
      <c r="X301" s="2"/>
      <c r="Y301" s="2"/>
    </row>
    <row r="302" spans="1:25" x14ac:dyDescent="0.3">
      <c r="A302" s="2">
        <v>45352</v>
      </c>
      <c r="B302" t="s">
        <v>20</v>
      </c>
      <c r="C302" s="4">
        <v>82.3</v>
      </c>
      <c r="D302" s="4">
        <v>213.3</v>
      </c>
      <c r="E302" s="4">
        <v>98</v>
      </c>
      <c r="F302" s="4">
        <v>15.09</v>
      </c>
      <c r="G302" s="4">
        <v>53.2</v>
      </c>
      <c r="H302" s="4">
        <v>2.1</v>
      </c>
      <c r="I302" s="4">
        <v>26</v>
      </c>
      <c r="J302" s="4">
        <v>50.4</v>
      </c>
      <c r="K302" s="4">
        <v>2.08</v>
      </c>
      <c r="L302" s="4">
        <v>137.16666666666671</v>
      </c>
      <c r="M302" s="4">
        <v>213.3</v>
      </c>
      <c r="N302" s="4">
        <v>122.5</v>
      </c>
      <c r="O302" s="4">
        <v>37.725000000000001</v>
      </c>
      <c r="P302" s="4">
        <v>133</v>
      </c>
      <c r="Q302" s="4">
        <v>105</v>
      </c>
      <c r="R302" s="4">
        <v>213</v>
      </c>
      <c r="S302" s="4" t="str" cm="1">
        <f t="array" ref="S302">_xlfn.IFS($R302&lt;=50,"Good",$R302&lt;=100,"Moderate",$R302&lt;=200,"Poor",$R302&lt;=300,"Very Poor",$R302&lt;=500,"Hazardous")</f>
        <v>Very Poor</v>
      </c>
      <c r="T302" t="s">
        <v>28</v>
      </c>
      <c r="X302" s="2"/>
      <c r="Y302" s="2"/>
    </row>
    <row r="303" spans="1:25" x14ac:dyDescent="0.3">
      <c r="A303" s="2">
        <v>45352</v>
      </c>
      <c r="B303" t="s">
        <v>21</v>
      </c>
      <c r="C303" s="4">
        <v>133.6</v>
      </c>
      <c r="D303" s="4">
        <v>88.6</v>
      </c>
      <c r="E303" s="4">
        <v>94.6</v>
      </c>
      <c r="F303" s="4">
        <v>13.12</v>
      </c>
      <c r="G303" s="4">
        <v>6.3</v>
      </c>
      <c r="H303" s="4">
        <v>1.78</v>
      </c>
      <c r="I303" s="4">
        <v>10.3</v>
      </c>
      <c r="J303" s="4">
        <v>61.3</v>
      </c>
      <c r="K303" s="4">
        <v>3.56</v>
      </c>
      <c r="L303" s="4">
        <v>222.66666666666671</v>
      </c>
      <c r="M303" s="4">
        <v>88.6</v>
      </c>
      <c r="N303" s="4">
        <v>118.25</v>
      </c>
      <c r="O303" s="4">
        <v>32.799999999999997</v>
      </c>
      <c r="P303" s="4">
        <v>15.75</v>
      </c>
      <c r="Q303" s="4">
        <v>89</v>
      </c>
      <c r="R303" s="4">
        <v>223</v>
      </c>
      <c r="S303" s="4" t="str" cm="1">
        <f t="array" ref="S303">_xlfn.IFS($R303&lt;=50,"Good",$R303&lt;=100,"Moderate",$R303&lt;=200,"Poor",$R303&lt;=300,"Very Poor",$R303&lt;=500,"Hazardous")</f>
        <v>Very Poor</v>
      </c>
      <c r="T303" t="s">
        <v>25</v>
      </c>
      <c r="X303" s="2"/>
      <c r="Y303" s="2"/>
    </row>
    <row r="304" spans="1:25" x14ac:dyDescent="0.3">
      <c r="A304" s="2">
        <v>45352</v>
      </c>
      <c r="B304" t="s">
        <v>22</v>
      </c>
      <c r="C304" s="4">
        <v>40.1</v>
      </c>
      <c r="D304" s="4">
        <v>121</v>
      </c>
      <c r="E304" s="4">
        <v>79.900000000000006</v>
      </c>
      <c r="F304" s="4">
        <v>5.2</v>
      </c>
      <c r="G304" s="4">
        <v>12.9</v>
      </c>
      <c r="H304" s="4">
        <v>1.98</v>
      </c>
      <c r="I304" s="4">
        <v>38.700000000000003</v>
      </c>
      <c r="J304" s="4">
        <v>50.1</v>
      </c>
      <c r="K304" s="4">
        <v>3.71</v>
      </c>
      <c r="L304" s="4">
        <v>66.833333333333343</v>
      </c>
      <c r="M304" s="4">
        <v>121</v>
      </c>
      <c r="N304" s="4">
        <v>99.875</v>
      </c>
      <c r="O304" s="4">
        <v>13</v>
      </c>
      <c r="P304" s="4">
        <v>32.25</v>
      </c>
      <c r="Q304" s="4">
        <v>99</v>
      </c>
      <c r="R304" s="4">
        <v>121</v>
      </c>
      <c r="S304" s="4" t="str" cm="1">
        <f t="array" ref="S304">_xlfn.IFS($R304&lt;=50,"Good",$R304&lt;=100,"Moderate",$R304&lt;=200,"Poor",$R304&lt;=300,"Very Poor",$R304&lt;=500,"Hazardous")</f>
        <v>Poor</v>
      </c>
      <c r="T304" t="s">
        <v>28</v>
      </c>
      <c r="X304" s="2"/>
      <c r="Y304" s="2"/>
    </row>
    <row r="305" spans="1:25" x14ac:dyDescent="0.3">
      <c r="A305" s="2">
        <v>45352</v>
      </c>
      <c r="B305" t="s">
        <v>23</v>
      </c>
      <c r="C305" s="4">
        <v>100.2</v>
      </c>
      <c r="D305" s="4">
        <v>75.5</v>
      </c>
      <c r="E305" s="4">
        <v>35.299999999999997</v>
      </c>
      <c r="F305" s="4">
        <v>14.15</v>
      </c>
      <c r="G305" s="4">
        <v>82.1</v>
      </c>
      <c r="H305" s="4">
        <v>1.54</v>
      </c>
      <c r="I305" s="4">
        <v>18.8</v>
      </c>
      <c r="J305" s="4">
        <v>85.8</v>
      </c>
      <c r="K305" s="4">
        <v>1.86</v>
      </c>
      <c r="L305" s="4">
        <v>167</v>
      </c>
      <c r="M305" s="4">
        <v>75.5</v>
      </c>
      <c r="N305" s="4">
        <v>44.125</v>
      </c>
      <c r="O305" s="4">
        <v>35.375000000000007</v>
      </c>
      <c r="P305" s="4">
        <v>205.25</v>
      </c>
      <c r="Q305" s="4">
        <v>77</v>
      </c>
      <c r="R305" s="4">
        <v>205</v>
      </c>
      <c r="S305" s="4" t="str" cm="1">
        <f t="array" ref="S305">_xlfn.IFS($R305&lt;=50,"Good",$R305&lt;=100,"Moderate",$R305&lt;=200,"Poor",$R305&lt;=300,"Very Poor",$R305&lt;=500,"Hazardous")</f>
        <v>Very Poor</v>
      </c>
      <c r="T305" t="s">
        <v>27</v>
      </c>
      <c r="X305" s="2"/>
      <c r="Y305" s="2"/>
    </row>
    <row r="306" spans="1:25" x14ac:dyDescent="0.3">
      <c r="A306" s="2">
        <v>45352</v>
      </c>
      <c r="B306" t="s">
        <v>24</v>
      </c>
      <c r="C306" s="4">
        <v>54.9</v>
      </c>
      <c r="D306" s="4">
        <v>154.6</v>
      </c>
      <c r="E306" s="4">
        <v>83.7</v>
      </c>
      <c r="F306" s="4">
        <v>13.5</v>
      </c>
      <c r="G306" s="4">
        <v>55.4</v>
      </c>
      <c r="H306" s="4">
        <v>1.63</v>
      </c>
      <c r="I306" s="4">
        <v>25.3</v>
      </c>
      <c r="J306" s="4">
        <v>60</v>
      </c>
      <c r="K306" s="4">
        <v>0.2</v>
      </c>
      <c r="L306" s="4">
        <v>91.5</v>
      </c>
      <c r="M306" s="4">
        <v>154.6</v>
      </c>
      <c r="N306" s="4">
        <v>104.625</v>
      </c>
      <c r="O306" s="4">
        <v>33.75</v>
      </c>
      <c r="P306" s="4">
        <v>138.5</v>
      </c>
      <c r="Q306" s="4">
        <v>81.499999999999986</v>
      </c>
      <c r="R306" s="4">
        <v>155</v>
      </c>
      <c r="S306" s="4" t="str" cm="1">
        <f t="array" ref="S306">_xlfn.IFS($R306&lt;=50,"Good",$R306&lt;=100,"Moderate",$R306&lt;=200,"Poor",$R306&lt;=300,"Very Poor",$R306&lt;=500,"Hazardous")</f>
        <v>Poor</v>
      </c>
      <c r="T306" t="s">
        <v>28</v>
      </c>
      <c r="X306" s="2"/>
      <c r="Y306" s="2"/>
    </row>
    <row r="307" spans="1:25" x14ac:dyDescent="0.3">
      <c r="A307" s="2">
        <v>45353</v>
      </c>
      <c r="B307" t="s">
        <v>20</v>
      </c>
      <c r="C307" s="4">
        <v>58.8</v>
      </c>
      <c r="D307" s="4">
        <v>154.69999999999999</v>
      </c>
      <c r="E307" s="4">
        <v>25.3</v>
      </c>
      <c r="F307" s="4">
        <v>11.42</v>
      </c>
      <c r="G307" s="4">
        <v>40.1</v>
      </c>
      <c r="H307" s="4">
        <v>2.59</v>
      </c>
      <c r="I307" s="4">
        <v>36</v>
      </c>
      <c r="J307" s="4">
        <v>41.6</v>
      </c>
      <c r="K307" s="4">
        <v>2.3199999999999998</v>
      </c>
      <c r="L307" s="4">
        <v>97.999999999999986</v>
      </c>
      <c r="M307" s="4">
        <v>154.69999999999999</v>
      </c>
      <c r="N307" s="4">
        <v>31.625</v>
      </c>
      <c r="O307" s="4">
        <v>28.55</v>
      </c>
      <c r="P307" s="4">
        <v>100.25</v>
      </c>
      <c r="Q307" s="4">
        <v>129.5</v>
      </c>
      <c r="R307" s="4">
        <v>155</v>
      </c>
      <c r="S307" s="4" t="str" cm="1">
        <f t="array" ref="S307">_xlfn.IFS($R307&lt;=50,"Good",$R307&lt;=100,"Moderate",$R307&lt;=200,"Poor",$R307&lt;=300,"Very Poor",$R307&lt;=500,"Hazardous")</f>
        <v>Poor</v>
      </c>
      <c r="T307" t="s">
        <v>28</v>
      </c>
      <c r="X307" s="2"/>
      <c r="Y307" s="2"/>
    </row>
    <row r="308" spans="1:25" x14ac:dyDescent="0.3">
      <c r="A308" s="2">
        <v>45353</v>
      </c>
      <c r="B308" t="s">
        <v>21</v>
      </c>
      <c r="C308" s="4">
        <v>72.2</v>
      </c>
      <c r="D308" s="4">
        <v>116.1</v>
      </c>
      <c r="E308" s="4">
        <v>61.1</v>
      </c>
      <c r="F308" s="4">
        <v>5.26</v>
      </c>
      <c r="G308" s="4">
        <v>14.7</v>
      </c>
      <c r="H308" s="4">
        <v>1.97</v>
      </c>
      <c r="I308" s="4">
        <v>29.4</v>
      </c>
      <c r="J308" s="4">
        <v>35.5</v>
      </c>
      <c r="K308" s="4">
        <v>3.57</v>
      </c>
      <c r="L308" s="4">
        <v>120.3333333333333</v>
      </c>
      <c r="M308" s="4">
        <v>116.1</v>
      </c>
      <c r="N308" s="4">
        <v>76.375</v>
      </c>
      <c r="O308" s="4">
        <v>13.15</v>
      </c>
      <c r="P308" s="4">
        <v>36.75</v>
      </c>
      <c r="Q308" s="4">
        <v>98.5</v>
      </c>
      <c r="R308" s="4">
        <v>120</v>
      </c>
      <c r="S308" s="4" t="str" cm="1">
        <f t="array" ref="S308">_xlfn.IFS($R308&lt;=50,"Good",$R308&lt;=100,"Moderate",$R308&lt;=200,"Poor",$R308&lt;=300,"Very Poor",$R308&lt;=500,"Hazardous")</f>
        <v>Poor</v>
      </c>
      <c r="T308" t="s">
        <v>25</v>
      </c>
      <c r="X308" s="2"/>
      <c r="Y308" s="2"/>
    </row>
    <row r="309" spans="1:25" x14ac:dyDescent="0.3">
      <c r="A309" s="2">
        <v>45353</v>
      </c>
      <c r="B309" t="s">
        <v>22</v>
      </c>
      <c r="C309" s="4">
        <v>39</v>
      </c>
      <c r="D309" s="4">
        <v>128.4</v>
      </c>
      <c r="E309" s="4">
        <v>58.3</v>
      </c>
      <c r="F309" s="4">
        <v>7.44</v>
      </c>
      <c r="G309" s="4">
        <v>48.8</v>
      </c>
      <c r="H309" s="4">
        <v>0.85</v>
      </c>
      <c r="I309" s="4">
        <v>23.6</v>
      </c>
      <c r="J309" s="4">
        <v>46.3</v>
      </c>
      <c r="K309" s="4">
        <v>1.6</v>
      </c>
      <c r="L309" s="4">
        <v>65</v>
      </c>
      <c r="M309" s="4">
        <v>128.4</v>
      </c>
      <c r="N309" s="4">
        <v>72.875</v>
      </c>
      <c r="O309" s="4">
        <v>18.600000000000001</v>
      </c>
      <c r="P309" s="4">
        <v>122</v>
      </c>
      <c r="Q309" s="4">
        <v>42.499999999999993</v>
      </c>
      <c r="R309" s="4">
        <v>128</v>
      </c>
      <c r="S309" s="4" t="str" cm="1">
        <f t="array" ref="S309">_xlfn.IFS($R309&lt;=50,"Good",$R309&lt;=100,"Moderate",$R309&lt;=200,"Poor",$R309&lt;=300,"Very Poor",$R309&lt;=500,"Hazardous")</f>
        <v>Poor</v>
      </c>
      <c r="T309" t="s">
        <v>28</v>
      </c>
      <c r="X309" s="2"/>
      <c r="Y309" s="2"/>
    </row>
    <row r="310" spans="1:25" x14ac:dyDescent="0.3">
      <c r="A310" s="2">
        <v>45353</v>
      </c>
      <c r="B310" t="s">
        <v>23</v>
      </c>
      <c r="C310" s="4">
        <v>54.7</v>
      </c>
      <c r="D310" s="4">
        <v>27.1</v>
      </c>
      <c r="E310" s="4">
        <v>35.200000000000003</v>
      </c>
      <c r="F310" s="4">
        <v>6.58</v>
      </c>
      <c r="G310" s="4">
        <v>33.6</v>
      </c>
      <c r="H310" s="4">
        <v>1.06</v>
      </c>
      <c r="I310" s="4">
        <v>24.6</v>
      </c>
      <c r="J310" s="4">
        <v>58.6</v>
      </c>
      <c r="K310" s="4">
        <v>3.55</v>
      </c>
      <c r="L310" s="4">
        <v>91.166666666666671</v>
      </c>
      <c r="M310" s="4">
        <v>27.1</v>
      </c>
      <c r="N310" s="4">
        <v>44.000000000000007</v>
      </c>
      <c r="O310" s="4">
        <v>16.45</v>
      </c>
      <c r="P310" s="4">
        <v>84</v>
      </c>
      <c r="Q310" s="4">
        <v>53.000000000000007</v>
      </c>
      <c r="R310" s="4">
        <v>91</v>
      </c>
      <c r="S310" s="4" t="str" cm="1">
        <f t="array" ref="S310">_xlfn.IFS($R310&lt;=50,"Good",$R310&lt;=100,"Moderate",$R310&lt;=200,"Poor",$R310&lt;=300,"Very Poor",$R310&lt;=500,"Hazardous")</f>
        <v>Moderate</v>
      </c>
      <c r="T310" t="s">
        <v>25</v>
      </c>
      <c r="X310" s="2"/>
      <c r="Y310" s="2"/>
    </row>
    <row r="311" spans="1:25" x14ac:dyDescent="0.3">
      <c r="A311" s="2">
        <v>45353</v>
      </c>
      <c r="B311" t="s">
        <v>24</v>
      </c>
      <c r="C311" s="4">
        <v>44.6</v>
      </c>
      <c r="D311" s="4">
        <v>52.6</v>
      </c>
      <c r="E311" s="4">
        <v>26.6</v>
      </c>
      <c r="F311" s="4">
        <v>6.12</v>
      </c>
      <c r="G311" s="4">
        <v>34.299999999999997</v>
      </c>
      <c r="H311" s="4">
        <v>0.81</v>
      </c>
      <c r="I311" s="4">
        <v>15.9</v>
      </c>
      <c r="J311" s="4">
        <v>41.8</v>
      </c>
      <c r="K311" s="4">
        <v>3.22</v>
      </c>
      <c r="L311" s="4">
        <v>74.333333333333329</v>
      </c>
      <c r="M311" s="4">
        <v>52.6</v>
      </c>
      <c r="N311" s="4">
        <v>33.25</v>
      </c>
      <c r="O311" s="4">
        <v>15.3</v>
      </c>
      <c r="P311" s="4">
        <v>85.75</v>
      </c>
      <c r="Q311" s="4">
        <v>40.5</v>
      </c>
      <c r="R311" s="4">
        <v>86</v>
      </c>
      <c r="S311" s="4" t="str" cm="1">
        <f t="array" ref="S311">_xlfn.IFS($R311&lt;=50,"Good",$R311&lt;=100,"Moderate",$R311&lt;=200,"Poor",$R311&lt;=300,"Very Poor",$R311&lt;=500,"Hazardous")</f>
        <v>Moderate</v>
      </c>
      <c r="T311" t="s">
        <v>27</v>
      </c>
      <c r="X311" s="2"/>
      <c r="Y311" s="2"/>
    </row>
    <row r="312" spans="1:25" x14ac:dyDescent="0.3">
      <c r="A312" s="2">
        <v>45354</v>
      </c>
      <c r="B312" t="s">
        <v>20</v>
      </c>
      <c r="C312" s="4">
        <v>89.5</v>
      </c>
      <c r="D312" s="4">
        <v>99.5</v>
      </c>
      <c r="E312" s="4">
        <v>42.3</v>
      </c>
      <c r="F312" s="4">
        <v>3.87</v>
      </c>
      <c r="G312" s="4">
        <v>45.1</v>
      </c>
      <c r="H312" s="4">
        <v>0.79</v>
      </c>
      <c r="I312" s="4">
        <v>29</v>
      </c>
      <c r="J312" s="4">
        <v>17.899999999999999</v>
      </c>
      <c r="K312" s="4">
        <v>2.0699999999999998</v>
      </c>
      <c r="L312" s="4">
        <v>149.16666666666671</v>
      </c>
      <c r="M312" s="4">
        <v>99.5</v>
      </c>
      <c r="N312" s="4">
        <v>52.875</v>
      </c>
      <c r="O312" s="4">
        <v>9.6749999999999989</v>
      </c>
      <c r="P312" s="4">
        <v>112.75</v>
      </c>
      <c r="Q312" s="4">
        <v>39.5</v>
      </c>
      <c r="R312" s="4">
        <v>149</v>
      </c>
      <c r="S312" s="4" t="str" cm="1">
        <f t="array" ref="S312">_xlfn.IFS($R312&lt;=50,"Good",$R312&lt;=100,"Moderate",$R312&lt;=200,"Poor",$R312&lt;=300,"Very Poor",$R312&lt;=500,"Hazardous")</f>
        <v>Poor</v>
      </c>
      <c r="T312" t="s">
        <v>25</v>
      </c>
      <c r="X312" s="2"/>
      <c r="Y312" s="2"/>
    </row>
    <row r="313" spans="1:25" x14ac:dyDescent="0.3">
      <c r="A313" s="2">
        <v>45354</v>
      </c>
      <c r="B313" t="s">
        <v>21</v>
      </c>
      <c r="C313" s="4">
        <v>86.3</v>
      </c>
      <c r="D313" s="4">
        <v>163.80000000000001</v>
      </c>
      <c r="E313" s="4">
        <v>123.6</v>
      </c>
      <c r="F313" s="4">
        <v>12.19</v>
      </c>
      <c r="G313" s="4">
        <v>18.600000000000001</v>
      </c>
      <c r="H313" s="4">
        <v>1.43</v>
      </c>
      <c r="I313" s="4">
        <v>12.6</v>
      </c>
      <c r="J313" s="4">
        <v>48.5</v>
      </c>
      <c r="K313" s="4">
        <v>1.5</v>
      </c>
      <c r="L313" s="4">
        <v>143.83333333333329</v>
      </c>
      <c r="M313" s="4">
        <v>163.80000000000001</v>
      </c>
      <c r="N313" s="4">
        <v>154.5</v>
      </c>
      <c r="O313" s="4">
        <v>30.475000000000001</v>
      </c>
      <c r="P313" s="4">
        <v>46.500000000000007</v>
      </c>
      <c r="Q313" s="4">
        <v>71.5</v>
      </c>
      <c r="R313" s="4">
        <v>164</v>
      </c>
      <c r="S313" s="4" t="str" cm="1">
        <f t="array" ref="S313">_xlfn.IFS($R313&lt;=50,"Good",$R313&lt;=100,"Moderate",$R313&lt;=200,"Poor",$R313&lt;=300,"Very Poor",$R313&lt;=500,"Hazardous")</f>
        <v>Poor</v>
      </c>
      <c r="T313" t="s">
        <v>28</v>
      </c>
      <c r="X313" s="2"/>
      <c r="Y313" s="2"/>
    </row>
    <row r="314" spans="1:25" x14ac:dyDescent="0.3">
      <c r="A314" s="2">
        <v>45354</v>
      </c>
      <c r="B314" t="s">
        <v>22</v>
      </c>
      <c r="C314" s="4">
        <v>83.1</v>
      </c>
      <c r="D314" s="4">
        <v>82.7</v>
      </c>
      <c r="E314" s="4">
        <v>40.5</v>
      </c>
      <c r="F314" s="4">
        <v>4.58</v>
      </c>
      <c r="G314" s="4">
        <v>79.3</v>
      </c>
      <c r="H314" s="4">
        <v>0.96</v>
      </c>
      <c r="I314" s="4">
        <v>37.799999999999997</v>
      </c>
      <c r="J314" s="4">
        <v>64.7</v>
      </c>
      <c r="K314" s="4">
        <v>3.08</v>
      </c>
      <c r="L314" s="4">
        <v>138.5</v>
      </c>
      <c r="M314" s="4">
        <v>82.7</v>
      </c>
      <c r="N314" s="4">
        <v>50.625</v>
      </c>
      <c r="O314" s="4">
        <v>11.45</v>
      </c>
      <c r="P314" s="4">
        <v>198.25</v>
      </c>
      <c r="Q314" s="4">
        <v>48</v>
      </c>
      <c r="R314" s="4">
        <v>198</v>
      </c>
      <c r="S314" s="4" t="str" cm="1">
        <f t="array" ref="S314">_xlfn.IFS($R314&lt;=50,"Good",$R314&lt;=100,"Moderate",$R314&lt;=200,"Poor",$R314&lt;=300,"Very Poor",$R314&lt;=500,"Hazardous")</f>
        <v>Poor</v>
      </c>
      <c r="T314" t="s">
        <v>27</v>
      </c>
      <c r="X314" s="2"/>
      <c r="Y314" s="2"/>
    </row>
    <row r="315" spans="1:25" x14ac:dyDescent="0.3">
      <c r="A315" s="2">
        <v>45354</v>
      </c>
      <c r="B315" t="s">
        <v>23</v>
      </c>
      <c r="C315" s="4">
        <v>71.099999999999994</v>
      </c>
      <c r="D315" s="4">
        <v>143.6</v>
      </c>
      <c r="E315" s="4">
        <v>6.4</v>
      </c>
      <c r="F315" s="4">
        <v>6.61</v>
      </c>
      <c r="G315" s="4">
        <v>61.1</v>
      </c>
      <c r="H315" s="4">
        <v>1.17</v>
      </c>
      <c r="I315" s="4">
        <v>15.2</v>
      </c>
      <c r="J315" s="4">
        <v>49.1</v>
      </c>
      <c r="K315" s="4">
        <v>4.54</v>
      </c>
      <c r="L315" s="4">
        <v>118.5</v>
      </c>
      <c r="M315" s="4">
        <v>143.6</v>
      </c>
      <c r="N315" s="4">
        <v>8</v>
      </c>
      <c r="O315" s="4">
        <v>16.524999999999999</v>
      </c>
      <c r="P315" s="4">
        <v>152.75</v>
      </c>
      <c r="Q315" s="4">
        <v>58.5</v>
      </c>
      <c r="R315" s="4">
        <v>153</v>
      </c>
      <c r="S315" s="4" t="str" cm="1">
        <f t="array" ref="S315">_xlfn.IFS($R315&lt;=50,"Good",$R315&lt;=100,"Moderate",$R315&lt;=200,"Poor",$R315&lt;=300,"Very Poor",$R315&lt;=500,"Hazardous")</f>
        <v>Poor</v>
      </c>
      <c r="T315" t="s">
        <v>27</v>
      </c>
      <c r="X315" s="2"/>
      <c r="Y315" s="2"/>
    </row>
    <row r="316" spans="1:25" x14ac:dyDescent="0.3">
      <c r="A316" s="2">
        <v>45354</v>
      </c>
      <c r="B316" t="s">
        <v>24</v>
      </c>
      <c r="C316" s="4">
        <v>107.1</v>
      </c>
      <c r="D316" s="4">
        <v>127.9</v>
      </c>
      <c r="E316" s="4">
        <v>70.400000000000006</v>
      </c>
      <c r="F316" s="4">
        <v>6.78</v>
      </c>
      <c r="G316" s="4">
        <v>1</v>
      </c>
      <c r="H316" s="4">
        <v>0.71</v>
      </c>
      <c r="I316" s="4">
        <v>35.9</v>
      </c>
      <c r="J316" s="4">
        <v>45.1</v>
      </c>
      <c r="K316" s="4">
        <v>2.71</v>
      </c>
      <c r="L316" s="4">
        <v>178.5</v>
      </c>
      <c r="M316" s="4">
        <v>127.9</v>
      </c>
      <c r="N316" s="4">
        <v>88.000000000000014</v>
      </c>
      <c r="O316" s="4">
        <v>16.95</v>
      </c>
      <c r="P316" s="4">
        <v>2.5</v>
      </c>
      <c r="Q316" s="4">
        <v>35.5</v>
      </c>
      <c r="R316" s="4">
        <v>178</v>
      </c>
      <c r="S316" s="4" t="str" cm="1">
        <f t="array" ref="S316">_xlfn.IFS($R316&lt;=50,"Good",$R316&lt;=100,"Moderate",$R316&lt;=200,"Poor",$R316&lt;=300,"Very Poor",$R316&lt;=500,"Hazardous")</f>
        <v>Poor</v>
      </c>
      <c r="T316" t="s">
        <v>25</v>
      </c>
      <c r="X316" s="2"/>
      <c r="Y316" s="2"/>
    </row>
    <row r="317" spans="1:25" x14ac:dyDescent="0.3">
      <c r="A317" s="2">
        <v>45355</v>
      </c>
      <c r="B317" t="s">
        <v>20</v>
      </c>
      <c r="C317" s="4">
        <v>58.7</v>
      </c>
      <c r="D317" s="4">
        <v>269.39999999999998</v>
      </c>
      <c r="E317" s="4">
        <v>89.1</v>
      </c>
      <c r="F317" s="4">
        <v>21.96</v>
      </c>
      <c r="G317" s="4">
        <v>41.4</v>
      </c>
      <c r="H317" s="4">
        <v>1.58</v>
      </c>
      <c r="I317" s="4">
        <v>14.4</v>
      </c>
      <c r="J317" s="4">
        <v>76.599999999999994</v>
      </c>
      <c r="K317" s="4">
        <v>1.1000000000000001</v>
      </c>
      <c r="L317" s="4">
        <v>97.833333333333343</v>
      </c>
      <c r="M317" s="4">
        <v>269.39999999999998</v>
      </c>
      <c r="N317" s="4">
        <v>111.375</v>
      </c>
      <c r="O317" s="4">
        <v>54.900000000000013</v>
      </c>
      <c r="P317" s="4">
        <v>103.5</v>
      </c>
      <c r="Q317" s="4">
        <v>79</v>
      </c>
      <c r="R317" s="4">
        <v>269</v>
      </c>
      <c r="S317" s="4" t="str" cm="1">
        <f t="array" ref="S317">_xlfn.IFS($R317&lt;=50,"Good",$R317&lt;=100,"Moderate",$R317&lt;=200,"Poor",$R317&lt;=300,"Very Poor",$R317&lt;=500,"Hazardous")</f>
        <v>Very Poor</v>
      </c>
      <c r="T317" t="s">
        <v>28</v>
      </c>
      <c r="X317" s="2"/>
      <c r="Y317" s="2"/>
    </row>
    <row r="318" spans="1:25" x14ac:dyDescent="0.3">
      <c r="A318" s="2">
        <v>45355</v>
      </c>
      <c r="B318" t="s">
        <v>21</v>
      </c>
      <c r="C318" s="4">
        <v>83.1</v>
      </c>
      <c r="D318" s="4">
        <v>67.7</v>
      </c>
      <c r="E318" s="4">
        <v>41.5</v>
      </c>
      <c r="F318" s="4">
        <v>4.7699999999999996</v>
      </c>
      <c r="G318" s="4">
        <v>31</v>
      </c>
      <c r="H318" s="4">
        <v>1.1000000000000001</v>
      </c>
      <c r="I318" s="4">
        <v>21.2</v>
      </c>
      <c r="J318" s="4">
        <v>65</v>
      </c>
      <c r="K318" s="4">
        <v>1.17</v>
      </c>
      <c r="L318" s="4">
        <v>138.5</v>
      </c>
      <c r="M318" s="4">
        <v>67.7</v>
      </c>
      <c r="N318" s="4">
        <v>51.875</v>
      </c>
      <c r="O318" s="4">
        <v>11.925000000000001</v>
      </c>
      <c r="P318" s="4">
        <v>77.5</v>
      </c>
      <c r="Q318" s="4">
        <v>55.000000000000007</v>
      </c>
      <c r="R318" s="4">
        <v>138</v>
      </c>
      <c r="S318" s="4" t="str" cm="1">
        <f t="array" ref="S318">_xlfn.IFS($R318&lt;=50,"Good",$R318&lt;=100,"Moderate",$R318&lt;=200,"Poor",$R318&lt;=300,"Very Poor",$R318&lt;=500,"Hazardous")</f>
        <v>Poor</v>
      </c>
      <c r="T318" t="s">
        <v>25</v>
      </c>
      <c r="X318" s="2"/>
      <c r="Y318" s="2"/>
    </row>
    <row r="319" spans="1:25" x14ac:dyDescent="0.3">
      <c r="A319" s="2">
        <v>45355</v>
      </c>
      <c r="B319" t="s">
        <v>22</v>
      </c>
      <c r="C319" s="4">
        <v>63.3</v>
      </c>
      <c r="D319" s="4">
        <v>183.4</v>
      </c>
      <c r="E319" s="4">
        <v>33</v>
      </c>
      <c r="F319" s="4">
        <v>4.1900000000000004</v>
      </c>
      <c r="G319" s="4">
        <v>32.5</v>
      </c>
      <c r="H319" s="4">
        <v>1.81</v>
      </c>
      <c r="I319" s="4">
        <v>26.4</v>
      </c>
      <c r="J319" s="4">
        <v>40.4</v>
      </c>
      <c r="K319" s="4">
        <v>3.08</v>
      </c>
      <c r="L319" s="4">
        <v>105.5</v>
      </c>
      <c r="M319" s="4">
        <v>183.4</v>
      </c>
      <c r="N319" s="4">
        <v>41.25</v>
      </c>
      <c r="O319" s="4">
        <v>10.475</v>
      </c>
      <c r="P319" s="4">
        <v>81.25</v>
      </c>
      <c r="Q319" s="4">
        <v>90.5</v>
      </c>
      <c r="R319" s="4">
        <v>183</v>
      </c>
      <c r="S319" s="4" t="str" cm="1">
        <f t="array" ref="S319">_xlfn.IFS($R319&lt;=50,"Good",$R319&lt;=100,"Moderate",$R319&lt;=200,"Poor",$R319&lt;=300,"Very Poor",$R319&lt;=500,"Hazardous")</f>
        <v>Poor</v>
      </c>
      <c r="T319" t="s">
        <v>28</v>
      </c>
      <c r="X319" s="2"/>
      <c r="Y319" s="2"/>
    </row>
    <row r="320" spans="1:25" x14ac:dyDescent="0.3">
      <c r="A320" s="2">
        <v>45355</v>
      </c>
      <c r="B320" t="s">
        <v>23</v>
      </c>
      <c r="C320" s="4">
        <v>26.9</v>
      </c>
      <c r="D320" s="4">
        <v>160.9</v>
      </c>
      <c r="E320" s="4">
        <v>53.2</v>
      </c>
      <c r="F320" s="4">
        <v>6.46</v>
      </c>
      <c r="G320" s="4">
        <v>19</v>
      </c>
      <c r="H320" s="4">
        <v>0.67</v>
      </c>
      <c r="I320" s="4">
        <v>28.7</v>
      </c>
      <c r="J320" s="4">
        <v>72.099999999999994</v>
      </c>
      <c r="K320" s="4">
        <v>1.74</v>
      </c>
      <c r="L320" s="4">
        <v>44.833333333333329</v>
      </c>
      <c r="M320" s="4">
        <v>160.9</v>
      </c>
      <c r="N320" s="4">
        <v>66.5</v>
      </c>
      <c r="O320" s="4">
        <v>16.149999999999999</v>
      </c>
      <c r="P320" s="4">
        <v>47.5</v>
      </c>
      <c r="Q320" s="4">
        <v>33.5</v>
      </c>
      <c r="R320" s="4">
        <v>161</v>
      </c>
      <c r="S320" s="4" t="str" cm="1">
        <f t="array" ref="S320">_xlfn.IFS($R320&lt;=50,"Good",$R320&lt;=100,"Moderate",$R320&lt;=200,"Poor",$R320&lt;=300,"Very Poor",$R320&lt;=500,"Hazardous")</f>
        <v>Poor</v>
      </c>
      <c r="T320" t="s">
        <v>28</v>
      </c>
      <c r="X320" s="2"/>
      <c r="Y320" s="2"/>
    </row>
    <row r="321" spans="1:25" x14ac:dyDescent="0.3">
      <c r="A321" s="2">
        <v>45355</v>
      </c>
      <c r="B321" t="s">
        <v>24</v>
      </c>
      <c r="C321" s="4">
        <v>81.099999999999994</v>
      </c>
      <c r="D321" s="4">
        <v>5</v>
      </c>
      <c r="E321" s="4">
        <v>36.6</v>
      </c>
      <c r="F321" s="4">
        <v>8.6300000000000008</v>
      </c>
      <c r="G321" s="4">
        <v>19</v>
      </c>
      <c r="H321" s="4">
        <v>0.7</v>
      </c>
      <c r="I321" s="4">
        <v>20.3</v>
      </c>
      <c r="J321" s="4">
        <v>55.3</v>
      </c>
      <c r="K321" s="4">
        <v>2.78</v>
      </c>
      <c r="L321" s="4">
        <v>135.16666666666671</v>
      </c>
      <c r="M321" s="4">
        <v>5</v>
      </c>
      <c r="N321" s="4">
        <v>45.75</v>
      </c>
      <c r="O321" s="4">
        <v>21.574999999999999</v>
      </c>
      <c r="P321" s="4">
        <v>47.5</v>
      </c>
      <c r="Q321" s="4">
        <v>34.999999999999993</v>
      </c>
      <c r="R321" s="4">
        <v>135</v>
      </c>
      <c r="S321" s="4" t="str" cm="1">
        <f t="array" ref="S321">_xlfn.IFS($R321&lt;=50,"Good",$R321&lt;=100,"Moderate",$R321&lt;=200,"Poor",$R321&lt;=300,"Very Poor",$R321&lt;=500,"Hazardous")</f>
        <v>Poor</v>
      </c>
      <c r="T321" t="s">
        <v>25</v>
      </c>
      <c r="X321" s="2"/>
      <c r="Y321" s="2"/>
    </row>
    <row r="322" spans="1:25" x14ac:dyDescent="0.3">
      <c r="A322" s="2">
        <v>45356</v>
      </c>
      <c r="B322" t="s">
        <v>20</v>
      </c>
      <c r="C322" s="4">
        <v>2</v>
      </c>
      <c r="D322" s="4">
        <v>5</v>
      </c>
      <c r="E322" s="4">
        <v>37.799999999999997</v>
      </c>
      <c r="F322" s="4">
        <v>11.83</v>
      </c>
      <c r="G322" s="4">
        <v>1</v>
      </c>
      <c r="H322" s="4">
        <v>1.04</v>
      </c>
      <c r="I322" s="4">
        <v>21.3</v>
      </c>
      <c r="J322" s="4">
        <v>75</v>
      </c>
      <c r="K322" s="4">
        <v>2.04</v>
      </c>
      <c r="L322" s="4">
        <v>3.333333333333333</v>
      </c>
      <c r="M322" s="4">
        <v>5</v>
      </c>
      <c r="N322" s="4">
        <v>47.249999999999993</v>
      </c>
      <c r="O322" s="4">
        <v>29.574999999999999</v>
      </c>
      <c r="P322" s="4">
        <v>2.5</v>
      </c>
      <c r="Q322" s="4">
        <v>52.000000000000007</v>
      </c>
      <c r="R322" s="4">
        <v>52</v>
      </c>
      <c r="S322" s="4" t="str" cm="1">
        <f t="array" ref="S322">_xlfn.IFS($R322&lt;=50,"Good",$R322&lt;=100,"Moderate",$R322&lt;=200,"Poor",$R322&lt;=300,"Very Poor",$R322&lt;=500,"Hazardous")</f>
        <v>Moderate</v>
      </c>
      <c r="T322" t="s">
        <v>29</v>
      </c>
      <c r="X322" s="2"/>
      <c r="Y322" s="2"/>
    </row>
    <row r="323" spans="1:25" x14ac:dyDescent="0.3">
      <c r="A323" s="2">
        <v>45356</v>
      </c>
      <c r="B323" t="s">
        <v>21</v>
      </c>
      <c r="C323" s="4">
        <v>89.4</v>
      </c>
      <c r="D323" s="4">
        <v>160.6</v>
      </c>
      <c r="E323" s="4">
        <v>3</v>
      </c>
      <c r="F323" s="4">
        <v>14.8</v>
      </c>
      <c r="G323" s="4">
        <v>56.7</v>
      </c>
      <c r="H323" s="4">
        <v>1.88</v>
      </c>
      <c r="I323" s="4">
        <v>52.5</v>
      </c>
      <c r="J323" s="4">
        <v>12.5</v>
      </c>
      <c r="K323" s="4">
        <v>4.57</v>
      </c>
      <c r="L323" s="4">
        <v>149</v>
      </c>
      <c r="M323" s="4">
        <v>160.6</v>
      </c>
      <c r="N323" s="4">
        <v>3.75</v>
      </c>
      <c r="O323" s="4">
        <v>37.000000000000007</v>
      </c>
      <c r="P323" s="4">
        <v>141.75</v>
      </c>
      <c r="Q323" s="4">
        <v>94</v>
      </c>
      <c r="R323" s="4">
        <v>161</v>
      </c>
      <c r="S323" s="4" t="str" cm="1">
        <f t="array" ref="S323">_xlfn.IFS($R323&lt;=50,"Good",$R323&lt;=100,"Moderate",$R323&lt;=200,"Poor",$R323&lt;=300,"Very Poor",$R323&lt;=500,"Hazardous")</f>
        <v>Poor</v>
      </c>
      <c r="T323" t="s">
        <v>28</v>
      </c>
      <c r="X323" s="2"/>
      <c r="Y323" s="2"/>
    </row>
    <row r="324" spans="1:25" x14ac:dyDescent="0.3">
      <c r="A324" s="2">
        <v>45356</v>
      </c>
      <c r="B324" t="s">
        <v>22</v>
      </c>
      <c r="C324" s="4">
        <v>48.8</v>
      </c>
      <c r="D324" s="4">
        <v>130.4</v>
      </c>
      <c r="E324" s="4">
        <v>41.9</v>
      </c>
      <c r="F324" s="4">
        <v>5.58</v>
      </c>
      <c r="G324" s="4">
        <v>24.5</v>
      </c>
      <c r="H324" s="4">
        <v>1.33</v>
      </c>
      <c r="I324" s="4">
        <v>14.4</v>
      </c>
      <c r="J324" s="4">
        <v>63.5</v>
      </c>
      <c r="K324" s="4">
        <v>2</v>
      </c>
      <c r="L324" s="4">
        <v>81.333333333333329</v>
      </c>
      <c r="M324" s="4">
        <v>130.4</v>
      </c>
      <c r="N324" s="4">
        <v>52.375</v>
      </c>
      <c r="O324" s="4">
        <v>13.95</v>
      </c>
      <c r="P324" s="4">
        <v>61.25</v>
      </c>
      <c r="Q324" s="4">
        <v>66.5</v>
      </c>
      <c r="R324" s="4">
        <v>130</v>
      </c>
      <c r="S324" s="4" t="str" cm="1">
        <f t="array" ref="S324">_xlfn.IFS($R324&lt;=50,"Good",$R324&lt;=100,"Moderate",$R324&lt;=200,"Poor",$R324&lt;=300,"Very Poor",$R324&lt;=500,"Hazardous")</f>
        <v>Poor</v>
      </c>
      <c r="T324" t="s">
        <v>28</v>
      </c>
      <c r="X324" s="2"/>
      <c r="Y324" s="2"/>
    </row>
    <row r="325" spans="1:25" x14ac:dyDescent="0.3">
      <c r="A325" s="2">
        <v>45356</v>
      </c>
      <c r="B325" t="s">
        <v>23</v>
      </c>
      <c r="C325" s="4">
        <v>26.1</v>
      </c>
      <c r="D325" s="4">
        <v>93</v>
      </c>
      <c r="E325" s="4">
        <v>70.099999999999994</v>
      </c>
      <c r="F325" s="4">
        <v>5.32</v>
      </c>
      <c r="G325" s="4">
        <v>49</v>
      </c>
      <c r="H325" s="4">
        <v>0.76</v>
      </c>
      <c r="I325" s="4">
        <v>30.3</v>
      </c>
      <c r="J325" s="4">
        <v>62.3</v>
      </c>
      <c r="K325" s="4">
        <v>4.72</v>
      </c>
      <c r="L325" s="4">
        <v>43.500000000000007</v>
      </c>
      <c r="M325" s="4">
        <v>93</v>
      </c>
      <c r="N325" s="4">
        <v>87.625</v>
      </c>
      <c r="O325" s="4">
        <v>13.3</v>
      </c>
      <c r="P325" s="4">
        <v>122.5</v>
      </c>
      <c r="Q325" s="4">
        <v>38</v>
      </c>
      <c r="R325" s="4">
        <v>122</v>
      </c>
      <c r="S325" s="4" t="str" cm="1">
        <f t="array" ref="S325">_xlfn.IFS($R325&lt;=50,"Good",$R325&lt;=100,"Moderate",$R325&lt;=200,"Poor",$R325&lt;=300,"Very Poor",$R325&lt;=500,"Hazardous")</f>
        <v>Poor</v>
      </c>
      <c r="T325" t="s">
        <v>27</v>
      </c>
      <c r="X325" s="2"/>
      <c r="Y325" s="2"/>
    </row>
    <row r="326" spans="1:25" x14ac:dyDescent="0.3">
      <c r="A326" s="2">
        <v>45356</v>
      </c>
      <c r="B326" t="s">
        <v>24</v>
      </c>
      <c r="C326" s="4">
        <v>60.2</v>
      </c>
      <c r="D326" s="4">
        <v>176.1</v>
      </c>
      <c r="E326" s="4">
        <v>51.7</v>
      </c>
      <c r="F326" s="4">
        <v>15.93</v>
      </c>
      <c r="G326" s="4">
        <v>24.2</v>
      </c>
      <c r="H326" s="4">
        <v>1.81</v>
      </c>
      <c r="I326" s="4">
        <v>23.6</v>
      </c>
      <c r="J326" s="4">
        <v>48.8</v>
      </c>
      <c r="K326" s="4">
        <v>3.11</v>
      </c>
      <c r="L326" s="4">
        <v>100.3333333333333</v>
      </c>
      <c r="M326" s="4">
        <v>176.1</v>
      </c>
      <c r="N326" s="4">
        <v>64.625</v>
      </c>
      <c r="O326" s="4">
        <v>39.825000000000003</v>
      </c>
      <c r="P326" s="4">
        <v>60.5</v>
      </c>
      <c r="Q326" s="4">
        <v>90.5</v>
      </c>
      <c r="R326" s="4">
        <v>176</v>
      </c>
      <c r="S326" s="4" t="str" cm="1">
        <f t="array" ref="S326">_xlfn.IFS($R326&lt;=50,"Good",$R326&lt;=100,"Moderate",$R326&lt;=200,"Poor",$R326&lt;=300,"Very Poor",$R326&lt;=500,"Hazardous")</f>
        <v>Poor</v>
      </c>
      <c r="T326" t="s">
        <v>28</v>
      </c>
      <c r="X326" s="2"/>
      <c r="Y326" s="2"/>
    </row>
    <row r="327" spans="1:25" x14ac:dyDescent="0.3">
      <c r="A327" s="2">
        <v>45357</v>
      </c>
      <c r="B327" t="s">
        <v>20</v>
      </c>
      <c r="C327" s="4">
        <v>77.7</v>
      </c>
      <c r="D327" s="4">
        <v>130</v>
      </c>
      <c r="E327" s="4">
        <v>56.7</v>
      </c>
      <c r="F327" s="4">
        <v>18.27</v>
      </c>
      <c r="G327" s="4">
        <v>74.3</v>
      </c>
      <c r="H327" s="4">
        <v>1.98</v>
      </c>
      <c r="I327" s="4">
        <v>21.8</v>
      </c>
      <c r="J327" s="4">
        <v>34</v>
      </c>
      <c r="K327" s="4">
        <v>3.65</v>
      </c>
      <c r="L327" s="4">
        <v>129.5</v>
      </c>
      <c r="M327" s="4">
        <v>130</v>
      </c>
      <c r="N327" s="4">
        <v>70.875000000000014</v>
      </c>
      <c r="O327" s="4">
        <v>45.674999999999997</v>
      </c>
      <c r="P327" s="4">
        <v>185.75</v>
      </c>
      <c r="Q327" s="4">
        <v>99</v>
      </c>
      <c r="R327" s="4">
        <v>186</v>
      </c>
      <c r="S327" s="4" t="str" cm="1">
        <f t="array" ref="S327">_xlfn.IFS($R327&lt;=50,"Good",$R327&lt;=100,"Moderate",$R327&lt;=200,"Poor",$R327&lt;=300,"Very Poor",$R327&lt;=500,"Hazardous")</f>
        <v>Poor</v>
      </c>
      <c r="T327" t="s">
        <v>27</v>
      </c>
      <c r="X327" s="2"/>
      <c r="Y327" s="2"/>
    </row>
    <row r="328" spans="1:25" x14ac:dyDescent="0.3">
      <c r="A328" s="2">
        <v>45357</v>
      </c>
      <c r="B328" t="s">
        <v>21</v>
      </c>
      <c r="C328" s="4">
        <v>107.9</v>
      </c>
      <c r="D328" s="4">
        <v>260.5</v>
      </c>
      <c r="E328" s="4">
        <v>41.2</v>
      </c>
      <c r="F328" s="4">
        <v>8.57</v>
      </c>
      <c r="G328" s="4">
        <v>1</v>
      </c>
      <c r="H328" s="4">
        <v>1.21</v>
      </c>
      <c r="I328" s="4">
        <v>32</v>
      </c>
      <c r="J328" s="4">
        <v>41.6</v>
      </c>
      <c r="K328" s="4">
        <v>3.27</v>
      </c>
      <c r="L328" s="4">
        <v>179.83333333333329</v>
      </c>
      <c r="M328" s="4">
        <v>260.5</v>
      </c>
      <c r="N328" s="4">
        <v>51.500000000000007</v>
      </c>
      <c r="O328" s="4">
        <v>21.425000000000001</v>
      </c>
      <c r="P328" s="4">
        <v>2.5</v>
      </c>
      <c r="Q328" s="4">
        <v>60.5</v>
      </c>
      <c r="R328" s="4">
        <v>260</v>
      </c>
      <c r="S328" s="4" t="str" cm="1">
        <f t="array" ref="S328">_xlfn.IFS($R328&lt;=50,"Good",$R328&lt;=100,"Moderate",$R328&lt;=200,"Poor",$R328&lt;=300,"Very Poor",$R328&lt;=500,"Hazardous")</f>
        <v>Very Poor</v>
      </c>
      <c r="T328" t="s">
        <v>28</v>
      </c>
      <c r="X328" s="2"/>
      <c r="Y328" s="2"/>
    </row>
    <row r="329" spans="1:25" x14ac:dyDescent="0.3">
      <c r="A329" s="2">
        <v>45357</v>
      </c>
      <c r="B329" t="s">
        <v>22</v>
      </c>
      <c r="C329" s="4">
        <v>51.6</v>
      </c>
      <c r="D329" s="4">
        <v>132.5</v>
      </c>
      <c r="E329" s="4">
        <v>20.9</v>
      </c>
      <c r="F329" s="4">
        <v>8</v>
      </c>
      <c r="G329" s="4">
        <v>1</v>
      </c>
      <c r="H329" s="4">
        <v>1.03</v>
      </c>
      <c r="I329" s="4">
        <v>13.6</v>
      </c>
      <c r="J329" s="4">
        <v>71.7</v>
      </c>
      <c r="K329" s="4">
        <v>3.43</v>
      </c>
      <c r="L329" s="4">
        <v>86</v>
      </c>
      <c r="M329" s="4">
        <v>132.5</v>
      </c>
      <c r="N329" s="4">
        <v>26.125</v>
      </c>
      <c r="O329" s="4">
        <v>20</v>
      </c>
      <c r="P329" s="4">
        <v>2.5</v>
      </c>
      <c r="Q329" s="4">
        <v>51.500000000000007</v>
      </c>
      <c r="R329" s="4">
        <v>132</v>
      </c>
      <c r="S329" s="4" t="str" cm="1">
        <f t="array" ref="S329">_xlfn.IFS($R329&lt;=50,"Good",$R329&lt;=100,"Moderate",$R329&lt;=200,"Poor",$R329&lt;=300,"Very Poor",$R329&lt;=500,"Hazardous")</f>
        <v>Poor</v>
      </c>
      <c r="T329" t="s">
        <v>28</v>
      </c>
      <c r="X329" s="2"/>
      <c r="Y329" s="2"/>
    </row>
    <row r="330" spans="1:25" x14ac:dyDescent="0.3">
      <c r="A330" s="2">
        <v>45357</v>
      </c>
      <c r="B330" t="s">
        <v>23</v>
      </c>
      <c r="C330" s="4">
        <v>74</v>
      </c>
      <c r="D330" s="4">
        <v>211.3</v>
      </c>
      <c r="E330" s="4">
        <v>26</v>
      </c>
      <c r="F330" s="4">
        <v>16.739999999999998</v>
      </c>
      <c r="G330" s="4">
        <v>63.3</v>
      </c>
      <c r="H330" s="4">
        <v>1.06</v>
      </c>
      <c r="I330" s="4">
        <v>32.9</v>
      </c>
      <c r="J330" s="4">
        <v>30.1</v>
      </c>
      <c r="K330" s="4">
        <v>1.51</v>
      </c>
      <c r="L330" s="4">
        <v>123.3333333333333</v>
      </c>
      <c r="M330" s="4">
        <v>211.3</v>
      </c>
      <c r="N330" s="4">
        <v>32.5</v>
      </c>
      <c r="O330" s="4">
        <v>41.85</v>
      </c>
      <c r="P330" s="4">
        <v>158.25</v>
      </c>
      <c r="Q330" s="4">
        <v>53.000000000000007</v>
      </c>
      <c r="R330" s="4">
        <v>211</v>
      </c>
      <c r="S330" s="4" t="str" cm="1">
        <f t="array" ref="S330">_xlfn.IFS($R330&lt;=50,"Good",$R330&lt;=100,"Moderate",$R330&lt;=200,"Poor",$R330&lt;=300,"Very Poor",$R330&lt;=500,"Hazardous")</f>
        <v>Very Poor</v>
      </c>
      <c r="T330" t="s">
        <v>28</v>
      </c>
      <c r="X330" s="2"/>
      <c r="Y330" s="2"/>
    </row>
    <row r="331" spans="1:25" x14ac:dyDescent="0.3">
      <c r="A331" s="2">
        <v>45357</v>
      </c>
      <c r="B331" t="s">
        <v>24</v>
      </c>
      <c r="C331" s="4">
        <v>45.9</v>
      </c>
      <c r="D331" s="4">
        <v>97.1</v>
      </c>
      <c r="E331" s="4">
        <v>26.3</v>
      </c>
      <c r="F331" s="4">
        <v>15.53</v>
      </c>
      <c r="G331" s="4">
        <v>36.9</v>
      </c>
      <c r="H331" s="4">
        <v>1.55</v>
      </c>
      <c r="I331" s="4">
        <v>21</v>
      </c>
      <c r="J331" s="4">
        <v>17.2</v>
      </c>
      <c r="K331" s="4">
        <v>3.32</v>
      </c>
      <c r="L331" s="4">
        <v>76.5</v>
      </c>
      <c r="M331" s="4">
        <v>97.1</v>
      </c>
      <c r="N331" s="4">
        <v>32.875</v>
      </c>
      <c r="O331" s="4">
        <v>38.825000000000003</v>
      </c>
      <c r="P331" s="4">
        <v>92.25</v>
      </c>
      <c r="Q331" s="4">
        <v>77.5</v>
      </c>
      <c r="R331" s="4">
        <v>97</v>
      </c>
      <c r="S331" s="4" t="str" cm="1">
        <f t="array" ref="S331">_xlfn.IFS($R331&lt;=50,"Good",$R331&lt;=100,"Moderate",$R331&lt;=200,"Poor",$R331&lt;=300,"Very Poor",$R331&lt;=500,"Hazardous")</f>
        <v>Moderate</v>
      </c>
      <c r="T331" t="s">
        <v>28</v>
      </c>
      <c r="X331" s="2"/>
      <c r="Y331" s="2"/>
    </row>
    <row r="332" spans="1:25" x14ac:dyDescent="0.3">
      <c r="A332" s="2">
        <v>45358</v>
      </c>
      <c r="B332" t="s">
        <v>20</v>
      </c>
      <c r="C332" s="4">
        <v>3</v>
      </c>
      <c r="D332" s="4">
        <v>133.30000000000001</v>
      </c>
      <c r="E332" s="4">
        <v>20.3</v>
      </c>
      <c r="F332" s="4">
        <v>20.63</v>
      </c>
      <c r="G332" s="4">
        <v>72.2</v>
      </c>
      <c r="H332" s="4">
        <v>1.45</v>
      </c>
      <c r="I332" s="4">
        <v>33.799999999999997</v>
      </c>
      <c r="J332" s="4">
        <v>34.799999999999997</v>
      </c>
      <c r="K332" s="4">
        <v>3.15</v>
      </c>
      <c r="L332" s="4">
        <v>5</v>
      </c>
      <c r="M332" s="4">
        <v>133.30000000000001</v>
      </c>
      <c r="N332" s="4">
        <v>25.375</v>
      </c>
      <c r="O332" s="4">
        <v>51.575000000000003</v>
      </c>
      <c r="P332" s="4">
        <v>180.5</v>
      </c>
      <c r="Q332" s="4">
        <v>72.5</v>
      </c>
      <c r="R332" s="4">
        <v>180</v>
      </c>
      <c r="S332" s="4" t="str" cm="1">
        <f t="array" ref="S332">_xlfn.IFS($R332&lt;=50,"Good",$R332&lt;=100,"Moderate",$R332&lt;=200,"Poor",$R332&lt;=300,"Very Poor",$R332&lt;=500,"Hazardous")</f>
        <v>Poor</v>
      </c>
      <c r="T332" t="s">
        <v>27</v>
      </c>
      <c r="X332" s="2"/>
      <c r="Y332" s="2"/>
    </row>
    <row r="333" spans="1:25" x14ac:dyDescent="0.3">
      <c r="A333" s="2">
        <v>45358</v>
      </c>
      <c r="B333" t="s">
        <v>21</v>
      </c>
      <c r="C333" s="4">
        <v>82.5</v>
      </c>
      <c r="D333" s="4">
        <v>169.8</v>
      </c>
      <c r="E333" s="4">
        <v>88.1</v>
      </c>
      <c r="F333" s="4">
        <v>14.58</v>
      </c>
      <c r="G333" s="4">
        <v>59</v>
      </c>
      <c r="H333" s="4">
        <v>0.26</v>
      </c>
      <c r="I333" s="4">
        <v>18.3</v>
      </c>
      <c r="J333" s="4">
        <v>47.8</v>
      </c>
      <c r="K333" s="4">
        <v>2.61</v>
      </c>
      <c r="L333" s="4">
        <v>137.5</v>
      </c>
      <c r="M333" s="4">
        <v>169.8</v>
      </c>
      <c r="N333" s="4">
        <v>110.125</v>
      </c>
      <c r="O333" s="4">
        <v>36.450000000000003</v>
      </c>
      <c r="P333" s="4">
        <v>147.5</v>
      </c>
      <c r="Q333" s="4">
        <v>13</v>
      </c>
      <c r="R333" s="4">
        <v>170</v>
      </c>
      <c r="S333" s="4" t="str" cm="1">
        <f t="array" ref="S333">_xlfn.IFS($R333&lt;=50,"Good",$R333&lt;=100,"Moderate",$R333&lt;=200,"Poor",$R333&lt;=300,"Very Poor",$R333&lt;=500,"Hazardous")</f>
        <v>Poor</v>
      </c>
      <c r="T333" t="s">
        <v>28</v>
      </c>
      <c r="X333" s="2"/>
      <c r="Y333" s="2"/>
    </row>
    <row r="334" spans="1:25" x14ac:dyDescent="0.3">
      <c r="A334" s="2">
        <v>45358</v>
      </c>
      <c r="B334" t="s">
        <v>22</v>
      </c>
      <c r="C334" s="4">
        <v>24.8</v>
      </c>
      <c r="D334" s="4">
        <v>251.5</v>
      </c>
      <c r="E334" s="4">
        <v>71.599999999999994</v>
      </c>
      <c r="F334" s="4">
        <v>10.46</v>
      </c>
      <c r="G334" s="4">
        <v>39.700000000000003</v>
      </c>
      <c r="H334" s="4">
        <v>1.02</v>
      </c>
      <c r="I334" s="4">
        <v>18.3</v>
      </c>
      <c r="J334" s="4">
        <v>51.4</v>
      </c>
      <c r="K334" s="4">
        <v>2.81</v>
      </c>
      <c r="L334" s="4">
        <v>41.333333333333343</v>
      </c>
      <c r="M334" s="4">
        <v>251.5</v>
      </c>
      <c r="N334" s="4">
        <v>89.5</v>
      </c>
      <c r="O334" s="4">
        <v>26.15</v>
      </c>
      <c r="P334" s="4">
        <v>99.25</v>
      </c>
      <c r="Q334" s="4">
        <v>51.000000000000007</v>
      </c>
      <c r="R334" s="4">
        <v>252</v>
      </c>
      <c r="S334" s="4" t="str" cm="1">
        <f t="array" ref="S334">_xlfn.IFS($R334&lt;=50,"Good",$R334&lt;=100,"Moderate",$R334&lt;=200,"Poor",$R334&lt;=300,"Very Poor",$R334&lt;=500,"Hazardous")</f>
        <v>Very Poor</v>
      </c>
      <c r="T334" t="s">
        <v>28</v>
      </c>
      <c r="X334" s="2"/>
      <c r="Y334" s="2"/>
    </row>
    <row r="335" spans="1:25" x14ac:dyDescent="0.3">
      <c r="A335" s="2">
        <v>45358</v>
      </c>
      <c r="B335" t="s">
        <v>23</v>
      </c>
      <c r="C335" s="4">
        <v>22.7</v>
      </c>
      <c r="D335" s="4">
        <v>140.1</v>
      </c>
      <c r="E335" s="4">
        <v>41.9</v>
      </c>
      <c r="F335" s="4">
        <v>0.5</v>
      </c>
      <c r="G335" s="4">
        <v>18.5</v>
      </c>
      <c r="H335" s="4">
        <v>0.95</v>
      </c>
      <c r="I335" s="4">
        <v>38.200000000000003</v>
      </c>
      <c r="J335" s="4">
        <v>60</v>
      </c>
      <c r="K335" s="4">
        <v>0.9</v>
      </c>
      <c r="L335" s="4">
        <v>37.833333333333329</v>
      </c>
      <c r="M335" s="4">
        <v>140.1</v>
      </c>
      <c r="N335" s="4">
        <v>52.375</v>
      </c>
      <c r="O335" s="4">
        <v>1.25</v>
      </c>
      <c r="P335" s="4">
        <v>46.25</v>
      </c>
      <c r="Q335" s="4">
        <v>47.5</v>
      </c>
      <c r="R335" s="4">
        <v>140</v>
      </c>
      <c r="S335" s="4" t="str" cm="1">
        <f t="array" ref="S335">_xlfn.IFS($R335&lt;=50,"Good",$R335&lt;=100,"Moderate",$R335&lt;=200,"Poor",$R335&lt;=300,"Very Poor",$R335&lt;=500,"Hazardous")</f>
        <v>Poor</v>
      </c>
      <c r="T335" t="s">
        <v>28</v>
      </c>
      <c r="X335" s="2"/>
      <c r="Y335" s="2"/>
    </row>
    <row r="336" spans="1:25" x14ac:dyDescent="0.3">
      <c r="A336" s="2">
        <v>45358</v>
      </c>
      <c r="B336" t="s">
        <v>24</v>
      </c>
      <c r="C336" s="4">
        <v>82</v>
      </c>
      <c r="D336" s="4">
        <v>29.9</v>
      </c>
      <c r="E336" s="4">
        <v>73.3</v>
      </c>
      <c r="F336" s="4">
        <v>6.21</v>
      </c>
      <c r="G336" s="4">
        <v>41.4</v>
      </c>
      <c r="H336" s="4">
        <v>2.2000000000000002</v>
      </c>
      <c r="I336" s="4">
        <v>16</v>
      </c>
      <c r="J336" s="4">
        <v>24.9</v>
      </c>
      <c r="K336" s="4">
        <v>2.2999999999999998</v>
      </c>
      <c r="L336" s="4">
        <v>136.66666666666671</v>
      </c>
      <c r="M336" s="4">
        <v>29.9</v>
      </c>
      <c r="N336" s="4">
        <v>91.625</v>
      </c>
      <c r="O336" s="4">
        <v>15.525</v>
      </c>
      <c r="P336" s="4">
        <v>103.5</v>
      </c>
      <c r="Q336" s="4">
        <v>110</v>
      </c>
      <c r="R336" s="4">
        <v>137</v>
      </c>
      <c r="S336" s="4" t="str" cm="1">
        <f t="array" ref="S336">_xlfn.IFS($R336&lt;=50,"Good",$R336&lt;=100,"Moderate",$R336&lt;=200,"Poor",$R336&lt;=300,"Very Poor",$R336&lt;=500,"Hazardous")</f>
        <v>Poor</v>
      </c>
      <c r="T336" t="s">
        <v>25</v>
      </c>
      <c r="X336" s="2"/>
      <c r="Y336" s="2"/>
    </row>
    <row r="337" spans="1:25" x14ac:dyDescent="0.3">
      <c r="A337" s="2">
        <v>45359</v>
      </c>
      <c r="B337" t="s">
        <v>20</v>
      </c>
      <c r="C337" s="4">
        <v>104.8</v>
      </c>
      <c r="D337" s="4">
        <v>33.200000000000003</v>
      </c>
      <c r="E337" s="4">
        <v>2</v>
      </c>
      <c r="F337" s="4">
        <v>6.61</v>
      </c>
      <c r="G337" s="4">
        <v>61.9</v>
      </c>
      <c r="H337" s="4">
        <v>2.21</v>
      </c>
      <c r="I337" s="4">
        <v>21.8</v>
      </c>
      <c r="J337" s="4">
        <v>42.6</v>
      </c>
      <c r="K337" s="4">
        <v>3.88</v>
      </c>
      <c r="L337" s="4">
        <v>174.66666666666671</v>
      </c>
      <c r="M337" s="4">
        <v>33.200000000000003</v>
      </c>
      <c r="N337" s="4">
        <v>2.5</v>
      </c>
      <c r="O337" s="4">
        <v>16.524999999999999</v>
      </c>
      <c r="P337" s="4">
        <v>154.75</v>
      </c>
      <c r="Q337" s="4">
        <v>110.5</v>
      </c>
      <c r="R337" s="4">
        <v>175</v>
      </c>
      <c r="S337" s="4" t="str" cm="1">
        <f t="array" ref="S337">_xlfn.IFS($R337&lt;=50,"Good",$R337&lt;=100,"Moderate",$R337&lt;=200,"Poor",$R337&lt;=300,"Very Poor",$R337&lt;=500,"Hazardous")</f>
        <v>Poor</v>
      </c>
      <c r="T337" t="s">
        <v>25</v>
      </c>
      <c r="X337" s="2"/>
      <c r="Y337" s="2"/>
    </row>
    <row r="338" spans="1:25" x14ac:dyDescent="0.3">
      <c r="A338" s="2">
        <v>45359</v>
      </c>
      <c r="B338" t="s">
        <v>21</v>
      </c>
      <c r="C338" s="4">
        <v>4.9000000000000004</v>
      </c>
      <c r="D338" s="4">
        <v>120.9</v>
      </c>
      <c r="E338" s="4">
        <v>61</v>
      </c>
      <c r="F338" s="4">
        <v>12.81</v>
      </c>
      <c r="G338" s="4">
        <v>34.1</v>
      </c>
      <c r="H338" s="4">
        <v>1.53</v>
      </c>
      <c r="I338" s="4">
        <v>7.6</v>
      </c>
      <c r="J338" s="4">
        <v>38.200000000000003</v>
      </c>
      <c r="K338" s="4">
        <v>3.04</v>
      </c>
      <c r="L338" s="4">
        <v>8.1666666666666679</v>
      </c>
      <c r="M338" s="4">
        <v>120.9</v>
      </c>
      <c r="N338" s="4">
        <v>76.25</v>
      </c>
      <c r="O338" s="4">
        <v>32.024999999999999</v>
      </c>
      <c r="P338" s="4">
        <v>85.25</v>
      </c>
      <c r="Q338" s="4">
        <v>76.5</v>
      </c>
      <c r="R338" s="4">
        <v>121</v>
      </c>
      <c r="S338" s="4" t="str" cm="1">
        <f t="array" ref="S338">_xlfn.IFS($R338&lt;=50,"Good",$R338&lt;=100,"Moderate",$R338&lt;=200,"Poor",$R338&lt;=300,"Very Poor",$R338&lt;=500,"Hazardous")</f>
        <v>Poor</v>
      </c>
      <c r="T338" t="s">
        <v>28</v>
      </c>
      <c r="X338" s="2"/>
      <c r="Y338" s="2"/>
    </row>
    <row r="339" spans="1:25" x14ac:dyDescent="0.3">
      <c r="A339" s="2">
        <v>45359</v>
      </c>
      <c r="B339" t="s">
        <v>22</v>
      </c>
      <c r="C339" s="4">
        <v>29</v>
      </c>
      <c r="D339" s="4">
        <v>117.4</v>
      </c>
      <c r="E339" s="4">
        <v>51.2</v>
      </c>
      <c r="F339" s="4">
        <v>5.97</v>
      </c>
      <c r="G339" s="4">
        <v>42</v>
      </c>
      <c r="H339" s="4">
        <v>0.59</v>
      </c>
      <c r="I339" s="4">
        <v>23.6</v>
      </c>
      <c r="J339" s="4">
        <v>61</v>
      </c>
      <c r="K339" s="4">
        <v>2.69</v>
      </c>
      <c r="L339" s="4">
        <v>48.333333333333343</v>
      </c>
      <c r="M339" s="4">
        <v>117.4</v>
      </c>
      <c r="N339" s="4">
        <v>64</v>
      </c>
      <c r="O339" s="4">
        <v>14.925000000000001</v>
      </c>
      <c r="P339" s="4">
        <v>105</v>
      </c>
      <c r="Q339" s="4">
        <v>29.5</v>
      </c>
      <c r="R339" s="4">
        <v>117</v>
      </c>
      <c r="S339" s="4" t="str" cm="1">
        <f t="array" ref="S339">_xlfn.IFS($R339&lt;=50,"Good",$R339&lt;=100,"Moderate",$R339&lt;=200,"Poor",$R339&lt;=300,"Very Poor",$R339&lt;=500,"Hazardous")</f>
        <v>Poor</v>
      </c>
      <c r="T339" t="s">
        <v>28</v>
      </c>
      <c r="X339" s="2"/>
      <c r="Y339" s="2"/>
    </row>
    <row r="340" spans="1:25" x14ac:dyDescent="0.3">
      <c r="A340" s="2">
        <v>45359</v>
      </c>
      <c r="B340" t="s">
        <v>23</v>
      </c>
      <c r="C340" s="4">
        <v>42.4</v>
      </c>
      <c r="D340" s="4">
        <v>133.5</v>
      </c>
      <c r="E340" s="4">
        <v>59.3</v>
      </c>
      <c r="F340" s="4">
        <v>0.5</v>
      </c>
      <c r="G340" s="4">
        <v>69</v>
      </c>
      <c r="H340" s="4">
        <v>1</v>
      </c>
      <c r="I340" s="4">
        <v>28</v>
      </c>
      <c r="J340" s="4">
        <v>71.599999999999994</v>
      </c>
      <c r="K340" s="4">
        <v>0.85</v>
      </c>
      <c r="L340" s="4">
        <v>70.666666666666671</v>
      </c>
      <c r="M340" s="4">
        <v>133.5</v>
      </c>
      <c r="N340" s="4">
        <v>74.125</v>
      </c>
      <c r="O340" s="4">
        <v>1.25</v>
      </c>
      <c r="P340" s="4">
        <v>172.5</v>
      </c>
      <c r="Q340" s="4">
        <v>50</v>
      </c>
      <c r="R340" s="4">
        <v>172</v>
      </c>
      <c r="S340" s="4" t="str" cm="1">
        <f t="array" ref="S340">_xlfn.IFS($R340&lt;=50,"Good",$R340&lt;=100,"Moderate",$R340&lt;=200,"Poor",$R340&lt;=300,"Very Poor",$R340&lt;=500,"Hazardous")</f>
        <v>Poor</v>
      </c>
      <c r="T340" t="s">
        <v>27</v>
      </c>
      <c r="X340" s="2"/>
      <c r="Y340" s="2"/>
    </row>
    <row r="341" spans="1:25" x14ac:dyDescent="0.3">
      <c r="A341" s="2">
        <v>45359</v>
      </c>
      <c r="B341" t="s">
        <v>24</v>
      </c>
      <c r="C341" s="4">
        <v>42.6</v>
      </c>
      <c r="D341" s="4">
        <v>113</v>
      </c>
      <c r="E341" s="4">
        <v>32.299999999999997</v>
      </c>
      <c r="F341" s="4">
        <v>18.34</v>
      </c>
      <c r="G341" s="4">
        <v>20.399999999999999</v>
      </c>
      <c r="H341" s="4">
        <v>0.95</v>
      </c>
      <c r="I341" s="4">
        <v>26.4</v>
      </c>
      <c r="J341" s="4">
        <v>28.4</v>
      </c>
      <c r="K341" s="4">
        <v>2.5299999999999998</v>
      </c>
      <c r="L341" s="4">
        <v>71.000000000000014</v>
      </c>
      <c r="M341" s="4">
        <v>113</v>
      </c>
      <c r="N341" s="4">
        <v>40.374999999999993</v>
      </c>
      <c r="O341" s="4">
        <v>45.85</v>
      </c>
      <c r="P341" s="4">
        <v>51</v>
      </c>
      <c r="Q341" s="4">
        <v>47.5</v>
      </c>
      <c r="R341" s="4">
        <v>113</v>
      </c>
      <c r="S341" s="4" t="str" cm="1">
        <f t="array" ref="S341">_xlfn.IFS($R341&lt;=50,"Good",$R341&lt;=100,"Moderate",$R341&lt;=200,"Poor",$R341&lt;=300,"Very Poor",$R341&lt;=500,"Hazardous")</f>
        <v>Poor</v>
      </c>
      <c r="T341" t="s">
        <v>28</v>
      </c>
      <c r="X341" s="2"/>
      <c r="Y341" s="2"/>
    </row>
    <row r="342" spans="1:25" x14ac:dyDescent="0.3">
      <c r="A342" s="2">
        <v>45360</v>
      </c>
      <c r="B342" t="s">
        <v>20</v>
      </c>
      <c r="C342" s="4">
        <v>80</v>
      </c>
      <c r="D342" s="4">
        <v>115</v>
      </c>
      <c r="E342" s="4">
        <v>49.6</v>
      </c>
      <c r="F342" s="4">
        <v>6.16</v>
      </c>
      <c r="G342" s="4">
        <v>2.5</v>
      </c>
      <c r="H342" s="4">
        <v>1.6</v>
      </c>
      <c r="I342" s="4">
        <v>37.299999999999997</v>
      </c>
      <c r="J342" s="4">
        <v>50.3</v>
      </c>
      <c r="K342" s="4">
        <v>2.77</v>
      </c>
      <c r="L342" s="4">
        <v>133.33333333333329</v>
      </c>
      <c r="M342" s="4">
        <v>115</v>
      </c>
      <c r="N342" s="4">
        <v>62</v>
      </c>
      <c r="O342" s="4">
        <v>15.4</v>
      </c>
      <c r="P342" s="4">
        <v>6.25</v>
      </c>
      <c r="Q342" s="4">
        <v>80</v>
      </c>
      <c r="R342" s="4">
        <v>133</v>
      </c>
      <c r="S342" s="4" t="str" cm="1">
        <f t="array" ref="S342">_xlfn.IFS($R342&lt;=50,"Good",$R342&lt;=100,"Moderate",$R342&lt;=200,"Poor",$R342&lt;=300,"Very Poor",$R342&lt;=500,"Hazardous")</f>
        <v>Poor</v>
      </c>
      <c r="T342" t="s">
        <v>25</v>
      </c>
      <c r="X342" s="2"/>
      <c r="Y342" s="2"/>
    </row>
    <row r="343" spans="1:25" x14ac:dyDescent="0.3">
      <c r="A343" s="2">
        <v>45360</v>
      </c>
      <c r="B343" t="s">
        <v>21</v>
      </c>
      <c r="C343" s="4">
        <v>101</v>
      </c>
      <c r="D343" s="4">
        <v>54.8</v>
      </c>
      <c r="E343" s="4">
        <v>98.8</v>
      </c>
      <c r="F343" s="4">
        <v>11.26</v>
      </c>
      <c r="G343" s="4">
        <v>101</v>
      </c>
      <c r="H343" s="4">
        <v>0.95</v>
      </c>
      <c r="I343" s="4">
        <v>37.700000000000003</v>
      </c>
      <c r="J343" s="4">
        <v>64</v>
      </c>
      <c r="K343" s="4">
        <v>3.16</v>
      </c>
      <c r="L343" s="4">
        <v>168.33333333333329</v>
      </c>
      <c r="M343" s="4">
        <v>54.8</v>
      </c>
      <c r="N343" s="4">
        <v>123.5</v>
      </c>
      <c r="O343" s="4">
        <v>28.15</v>
      </c>
      <c r="P343" s="4">
        <v>252.5</v>
      </c>
      <c r="Q343" s="4">
        <v>47.5</v>
      </c>
      <c r="R343" s="4">
        <v>252</v>
      </c>
      <c r="S343" s="4" t="str" cm="1">
        <f t="array" ref="S343">_xlfn.IFS($R343&lt;=50,"Good",$R343&lt;=100,"Moderate",$R343&lt;=200,"Poor",$R343&lt;=300,"Very Poor",$R343&lt;=500,"Hazardous")</f>
        <v>Very Poor</v>
      </c>
      <c r="T343" t="s">
        <v>27</v>
      </c>
      <c r="X343" s="2"/>
      <c r="Y343" s="2"/>
    </row>
    <row r="344" spans="1:25" x14ac:dyDescent="0.3">
      <c r="A344" s="2">
        <v>45360</v>
      </c>
      <c r="B344" t="s">
        <v>22</v>
      </c>
      <c r="C344" s="4">
        <v>63.7</v>
      </c>
      <c r="D344" s="4">
        <v>99.8</v>
      </c>
      <c r="E344" s="4">
        <v>65.599999999999994</v>
      </c>
      <c r="F344" s="4">
        <v>8.27</v>
      </c>
      <c r="G344" s="4">
        <v>1</v>
      </c>
      <c r="H344" s="4">
        <v>0.5</v>
      </c>
      <c r="I344" s="4">
        <v>23.7</v>
      </c>
      <c r="J344" s="4">
        <v>55.6</v>
      </c>
      <c r="K344" s="4">
        <v>2.4300000000000002</v>
      </c>
      <c r="L344" s="4">
        <v>106.1666666666667</v>
      </c>
      <c r="M344" s="4">
        <v>99.8</v>
      </c>
      <c r="N344" s="4">
        <v>81.999999999999986</v>
      </c>
      <c r="O344" s="4">
        <v>20.675000000000001</v>
      </c>
      <c r="P344" s="4">
        <v>2.5</v>
      </c>
      <c r="Q344" s="4">
        <v>25</v>
      </c>
      <c r="R344" s="4">
        <v>106</v>
      </c>
      <c r="S344" s="4" t="str" cm="1">
        <f t="array" ref="S344">_xlfn.IFS($R344&lt;=50,"Good",$R344&lt;=100,"Moderate",$R344&lt;=200,"Poor",$R344&lt;=300,"Very Poor",$R344&lt;=500,"Hazardous")</f>
        <v>Poor</v>
      </c>
      <c r="T344" t="s">
        <v>25</v>
      </c>
      <c r="X344" s="2"/>
      <c r="Y344" s="2"/>
    </row>
    <row r="345" spans="1:25" x14ac:dyDescent="0.3">
      <c r="A345" s="2">
        <v>45360</v>
      </c>
      <c r="B345" t="s">
        <v>23</v>
      </c>
      <c r="C345" s="4">
        <v>96.6</v>
      </c>
      <c r="D345" s="4">
        <v>5</v>
      </c>
      <c r="E345" s="4">
        <v>47.9</v>
      </c>
      <c r="F345" s="4">
        <v>0.5</v>
      </c>
      <c r="G345" s="4">
        <v>59</v>
      </c>
      <c r="H345" s="4">
        <v>1.1399999999999999</v>
      </c>
      <c r="I345" s="4">
        <v>27.9</v>
      </c>
      <c r="J345" s="4">
        <v>34.5</v>
      </c>
      <c r="K345" s="4">
        <v>4.04</v>
      </c>
      <c r="L345" s="4">
        <v>161</v>
      </c>
      <c r="M345" s="4">
        <v>5</v>
      </c>
      <c r="N345" s="4">
        <v>59.875</v>
      </c>
      <c r="O345" s="4">
        <v>1.25</v>
      </c>
      <c r="P345" s="4">
        <v>147.5</v>
      </c>
      <c r="Q345" s="4">
        <v>56.999999999999993</v>
      </c>
      <c r="R345" s="4">
        <v>161</v>
      </c>
      <c r="S345" s="4" t="str" cm="1">
        <f t="array" ref="S345">_xlfn.IFS($R345&lt;=50,"Good",$R345&lt;=100,"Moderate",$R345&lt;=200,"Poor",$R345&lt;=300,"Very Poor",$R345&lt;=500,"Hazardous")</f>
        <v>Poor</v>
      </c>
      <c r="T345" t="s">
        <v>25</v>
      </c>
      <c r="X345" s="2"/>
      <c r="Y345" s="2"/>
    </row>
    <row r="346" spans="1:25" x14ac:dyDescent="0.3">
      <c r="A346" s="2">
        <v>45360</v>
      </c>
      <c r="B346" t="s">
        <v>24</v>
      </c>
      <c r="C346" s="4">
        <v>100.4</v>
      </c>
      <c r="D346" s="4">
        <v>170.5</v>
      </c>
      <c r="E346" s="4">
        <v>46.7</v>
      </c>
      <c r="F346" s="4">
        <v>11.99</v>
      </c>
      <c r="G346" s="4">
        <v>24.6</v>
      </c>
      <c r="H346" s="4">
        <v>1.88</v>
      </c>
      <c r="I346" s="4">
        <v>36.5</v>
      </c>
      <c r="J346" s="4">
        <v>69.3</v>
      </c>
      <c r="K346" s="4">
        <v>2.12</v>
      </c>
      <c r="L346" s="4">
        <v>167.33333333333329</v>
      </c>
      <c r="M346" s="4">
        <v>170.5</v>
      </c>
      <c r="N346" s="4">
        <v>58.375</v>
      </c>
      <c r="O346" s="4">
        <v>29.975000000000001</v>
      </c>
      <c r="P346" s="4">
        <v>61.500000000000007</v>
      </c>
      <c r="Q346" s="4">
        <v>94</v>
      </c>
      <c r="R346" s="4">
        <v>170</v>
      </c>
      <c r="S346" s="4" t="str" cm="1">
        <f t="array" ref="S346">_xlfn.IFS($R346&lt;=50,"Good",$R346&lt;=100,"Moderate",$R346&lt;=200,"Poor",$R346&lt;=300,"Very Poor",$R346&lt;=500,"Hazardous")</f>
        <v>Poor</v>
      </c>
      <c r="T346" t="s">
        <v>28</v>
      </c>
      <c r="X346" s="2"/>
      <c r="Y346" s="2"/>
    </row>
    <row r="347" spans="1:25" x14ac:dyDescent="0.3">
      <c r="A347" s="2">
        <v>45361</v>
      </c>
      <c r="B347" t="s">
        <v>20</v>
      </c>
      <c r="C347" s="4">
        <v>81.5</v>
      </c>
      <c r="D347" s="4">
        <v>48.8</v>
      </c>
      <c r="E347" s="4">
        <v>64.900000000000006</v>
      </c>
      <c r="F347" s="4">
        <v>11.79</v>
      </c>
      <c r="G347" s="4">
        <v>1</v>
      </c>
      <c r="H347" s="4">
        <v>0.57999999999999996</v>
      </c>
      <c r="I347" s="4">
        <v>23</v>
      </c>
      <c r="J347" s="4">
        <v>44.6</v>
      </c>
      <c r="K347" s="4">
        <v>1.05</v>
      </c>
      <c r="L347" s="4">
        <v>135.83333333333329</v>
      </c>
      <c r="M347" s="4">
        <v>48.8</v>
      </c>
      <c r="N347" s="4">
        <v>81.125</v>
      </c>
      <c r="O347" s="4">
        <v>29.475000000000001</v>
      </c>
      <c r="P347" s="4">
        <v>2.5</v>
      </c>
      <c r="Q347" s="4">
        <v>29</v>
      </c>
      <c r="R347" s="4">
        <v>136</v>
      </c>
      <c r="S347" s="4" t="str" cm="1">
        <f t="array" ref="S347">_xlfn.IFS($R347&lt;=50,"Good",$R347&lt;=100,"Moderate",$R347&lt;=200,"Poor",$R347&lt;=300,"Very Poor",$R347&lt;=500,"Hazardous")</f>
        <v>Poor</v>
      </c>
      <c r="T347" t="s">
        <v>25</v>
      </c>
      <c r="X347" s="2"/>
      <c r="Y347" s="2"/>
    </row>
    <row r="348" spans="1:25" x14ac:dyDescent="0.3">
      <c r="A348" s="2">
        <v>45361</v>
      </c>
      <c r="B348" t="s">
        <v>21</v>
      </c>
      <c r="C348" s="4">
        <v>89.6</v>
      </c>
      <c r="D348" s="4">
        <v>168.9</v>
      </c>
      <c r="E348" s="4">
        <v>51.4</v>
      </c>
      <c r="F348" s="4">
        <v>5.28</v>
      </c>
      <c r="G348" s="4">
        <v>82.8</v>
      </c>
      <c r="H348" s="4">
        <v>2.74</v>
      </c>
      <c r="I348" s="4">
        <v>21.6</v>
      </c>
      <c r="J348" s="4">
        <v>39</v>
      </c>
      <c r="K348" s="4">
        <v>3.09</v>
      </c>
      <c r="L348" s="4">
        <v>149.33333333333329</v>
      </c>
      <c r="M348" s="4">
        <v>168.9</v>
      </c>
      <c r="N348" s="4">
        <v>64.25</v>
      </c>
      <c r="O348" s="4">
        <v>13.2</v>
      </c>
      <c r="P348" s="4">
        <v>207</v>
      </c>
      <c r="Q348" s="4">
        <v>137</v>
      </c>
      <c r="R348" s="4">
        <v>207</v>
      </c>
      <c r="S348" s="4" t="str" cm="1">
        <f t="array" ref="S348">_xlfn.IFS($R348&lt;=50,"Good",$R348&lt;=100,"Moderate",$R348&lt;=200,"Poor",$R348&lt;=300,"Very Poor",$R348&lt;=500,"Hazardous")</f>
        <v>Very Poor</v>
      </c>
      <c r="T348" t="s">
        <v>27</v>
      </c>
      <c r="X348" s="2"/>
      <c r="Y348" s="2"/>
    </row>
    <row r="349" spans="1:25" x14ac:dyDescent="0.3">
      <c r="A349" s="2">
        <v>45361</v>
      </c>
      <c r="B349" t="s">
        <v>22</v>
      </c>
      <c r="C349" s="4">
        <v>46.8</v>
      </c>
      <c r="D349" s="4">
        <v>106.1</v>
      </c>
      <c r="E349" s="4">
        <v>56.8</v>
      </c>
      <c r="F349" s="4">
        <v>0.5</v>
      </c>
      <c r="G349" s="4">
        <v>69.3</v>
      </c>
      <c r="H349" s="4">
        <v>1.18</v>
      </c>
      <c r="I349" s="4">
        <v>22.1</v>
      </c>
      <c r="J349" s="4">
        <v>48.4</v>
      </c>
      <c r="K349" s="4">
        <v>2.4500000000000002</v>
      </c>
      <c r="L349" s="4">
        <v>78</v>
      </c>
      <c r="M349" s="4">
        <v>106.1</v>
      </c>
      <c r="N349" s="4">
        <v>71</v>
      </c>
      <c r="O349" s="4">
        <v>1.25</v>
      </c>
      <c r="P349" s="4">
        <v>173.25</v>
      </c>
      <c r="Q349" s="4">
        <v>59</v>
      </c>
      <c r="R349" s="4">
        <v>173</v>
      </c>
      <c r="S349" s="4" t="str" cm="1">
        <f t="array" ref="S349">_xlfn.IFS($R349&lt;=50,"Good",$R349&lt;=100,"Moderate",$R349&lt;=200,"Poor",$R349&lt;=300,"Very Poor",$R349&lt;=500,"Hazardous")</f>
        <v>Poor</v>
      </c>
      <c r="T349" t="s">
        <v>27</v>
      </c>
      <c r="X349" s="2"/>
      <c r="Y349" s="2"/>
    </row>
    <row r="350" spans="1:25" x14ac:dyDescent="0.3">
      <c r="A350" s="2">
        <v>45361</v>
      </c>
      <c r="B350" t="s">
        <v>23</v>
      </c>
      <c r="C350" s="4">
        <v>8.1</v>
      </c>
      <c r="D350" s="4">
        <v>209.7</v>
      </c>
      <c r="E350" s="4">
        <v>45.8</v>
      </c>
      <c r="F350" s="4">
        <v>10.220000000000001</v>
      </c>
      <c r="G350" s="4">
        <v>63.8</v>
      </c>
      <c r="H350" s="4">
        <v>0.59</v>
      </c>
      <c r="I350" s="4">
        <v>28.3</v>
      </c>
      <c r="J350" s="4">
        <v>45.2</v>
      </c>
      <c r="K350" s="4">
        <v>3.52</v>
      </c>
      <c r="L350" s="4">
        <v>13.5</v>
      </c>
      <c r="M350" s="4">
        <v>209.7</v>
      </c>
      <c r="N350" s="4">
        <v>57.249999999999993</v>
      </c>
      <c r="O350" s="4">
        <v>25.55</v>
      </c>
      <c r="P350" s="4">
        <v>159.5</v>
      </c>
      <c r="Q350" s="4">
        <v>29.5</v>
      </c>
      <c r="R350" s="4">
        <v>210</v>
      </c>
      <c r="S350" s="4" t="str" cm="1">
        <f t="array" ref="S350">_xlfn.IFS($R350&lt;=50,"Good",$R350&lt;=100,"Moderate",$R350&lt;=200,"Poor",$R350&lt;=300,"Very Poor",$R350&lt;=500,"Hazardous")</f>
        <v>Very Poor</v>
      </c>
      <c r="T350" t="s">
        <v>28</v>
      </c>
      <c r="X350" s="2"/>
      <c r="Y350" s="2"/>
    </row>
    <row r="351" spans="1:25" x14ac:dyDescent="0.3">
      <c r="A351" s="2">
        <v>45361</v>
      </c>
      <c r="B351" t="s">
        <v>24</v>
      </c>
      <c r="C351" s="4">
        <v>2</v>
      </c>
      <c r="D351" s="4">
        <v>125.5</v>
      </c>
      <c r="E351" s="4">
        <v>36.200000000000003</v>
      </c>
      <c r="F351" s="4">
        <v>11.18</v>
      </c>
      <c r="G351" s="4">
        <v>56.9</v>
      </c>
      <c r="H351" s="4">
        <v>0.85</v>
      </c>
      <c r="I351" s="4">
        <v>20</v>
      </c>
      <c r="J351" s="4">
        <v>48</v>
      </c>
      <c r="K351" s="4">
        <v>1.92</v>
      </c>
      <c r="L351" s="4">
        <v>3.333333333333333</v>
      </c>
      <c r="M351" s="4">
        <v>125.5</v>
      </c>
      <c r="N351" s="4">
        <v>45.250000000000007</v>
      </c>
      <c r="O351" s="4">
        <v>27.95</v>
      </c>
      <c r="P351" s="4">
        <v>142.25</v>
      </c>
      <c r="Q351" s="4">
        <v>42.499999999999993</v>
      </c>
      <c r="R351" s="4">
        <v>142</v>
      </c>
      <c r="S351" s="4" t="str" cm="1">
        <f t="array" ref="S351">_xlfn.IFS($R351&lt;=50,"Good",$R351&lt;=100,"Moderate",$R351&lt;=200,"Poor",$R351&lt;=300,"Very Poor",$R351&lt;=500,"Hazardous")</f>
        <v>Poor</v>
      </c>
      <c r="T351" t="s">
        <v>27</v>
      </c>
      <c r="X351" s="2"/>
      <c r="Y351" s="2"/>
    </row>
    <row r="352" spans="1:25" x14ac:dyDescent="0.3">
      <c r="A352" s="2">
        <v>45362</v>
      </c>
      <c r="B352" t="s">
        <v>20</v>
      </c>
      <c r="C352" s="4">
        <v>98</v>
      </c>
      <c r="D352" s="4">
        <v>112.5</v>
      </c>
      <c r="E352" s="4">
        <v>2</v>
      </c>
      <c r="F352" s="4">
        <v>7.04</v>
      </c>
      <c r="G352" s="4">
        <v>16.100000000000001</v>
      </c>
      <c r="H352" s="4">
        <v>0.25</v>
      </c>
      <c r="I352" s="4">
        <v>16.3</v>
      </c>
      <c r="J352" s="4">
        <v>52</v>
      </c>
      <c r="K352" s="4">
        <v>4.09</v>
      </c>
      <c r="L352" s="4">
        <v>163.33333333333329</v>
      </c>
      <c r="M352" s="4">
        <v>112.5</v>
      </c>
      <c r="N352" s="4">
        <v>2.5</v>
      </c>
      <c r="O352" s="4">
        <v>17.600000000000001</v>
      </c>
      <c r="P352" s="4">
        <v>40.25</v>
      </c>
      <c r="Q352" s="4">
        <v>12.5</v>
      </c>
      <c r="R352" s="4">
        <v>163</v>
      </c>
      <c r="S352" s="4" t="str" cm="1">
        <f t="array" ref="S352">_xlfn.IFS($R352&lt;=50,"Good",$R352&lt;=100,"Moderate",$R352&lt;=200,"Poor",$R352&lt;=300,"Very Poor",$R352&lt;=500,"Hazardous")</f>
        <v>Poor</v>
      </c>
      <c r="T352" t="s">
        <v>25</v>
      </c>
      <c r="X352" s="2"/>
      <c r="Y352" s="2"/>
    </row>
    <row r="353" spans="1:25" x14ac:dyDescent="0.3">
      <c r="A353" s="2">
        <v>45362</v>
      </c>
      <c r="B353" t="s">
        <v>21</v>
      </c>
      <c r="C353" s="4">
        <v>86.7</v>
      </c>
      <c r="D353" s="4">
        <v>104.5</v>
      </c>
      <c r="E353" s="4">
        <v>67.599999999999994</v>
      </c>
      <c r="F353" s="4">
        <v>7.13</v>
      </c>
      <c r="G353" s="4">
        <v>28.3</v>
      </c>
      <c r="H353" s="4">
        <v>0.63</v>
      </c>
      <c r="I353" s="4">
        <v>12.7</v>
      </c>
      <c r="J353" s="4">
        <v>43</v>
      </c>
      <c r="K353" s="4">
        <v>2.69</v>
      </c>
      <c r="L353" s="4">
        <v>144.5</v>
      </c>
      <c r="M353" s="4">
        <v>104.5</v>
      </c>
      <c r="N353" s="4">
        <v>84.499999999999986</v>
      </c>
      <c r="O353" s="4">
        <v>17.824999999999999</v>
      </c>
      <c r="P353" s="4">
        <v>70.750000000000014</v>
      </c>
      <c r="Q353" s="4">
        <v>31.5</v>
      </c>
      <c r="R353" s="4">
        <v>145</v>
      </c>
      <c r="S353" s="4" t="str" cm="1">
        <f t="array" ref="S353">_xlfn.IFS($R353&lt;=50,"Good",$R353&lt;=100,"Moderate",$R353&lt;=200,"Poor",$R353&lt;=300,"Very Poor",$R353&lt;=500,"Hazardous")</f>
        <v>Poor</v>
      </c>
      <c r="T353" t="s">
        <v>25</v>
      </c>
      <c r="X353" s="2"/>
      <c r="Y353" s="2"/>
    </row>
    <row r="354" spans="1:25" x14ac:dyDescent="0.3">
      <c r="A354" s="2">
        <v>45362</v>
      </c>
      <c r="B354" t="s">
        <v>22</v>
      </c>
      <c r="C354" s="4">
        <v>54.2</v>
      </c>
      <c r="D354" s="4">
        <v>90.3</v>
      </c>
      <c r="E354" s="4">
        <v>24.8</v>
      </c>
      <c r="F354" s="4">
        <v>10.49</v>
      </c>
      <c r="G354" s="4">
        <v>6.7</v>
      </c>
      <c r="H354" s="4">
        <v>1.58</v>
      </c>
      <c r="I354" s="4">
        <v>18</v>
      </c>
      <c r="J354" s="4">
        <v>36.5</v>
      </c>
      <c r="K354" s="4">
        <v>0.74</v>
      </c>
      <c r="L354" s="4">
        <v>90.333333333333329</v>
      </c>
      <c r="M354" s="4">
        <v>90.3</v>
      </c>
      <c r="N354" s="4">
        <v>31</v>
      </c>
      <c r="O354" s="4">
        <v>26.225000000000001</v>
      </c>
      <c r="P354" s="4">
        <v>16.75</v>
      </c>
      <c r="Q354" s="4">
        <v>79</v>
      </c>
      <c r="R354" s="4">
        <v>90</v>
      </c>
      <c r="S354" s="4" t="str" cm="1">
        <f t="array" ref="S354">_xlfn.IFS($R354&lt;=50,"Good",$R354&lt;=100,"Moderate",$R354&lt;=200,"Poor",$R354&lt;=300,"Very Poor",$R354&lt;=500,"Hazardous")</f>
        <v>Moderate</v>
      </c>
      <c r="T354" t="s">
        <v>25</v>
      </c>
      <c r="X354" s="2"/>
      <c r="Y354" s="2"/>
    </row>
    <row r="355" spans="1:25" x14ac:dyDescent="0.3">
      <c r="A355" s="2">
        <v>45362</v>
      </c>
      <c r="B355" t="s">
        <v>23</v>
      </c>
      <c r="C355" s="4">
        <v>45</v>
      </c>
      <c r="D355" s="4">
        <v>178.5</v>
      </c>
      <c r="E355" s="4">
        <v>55.3</v>
      </c>
      <c r="F355" s="4">
        <v>12.89</v>
      </c>
      <c r="G355" s="4">
        <v>53.1</v>
      </c>
      <c r="H355" s="4">
        <v>0.54</v>
      </c>
      <c r="I355" s="4">
        <v>22.7</v>
      </c>
      <c r="J355" s="4">
        <v>36</v>
      </c>
      <c r="K355" s="4">
        <v>4.0999999999999996</v>
      </c>
      <c r="L355" s="4">
        <v>75</v>
      </c>
      <c r="M355" s="4">
        <v>178.5</v>
      </c>
      <c r="N355" s="4">
        <v>69.124999999999986</v>
      </c>
      <c r="O355" s="4">
        <v>32.225000000000001</v>
      </c>
      <c r="P355" s="4">
        <v>132.75</v>
      </c>
      <c r="Q355" s="4">
        <v>27</v>
      </c>
      <c r="R355" s="4">
        <v>178</v>
      </c>
      <c r="S355" s="4" t="str" cm="1">
        <f t="array" ref="S355">_xlfn.IFS($R355&lt;=50,"Good",$R355&lt;=100,"Moderate",$R355&lt;=200,"Poor",$R355&lt;=300,"Very Poor",$R355&lt;=500,"Hazardous")</f>
        <v>Poor</v>
      </c>
      <c r="T355" t="s">
        <v>28</v>
      </c>
      <c r="X355" s="2"/>
      <c r="Y355" s="2"/>
    </row>
    <row r="356" spans="1:25" x14ac:dyDescent="0.3">
      <c r="A356" s="2">
        <v>45362</v>
      </c>
      <c r="B356" t="s">
        <v>24</v>
      </c>
      <c r="C356" s="4">
        <v>26.5</v>
      </c>
      <c r="D356" s="4">
        <v>191</v>
      </c>
      <c r="E356" s="4">
        <v>69.099999999999994</v>
      </c>
      <c r="F356" s="4">
        <v>18.86</v>
      </c>
      <c r="G356" s="4">
        <v>32.700000000000003</v>
      </c>
      <c r="H356" s="4">
        <v>1.79</v>
      </c>
      <c r="I356" s="4">
        <v>41</v>
      </c>
      <c r="J356" s="4">
        <v>38.9</v>
      </c>
      <c r="K356" s="4">
        <v>1.1599999999999999</v>
      </c>
      <c r="L356" s="4">
        <v>44.166666666666657</v>
      </c>
      <c r="M356" s="4">
        <v>191</v>
      </c>
      <c r="N356" s="4">
        <v>86.375</v>
      </c>
      <c r="O356" s="4">
        <v>47.15</v>
      </c>
      <c r="P356" s="4">
        <v>81.75</v>
      </c>
      <c r="Q356" s="4">
        <v>89.5</v>
      </c>
      <c r="R356" s="4">
        <v>191</v>
      </c>
      <c r="S356" s="4" t="str" cm="1">
        <f t="array" ref="S356">_xlfn.IFS($R356&lt;=50,"Good",$R356&lt;=100,"Moderate",$R356&lt;=200,"Poor",$R356&lt;=300,"Very Poor",$R356&lt;=500,"Hazardous")</f>
        <v>Poor</v>
      </c>
      <c r="T356" t="s">
        <v>28</v>
      </c>
      <c r="X356" s="2"/>
      <c r="Y356" s="2"/>
    </row>
    <row r="357" spans="1:25" x14ac:dyDescent="0.3">
      <c r="A357" s="2">
        <v>45363</v>
      </c>
      <c r="B357" t="s">
        <v>20</v>
      </c>
      <c r="C357" s="4">
        <v>4.0999999999999996</v>
      </c>
      <c r="D357" s="4">
        <v>187.2</v>
      </c>
      <c r="E357" s="4">
        <v>8.4</v>
      </c>
      <c r="F357" s="4">
        <v>7.06</v>
      </c>
      <c r="G357" s="4">
        <v>58.6</v>
      </c>
      <c r="H357" s="4">
        <v>1.51</v>
      </c>
      <c r="I357" s="4">
        <v>28</v>
      </c>
      <c r="J357" s="4">
        <v>54</v>
      </c>
      <c r="K357" s="4">
        <v>4.03</v>
      </c>
      <c r="L357" s="4">
        <v>6.833333333333333</v>
      </c>
      <c r="M357" s="4">
        <v>187.2</v>
      </c>
      <c r="N357" s="4">
        <v>10.5</v>
      </c>
      <c r="O357" s="4">
        <v>17.649999999999999</v>
      </c>
      <c r="P357" s="4">
        <v>146.5</v>
      </c>
      <c r="Q357" s="4">
        <v>75.5</v>
      </c>
      <c r="R357" s="4">
        <v>187</v>
      </c>
      <c r="S357" s="4" t="str" cm="1">
        <f t="array" ref="S357">_xlfn.IFS($R357&lt;=50,"Good",$R357&lt;=100,"Moderate",$R357&lt;=200,"Poor",$R357&lt;=300,"Very Poor",$R357&lt;=500,"Hazardous")</f>
        <v>Poor</v>
      </c>
      <c r="T357" t="s">
        <v>28</v>
      </c>
      <c r="X357" s="2"/>
      <c r="Y357" s="2"/>
    </row>
    <row r="358" spans="1:25" x14ac:dyDescent="0.3">
      <c r="A358" s="2">
        <v>45363</v>
      </c>
      <c r="B358" t="s">
        <v>21</v>
      </c>
      <c r="C358" s="4">
        <v>39.299999999999997</v>
      </c>
      <c r="D358" s="4">
        <v>99.2</v>
      </c>
      <c r="E358" s="4">
        <v>36.9</v>
      </c>
      <c r="F358" s="4">
        <v>15.19</v>
      </c>
      <c r="G358" s="4">
        <v>78.099999999999994</v>
      </c>
      <c r="H358" s="4">
        <v>1.84</v>
      </c>
      <c r="I358" s="4">
        <v>33.299999999999997</v>
      </c>
      <c r="J358" s="4">
        <v>28.8</v>
      </c>
      <c r="K358" s="4">
        <v>4.5</v>
      </c>
      <c r="L358" s="4">
        <v>65.499999999999986</v>
      </c>
      <c r="M358" s="4">
        <v>99.2</v>
      </c>
      <c r="N358" s="4">
        <v>46.125</v>
      </c>
      <c r="O358" s="4">
        <v>37.975000000000001</v>
      </c>
      <c r="P358" s="4">
        <v>195.25</v>
      </c>
      <c r="Q358" s="4">
        <v>92</v>
      </c>
      <c r="R358" s="4">
        <v>195</v>
      </c>
      <c r="S358" s="4" t="str" cm="1">
        <f t="array" ref="S358">_xlfn.IFS($R358&lt;=50,"Good",$R358&lt;=100,"Moderate",$R358&lt;=200,"Poor",$R358&lt;=300,"Very Poor",$R358&lt;=500,"Hazardous")</f>
        <v>Poor</v>
      </c>
      <c r="T358" t="s">
        <v>27</v>
      </c>
      <c r="X358" s="2"/>
      <c r="Y358" s="2"/>
    </row>
    <row r="359" spans="1:25" x14ac:dyDescent="0.3">
      <c r="A359" s="2">
        <v>45363</v>
      </c>
      <c r="B359" t="s">
        <v>22</v>
      </c>
      <c r="C359" s="4">
        <v>100.4</v>
      </c>
      <c r="D359" s="4">
        <v>155.9</v>
      </c>
      <c r="E359" s="4">
        <v>76.599999999999994</v>
      </c>
      <c r="F359" s="4">
        <v>0.5</v>
      </c>
      <c r="G359" s="4">
        <v>25.5</v>
      </c>
      <c r="H359" s="4">
        <v>0.72</v>
      </c>
      <c r="I359" s="4">
        <v>30.1</v>
      </c>
      <c r="J359" s="4">
        <v>31.1</v>
      </c>
      <c r="K359" s="4">
        <v>3.41</v>
      </c>
      <c r="L359" s="4">
        <v>167.33333333333329</v>
      </c>
      <c r="M359" s="4">
        <v>155.9</v>
      </c>
      <c r="N359" s="4">
        <v>95.749999999999986</v>
      </c>
      <c r="O359" s="4">
        <v>1.25</v>
      </c>
      <c r="P359" s="4">
        <v>63.75</v>
      </c>
      <c r="Q359" s="4">
        <v>36</v>
      </c>
      <c r="R359" s="4">
        <v>167</v>
      </c>
      <c r="S359" s="4" t="str" cm="1">
        <f t="array" ref="S359">_xlfn.IFS($R359&lt;=50,"Good",$R359&lt;=100,"Moderate",$R359&lt;=200,"Poor",$R359&lt;=300,"Very Poor",$R359&lt;=500,"Hazardous")</f>
        <v>Poor</v>
      </c>
      <c r="T359" t="s">
        <v>25</v>
      </c>
      <c r="X359" s="2"/>
      <c r="Y359" s="2"/>
    </row>
    <row r="360" spans="1:25" x14ac:dyDescent="0.3">
      <c r="A360" s="2">
        <v>45363</v>
      </c>
      <c r="B360" t="s">
        <v>23</v>
      </c>
      <c r="C360" s="4">
        <v>101.1</v>
      </c>
      <c r="D360" s="4">
        <v>161.69999999999999</v>
      </c>
      <c r="E360" s="4">
        <v>50.7</v>
      </c>
      <c r="F360" s="4">
        <v>3.06</v>
      </c>
      <c r="G360" s="4">
        <v>18.8</v>
      </c>
      <c r="H360" s="4">
        <v>1.95</v>
      </c>
      <c r="I360" s="4">
        <v>30.5</v>
      </c>
      <c r="J360" s="4">
        <v>49.3</v>
      </c>
      <c r="K360" s="4">
        <v>2</v>
      </c>
      <c r="L360" s="4">
        <v>168.5</v>
      </c>
      <c r="M360" s="4">
        <v>161.69999999999999</v>
      </c>
      <c r="N360" s="4">
        <v>63.375</v>
      </c>
      <c r="O360" s="4">
        <v>7.65</v>
      </c>
      <c r="P360" s="4">
        <v>47</v>
      </c>
      <c r="Q360" s="4">
        <v>97.5</v>
      </c>
      <c r="R360" s="4">
        <v>168</v>
      </c>
      <c r="S360" s="4" t="str" cm="1">
        <f t="array" ref="S360">_xlfn.IFS($R360&lt;=50,"Good",$R360&lt;=100,"Moderate",$R360&lt;=200,"Poor",$R360&lt;=300,"Very Poor",$R360&lt;=500,"Hazardous")</f>
        <v>Poor</v>
      </c>
      <c r="T360" t="s">
        <v>25</v>
      </c>
      <c r="X360" s="2"/>
      <c r="Y360" s="2"/>
    </row>
    <row r="361" spans="1:25" x14ac:dyDescent="0.3">
      <c r="A361" s="2">
        <v>45363</v>
      </c>
      <c r="B361" t="s">
        <v>24</v>
      </c>
      <c r="C361" s="4">
        <v>2</v>
      </c>
      <c r="D361" s="4">
        <v>61.3</v>
      </c>
      <c r="E361" s="4">
        <v>91.6</v>
      </c>
      <c r="F361" s="4">
        <v>1.76</v>
      </c>
      <c r="G361" s="4">
        <v>49.2</v>
      </c>
      <c r="H361" s="4">
        <v>1.98</v>
      </c>
      <c r="I361" s="4">
        <v>16.2</v>
      </c>
      <c r="J361" s="4">
        <v>53.3</v>
      </c>
      <c r="K361" s="4">
        <v>4.13</v>
      </c>
      <c r="L361" s="4">
        <v>3.333333333333333</v>
      </c>
      <c r="M361" s="4">
        <v>61.3</v>
      </c>
      <c r="N361" s="4">
        <v>114.5</v>
      </c>
      <c r="O361" s="4">
        <v>4.4000000000000004</v>
      </c>
      <c r="P361" s="4">
        <v>123</v>
      </c>
      <c r="Q361" s="4">
        <v>99</v>
      </c>
      <c r="R361" s="4">
        <v>123</v>
      </c>
      <c r="S361" s="4" t="str" cm="1">
        <f t="array" ref="S361">_xlfn.IFS($R361&lt;=50,"Good",$R361&lt;=100,"Moderate",$R361&lt;=200,"Poor",$R361&lt;=300,"Very Poor",$R361&lt;=500,"Hazardous")</f>
        <v>Poor</v>
      </c>
      <c r="T361" t="s">
        <v>27</v>
      </c>
      <c r="X361" s="2"/>
      <c r="Y361" s="2"/>
    </row>
    <row r="362" spans="1:25" x14ac:dyDescent="0.3">
      <c r="A362" s="2">
        <v>45364</v>
      </c>
      <c r="B362" t="s">
        <v>20</v>
      </c>
      <c r="C362" s="4">
        <v>69.400000000000006</v>
      </c>
      <c r="D362" s="4">
        <v>335.9</v>
      </c>
      <c r="E362" s="4">
        <v>13.4</v>
      </c>
      <c r="F362" s="4">
        <v>15.29</v>
      </c>
      <c r="G362" s="4">
        <v>41</v>
      </c>
      <c r="H362" s="4">
        <v>1.91</v>
      </c>
      <c r="I362" s="4">
        <v>28.1</v>
      </c>
      <c r="J362" s="4">
        <v>36.799999999999997</v>
      </c>
      <c r="K362" s="4">
        <v>2.77</v>
      </c>
      <c r="L362" s="4">
        <v>115.6666666666667</v>
      </c>
      <c r="M362" s="4">
        <v>335.9</v>
      </c>
      <c r="N362" s="4">
        <v>16.75</v>
      </c>
      <c r="O362" s="4">
        <v>38.224999999999987</v>
      </c>
      <c r="P362" s="4">
        <v>102.5</v>
      </c>
      <c r="Q362" s="4">
        <v>95.5</v>
      </c>
      <c r="R362" s="4">
        <v>336</v>
      </c>
      <c r="S362" s="4" t="str" cm="1">
        <f t="array" ref="S362">_xlfn.IFS($R362&lt;=50,"Good",$R362&lt;=100,"Moderate",$R362&lt;=200,"Poor",$R362&lt;=300,"Very Poor",$R362&lt;=500,"Hazardous")</f>
        <v>Hazardous</v>
      </c>
      <c r="T362" t="s">
        <v>28</v>
      </c>
      <c r="X362" s="2"/>
      <c r="Y362" s="2"/>
    </row>
    <row r="363" spans="1:25" x14ac:dyDescent="0.3">
      <c r="A363" s="2">
        <v>45364</v>
      </c>
      <c r="B363" t="s">
        <v>21</v>
      </c>
      <c r="C363" s="4">
        <v>5.3</v>
      </c>
      <c r="D363" s="4">
        <v>195.2</v>
      </c>
      <c r="E363" s="4">
        <v>63.7</v>
      </c>
      <c r="F363" s="4">
        <v>13.99</v>
      </c>
      <c r="G363" s="4">
        <v>83.1</v>
      </c>
      <c r="H363" s="4">
        <v>1.78</v>
      </c>
      <c r="I363" s="4">
        <v>26</v>
      </c>
      <c r="J363" s="4">
        <v>34.1</v>
      </c>
      <c r="K363" s="4">
        <v>1.65</v>
      </c>
      <c r="L363" s="4">
        <v>8.8333333333333339</v>
      </c>
      <c r="M363" s="4">
        <v>195.2</v>
      </c>
      <c r="N363" s="4">
        <v>79.625</v>
      </c>
      <c r="O363" s="4">
        <v>34.975000000000001</v>
      </c>
      <c r="P363" s="4">
        <v>207.75</v>
      </c>
      <c r="Q363" s="4">
        <v>89</v>
      </c>
      <c r="R363" s="4">
        <v>208</v>
      </c>
      <c r="S363" s="4" t="str" cm="1">
        <f t="array" ref="S363">_xlfn.IFS($R363&lt;=50,"Good",$R363&lt;=100,"Moderate",$R363&lt;=200,"Poor",$R363&lt;=300,"Very Poor",$R363&lt;=500,"Hazardous")</f>
        <v>Very Poor</v>
      </c>
      <c r="T363" t="s">
        <v>27</v>
      </c>
      <c r="X363" s="2"/>
      <c r="Y363" s="2"/>
    </row>
    <row r="364" spans="1:25" x14ac:dyDescent="0.3">
      <c r="A364" s="2">
        <v>45364</v>
      </c>
      <c r="B364" t="s">
        <v>22</v>
      </c>
      <c r="C364" s="4">
        <v>90.8</v>
      </c>
      <c r="D364" s="4">
        <v>195.9</v>
      </c>
      <c r="E364" s="4">
        <v>38.200000000000003</v>
      </c>
      <c r="F364" s="4">
        <v>7.82</v>
      </c>
      <c r="G364" s="4">
        <v>16.5</v>
      </c>
      <c r="H364" s="4">
        <v>1.81</v>
      </c>
      <c r="I364" s="4">
        <v>29.7</v>
      </c>
      <c r="J364" s="4">
        <v>84.9</v>
      </c>
      <c r="K364" s="4">
        <v>1.45</v>
      </c>
      <c r="L364" s="4">
        <v>151.33333333333329</v>
      </c>
      <c r="M364" s="4">
        <v>195.9</v>
      </c>
      <c r="N364" s="4">
        <v>47.75</v>
      </c>
      <c r="O364" s="4">
        <v>19.55</v>
      </c>
      <c r="P364" s="4">
        <v>41.25</v>
      </c>
      <c r="Q364" s="4">
        <v>90.5</v>
      </c>
      <c r="R364" s="4">
        <v>196</v>
      </c>
      <c r="S364" s="4" t="str" cm="1">
        <f t="array" ref="S364">_xlfn.IFS($R364&lt;=50,"Good",$R364&lt;=100,"Moderate",$R364&lt;=200,"Poor",$R364&lt;=300,"Very Poor",$R364&lt;=500,"Hazardous")</f>
        <v>Poor</v>
      </c>
      <c r="T364" t="s">
        <v>28</v>
      </c>
      <c r="X364" s="2"/>
      <c r="Y364" s="2"/>
    </row>
    <row r="365" spans="1:25" x14ac:dyDescent="0.3">
      <c r="A365" s="2">
        <v>45364</v>
      </c>
      <c r="B365" t="s">
        <v>23</v>
      </c>
      <c r="C365" s="4">
        <v>48.7</v>
      </c>
      <c r="D365" s="4">
        <v>133.9</v>
      </c>
      <c r="E365" s="4">
        <v>57.9</v>
      </c>
      <c r="F365" s="4">
        <v>6.92</v>
      </c>
      <c r="G365" s="4">
        <v>18.2</v>
      </c>
      <c r="H365" s="4">
        <v>1.73</v>
      </c>
      <c r="I365" s="4">
        <v>30</v>
      </c>
      <c r="J365" s="4">
        <v>33.5</v>
      </c>
      <c r="K365" s="4">
        <v>4.13</v>
      </c>
      <c r="L365" s="4">
        <v>81.166666666666671</v>
      </c>
      <c r="M365" s="4">
        <v>133.9</v>
      </c>
      <c r="N365" s="4">
        <v>72.375</v>
      </c>
      <c r="O365" s="4">
        <v>17.3</v>
      </c>
      <c r="P365" s="4">
        <v>45.5</v>
      </c>
      <c r="Q365" s="4">
        <v>86.5</v>
      </c>
      <c r="R365" s="4">
        <v>134</v>
      </c>
      <c r="S365" s="4" t="str" cm="1">
        <f t="array" ref="S365">_xlfn.IFS($R365&lt;=50,"Good",$R365&lt;=100,"Moderate",$R365&lt;=200,"Poor",$R365&lt;=300,"Very Poor",$R365&lt;=500,"Hazardous")</f>
        <v>Poor</v>
      </c>
      <c r="T365" t="s">
        <v>28</v>
      </c>
      <c r="X365" s="2"/>
      <c r="Y365" s="2"/>
    </row>
    <row r="366" spans="1:25" x14ac:dyDescent="0.3">
      <c r="A366" s="2">
        <v>45364</v>
      </c>
      <c r="B366" t="s">
        <v>24</v>
      </c>
      <c r="C366" s="4">
        <v>104.6</v>
      </c>
      <c r="D366" s="4">
        <v>140.9</v>
      </c>
      <c r="E366" s="4">
        <v>51.3</v>
      </c>
      <c r="F366" s="4">
        <v>11.85</v>
      </c>
      <c r="G366" s="4">
        <v>20.3</v>
      </c>
      <c r="H366" s="4">
        <v>1.34</v>
      </c>
      <c r="I366" s="4">
        <v>9.9</v>
      </c>
      <c r="J366" s="4">
        <v>65.8</v>
      </c>
      <c r="K366" s="4">
        <v>1.1299999999999999</v>
      </c>
      <c r="L366" s="4">
        <v>174.33333333333329</v>
      </c>
      <c r="M366" s="4">
        <v>140.9</v>
      </c>
      <c r="N366" s="4">
        <v>64.125</v>
      </c>
      <c r="O366" s="4">
        <v>29.625</v>
      </c>
      <c r="P366" s="4">
        <v>50.75</v>
      </c>
      <c r="Q366" s="4">
        <v>67</v>
      </c>
      <c r="R366" s="4">
        <v>174</v>
      </c>
      <c r="S366" s="4" t="str" cm="1">
        <f t="array" ref="S366">_xlfn.IFS($R366&lt;=50,"Good",$R366&lt;=100,"Moderate",$R366&lt;=200,"Poor",$R366&lt;=300,"Very Poor",$R366&lt;=500,"Hazardous")</f>
        <v>Poor</v>
      </c>
      <c r="T366" t="s">
        <v>25</v>
      </c>
      <c r="X366" s="2"/>
      <c r="Y366" s="2"/>
    </row>
    <row r="367" spans="1:25" x14ac:dyDescent="0.3">
      <c r="A367" s="2">
        <v>45365</v>
      </c>
      <c r="B367" t="s">
        <v>20</v>
      </c>
      <c r="C367" s="4">
        <v>120.9</v>
      </c>
      <c r="D367" s="4">
        <v>115.2</v>
      </c>
      <c r="E367" s="4">
        <v>46.9</v>
      </c>
      <c r="F367" s="4">
        <v>5.59</v>
      </c>
      <c r="G367" s="4">
        <v>37.700000000000003</v>
      </c>
      <c r="H367" s="4">
        <v>2.36</v>
      </c>
      <c r="I367" s="4">
        <v>7.6</v>
      </c>
      <c r="J367" s="4">
        <v>73</v>
      </c>
      <c r="K367" s="4">
        <v>2.91</v>
      </c>
      <c r="L367" s="4">
        <v>201.5</v>
      </c>
      <c r="M367" s="4">
        <v>115.2</v>
      </c>
      <c r="N367" s="4">
        <v>58.625</v>
      </c>
      <c r="O367" s="4">
        <v>13.975</v>
      </c>
      <c r="P367" s="4">
        <v>94.25</v>
      </c>
      <c r="Q367" s="4">
        <v>118</v>
      </c>
      <c r="R367" s="4">
        <v>202</v>
      </c>
      <c r="S367" s="4" t="str" cm="1">
        <f t="array" ref="S367">_xlfn.IFS($R367&lt;=50,"Good",$R367&lt;=100,"Moderate",$R367&lt;=200,"Poor",$R367&lt;=300,"Very Poor",$R367&lt;=500,"Hazardous")</f>
        <v>Very Poor</v>
      </c>
      <c r="T367" t="s">
        <v>25</v>
      </c>
      <c r="X367" s="2"/>
      <c r="Y367" s="2"/>
    </row>
    <row r="368" spans="1:25" x14ac:dyDescent="0.3">
      <c r="A368" s="2">
        <v>45365</v>
      </c>
      <c r="B368" t="s">
        <v>21</v>
      </c>
      <c r="C368" s="4">
        <v>29.7</v>
      </c>
      <c r="D368" s="4">
        <v>69.400000000000006</v>
      </c>
      <c r="E368" s="4">
        <v>98.2</v>
      </c>
      <c r="F368" s="4">
        <v>4.09</v>
      </c>
      <c r="G368" s="4">
        <v>14</v>
      </c>
      <c r="H368" s="4">
        <v>2.35</v>
      </c>
      <c r="I368" s="4">
        <v>27.4</v>
      </c>
      <c r="J368" s="4">
        <v>33.1</v>
      </c>
      <c r="K368" s="4">
        <v>2.76</v>
      </c>
      <c r="L368" s="4">
        <v>49.499999999999993</v>
      </c>
      <c r="M368" s="4">
        <v>69.400000000000006</v>
      </c>
      <c r="N368" s="4">
        <v>122.75</v>
      </c>
      <c r="O368" s="4">
        <v>10.225</v>
      </c>
      <c r="P368" s="4">
        <v>35</v>
      </c>
      <c r="Q368" s="4">
        <v>117.5</v>
      </c>
      <c r="R368" s="4">
        <v>123</v>
      </c>
      <c r="S368" s="4" t="str" cm="1">
        <f t="array" ref="S368">_xlfn.IFS($R368&lt;=50,"Good",$R368&lt;=100,"Moderate",$R368&lt;=200,"Poor",$R368&lt;=300,"Very Poor",$R368&lt;=500,"Hazardous")</f>
        <v>Poor</v>
      </c>
      <c r="T368" t="s">
        <v>26</v>
      </c>
      <c r="X368" s="2"/>
      <c r="Y368" s="2"/>
    </row>
    <row r="369" spans="1:25" x14ac:dyDescent="0.3">
      <c r="A369" s="2">
        <v>45365</v>
      </c>
      <c r="B369" t="s">
        <v>22</v>
      </c>
      <c r="C369" s="4">
        <v>27.8</v>
      </c>
      <c r="D369" s="4">
        <v>176.7</v>
      </c>
      <c r="E369" s="4">
        <v>62.9</v>
      </c>
      <c r="F369" s="4">
        <v>10.130000000000001</v>
      </c>
      <c r="G369" s="4">
        <v>46.6</v>
      </c>
      <c r="H369" s="4">
        <v>2.14</v>
      </c>
      <c r="I369" s="4">
        <v>25</v>
      </c>
      <c r="J369" s="4">
        <v>28.7</v>
      </c>
      <c r="K369" s="4">
        <v>3.04</v>
      </c>
      <c r="L369" s="4">
        <v>46.333333333333343</v>
      </c>
      <c r="M369" s="4">
        <v>176.7</v>
      </c>
      <c r="N369" s="4">
        <v>78.625</v>
      </c>
      <c r="O369" s="4">
        <v>25.324999999999999</v>
      </c>
      <c r="P369" s="4">
        <v>116.5</v>
      </c>
      <c r="Q369" s="4">
        <v>107</v>
      </c>
      <c r="R369" s="4">
        <v>177</v>
      </c>
      <c r="S369" s="4" t="str" cm="1">
        <f t="array" ref="S369">_xlfn.IFS($R369&lt;=50,"Good",$R369&lt;=100,"Moderate",$R369&lt;=200,"Poor",$R369&lt;=300,"Very Poor",$R369&lt;=500,"Hazardous")</f>
        <v>Poor</v>
      </c>
      <c r="T369" t="s">
        <v>28</v>
      </c>
      <c r="X369" s="2"/>
      <c r="Y369" s="2"/>
    </row>
    <row r="370" spans="1:25" x14ac:dyDescent="0.3">
      <c r="A370" s="2">
        <v>45365</v>
      </c>
      <c r="B370" t="s">
        <v>23</v>
      </c>
      <c r="C370" s="4">
        <v>122.6</v>
      </c>
      <c r="D370" s="4">
        <v>59.1</v>
      </c>
      <c r="E370" s="4">
        <v>37.799999999999997</v>
      </c>
      <c r="F370" s="4">
        <v>10.08</v>
      </c>
      <c r="G370" s="4">
        <v>38.700000000000003</v>
      </c>
      <c r="H370" s="4">
        <v>0.61</v>
      </c>
      <c r="I370" s="4">
        <v>32.9</v>
      </c>
      <c r="J370" s="4">
        <v>91.8</v>
      </c>
      <c r="K370" s="4">
        <v>2.74</v>
      </c>
      <c r="L370" s="4">
        <v>204.33333333333329</v>
      </c>
      <c r="M370" s="4">
        <v>59.1</v>
      </c>
      <c r="N370" s="4">
        <v>47.249999999999993</v>
      </c>
      <c r="O370" s="4">
        <v>25.2</v>
      </c>
      <c r="P370" s="4">
        <v>96.75</v>
      </c>
      <c r="Q370" s="4">
        <v>30.5</v>
      </c>
      <c r="R370" s="4">
        <v>204</v>
      </c>
      <c r="S370" s="4" t="str" cm="1">
        <f t="array" ref="S370">_xlfn.IFS($R370&lt;=50,"Good",$R370&lt;=100,"Moderate",$R370&lt;=200,"Poor",$R370&lt;=300,"Very Poor",$R370&lt;=500,"Hazardous")</f>
        <v>Very Poor</v>
      </c>
      <c r="T370" t="s">
        <v>25</v>
      </c>
      <c r="X370" s="2"/>
      <c r="Y370" s="2"/>
    </row>
    <row r="371" spans="1:25" x14ac:dyDescent="0.3">
      <c r="A371" s="2">
        <v>45365</v>
      </c>
      <c r="B371" t="s">
        <v>24</v>
      </c>
      <c r="C371" s="4">
        <v>36.200000000000003</v>
      </c>
      <c r="D371" s="4">
        <v>29.8</v>
      </c>
      <c r="E371" s="4">
        <v>55.2</v>
      </c>
      <c r="F371" s="4">
        <v>14.87</v>
      </c>
      <c r="G371" s="4">
        <v>57.1</v>
      </c>
      <c r="H371" s="4">
        <v>1.32</v>
      </c>
      <c r="I371" s="4">
        <v>20.9</v>
      </c>
      <c r="J371" s="4">
        <v>30.3</v>
      </c>
      <c r="K371" s="4">
        <v>4</v>
      </c>
      <c r="L371" s="4">
        <v>60.333333333333343</v>
      </c>
      <c r="M371" s="4">
        <v>29.8</v>
      </c>
      <c r="N371" s="4">
        <v>69</v>
      </c>
      <c r="O371" s="4">
        <v>37.174999999999997</v>
      </c>
      <c r="P371" s="4">
        <v>142.75</v>
      </c>
      <c r="Q371" s="4">
        <v>66</v>
      </c>
      <c r="R371" s="4">
        <v>143</v>
      </c>
      <c r="S371" s="4" t="str" cm="1">
        <f t="array" ref="S371">_xlfn.IFS($R371&lt;=50,"Good",$R371&lt;=100,"Moderate",$R371&lt;=200,"Poor",$R371&lt;=300,"Very Poor",$R371&lt;=500,"Hazardous")</f>
        <v>Poor</v>
      </c>
      <c r="T371" t="s">
        <v>27</v>
      </c>
      <c r="X371" s="2"/>
      <c r="Y371" s="2"/>
    </row>
    <row r="372" spans="1:25" x14ac:dyDescent="0.3">
      <c r="A372" s="2">
        <v>45366</v>
      </c>
      <c r="B372" t="s">
        <v>20</v>
      </c>
      <c r="C372" s="4">
        <v>100.5</v>
      </c>
      <c r="D372" s="4">
        <v>31.3</v>
      </c>
      <c r="E372" s="4">
        <v>88.3</v>
      </c>
      <c r="F372" s="4">
        <v>12.5</v>
      </c>
      <c r="G372" s="4">
        <v>86.2</v>
      </c>
      <c r="H372" s="4">
        <v>0.45</v>
      </c>
      <c r="I372" s="4">
        <v>15.4</v>
      </c>
      <c r="J372" s="4">
        <v>47.3</v>
      </c>
      <c r="K372" s="4">
        <v>3.1</v>
      </c>
      <c r="L372" s="4">
        <v>167.5</v>
      </c>
      <c r="M372" s="4">
        <v>31.3</v>
      </c>
      <c r="N372" s="4">
        <v>110.375</v>
      </c>
      <c r="O372" s="4">
        <v>31.25</v>
      </c>
      <c r="P372" s="4">
        <v>215.5</v>
      </c>
      <c r="Q372" s="4">
        <v>22.5</v>
      </c>
      <c r="R372" s="4">
        <v>216</v>
      </c>
      <c r="S372" s="4" t="str" cm="1">
        <f t="array" ref="S372">_xlfn.IFS($R372&lt;=50,"Good",$R372&lt;=100,"Moderate",$R372&lt;=200,"Poor",$R372&lt;=300,"Very Poor",$R372&lt;=500,"Hazardous")</f>
        <v>Very Poor</v>
      </c>
      <c r="T372" t="s">
        <v>27</v>
      </c>
      <c r="X372" s="2"/>
      <c r="Y372" s="2"/>
    </row>
    <row r="373" spans="1:25" x14ac:dyDescent="0.3">
      <c r="A373" s="2">
        <v>45366</v>
      </c>
      <c r="B373" t="s">
        <v>21</v>
      </c>
      <c r="C373" s="4">
        <v>142.4</v>
      </c>
      <c r="D373" s="4">
        <v>203</v>
      </c>
      <c r="E373" s="4">
        <v>50.2</v>
      </c>
      <c r="F373" s="4">
        <v>3.59</v>
      </c>
      <c r="G373" s="4">
        <v>88.4</v>
      </c>
      <c r="H373" s="4">
        <v>0.78</v>
      </c>
      <c r="I373" s="4">
        <v>36.4</v>
      </c>
      <c r="J373" s="4">
        <v>44.9</v>
      </c>
      <c r="K373" s="4">
        <v>4.41</v>
      </c>
      <c r="L373" s="4">
        <v>237.33333333333329</v>
      </c>
      <c r="M373" s="4">
        <v>203</v>
      </c>
      <c r="N373" s="4">
        <v>62.75</v>
      </c>
      <c r="O373" s="4">
        <v>8.9749999999999996</v>
      </c>
      <c r="P373" s="4">
        <v>221</v>
      </c>
      <c r="Q373" s="4">
        <v>39</v>
      </c>
      <c r="R373" s="4">
        <v>237</v>
      </c>
      <c r="S373" s="4" t="str" cm="1">
        <f t="array" ref="S373">_xlfn.IFS($R373&lt;=50,"Good",$R373&lt;=100,"Moderate",$R373&lt;=200,"Poor",$R373&lt;=300,"Very Poor",$R373&lt;=500,"Hazardous")</f>
        <v>Very Poor</v>
      </c>
      <c r="T373" t="s">
        <v>25</v>
      </c>
      <c r="X373" s="2"/>
      <c r="Y373" s="2"/>
    </row>
    <row r="374" spans="1:25" x14ac:dyDescent="0.3">
      <c r="A374" s="2">
        <v>45366</v>
      </c>
      <c r="B374" t="s">
        <v>22</v>
      </c>
      <c r="C374" s="4">
        <v>76.3</v>
      </c>
      <c r="D374" s="4">
        <v>106.2</v>
      </c>
      <c r="E374" s="4">
        <v>32.9</v>
      </c>
      <c r="F374" s="4">
        <v>5.98</v>
      </c>
      <c r="G374" s="4">
        <v>48.2</v>
      </c>
      <c r="H374" s="4">
        <v>1.18</v>
      </c>
      <c r="I374" s="4">
        <v>20.8</v>
      </c>
      <c r="J374" s="4">
        <v>47</v>
      </c>
      <c r="K374" s="4">
        <v>2.59</v>
      </c>
      <c r="L374" s="4">
        <v>127.1666666666667</v>
      </c>
      <c r="M374" s="4">
        <v>106.2</v>
      </c>
      <c r="N374" s="4">
        <v>41.124999999999993</v>
      </c>
      <c r="O374" s="4">
        <v>14.95</v>
      </c>
      <c r="P374" s="4">
        <v>120.5</v>
      </c>
      <c r="Q374" s="4">
        <v>59</v>
      </c>
      <c r="R374" s="4">
        <v>127</v>
      </c>
      <c r="S374" s="4" t="str" cm="1">
        <f t="array" ref="S374">_xlfn.IFS($R374&lt;=50,"Good",$R374&lt;=100,"Moderate",$R374&lt;=200,"Poor",$R374&lt;=300,"Very Poor",$R374&lt;=500,"Hazardous")</f>
        <v>Poor</v>
      </c>
      <c r="T374" t="s">
        <v>25</v>
      </c>
      <c r="X374" s="2"/>
      <c r="Y374" s="2"/>
    </row>
    <row r="375" spans="1:25" x14ac:dyDescent="0.3">
      <c r="A375" s="2">
        <v>45366</v>
      </c>
      <c r="B375" t="s">
        <v>23</v>
      </c>
      <c r="C375" s="4">
        <v>2</v>
      </c>
      <c r="D375" s="4">
        <v>147.5</v>
      </c>
      <c r="E375" s="4">
        <v>25.4</v>
      </c>
      <c r="F375" s="4">
        <v>2.23</v>
      </c>
      <c r="G375" s="4">
        <v>1</v>
      </c>
      <c r="H375" s="4">
        <v>0.12</v>
      </c>
      <c r="I375" s="4">
        <v>15.5</v>
      </c>
      <c r="J375" s="4">
        <v>37.200000000000003</v>
      </c>
      <c r="K375" s="4">
        <v>4.84</v>
      </c>
      <c r="L375" s="4">
        <v>3.333333333333333</v>
      </c>
      <c r="M375" s="4">
        <v>147.5</v>
      </c>
      <c r="N375" s="4">
        <v>31.75</v>
      </c>
      <c r="O375" s="4">
        <v>5.5750000000000002</v>
      </c>
      <c r="P375" s="4">
        <v>2.5</v>
      </c>
      <c r="Q375" s="4">
        <v>6</v>
      </c>
      <c r="R375" s="4">
        <v>148</v>
      </c>
      <c r="S375" s="4" t="str" cm="1">
        <f t="array" ref="S375">_xlfn.IFS($R375&lt;=50,"Good",$R375&lt;=100,"Moderate",$R375&lt;=200,"Poor",$R375&lt;=300,"Very Poor",$R375&lt;=500,"Hazardous")</f>
        <v>Poor</v>
      </c>
      <c r="T375" t="s">
        <v>28</v>
      </c>
      <c r="X375" s="2"/>
      <c r="Y375" s="2"/>
    </row>
    <row r="376" spans="1:25" x14ac:dyDescent="0.3">
      <c r="A376" s="2">
        <v>45366</v>
      </c>
      <c r="B376" t="s">
        <v>24</v>
      </c>
      <c r="C376" s="4">
        <v>48.6</v>
      </c>
      <c r="D376" s="4">
        <v>143.69999999999999</v>
      </c>
      <c r="E376" s="4">
        <v>58.3</v>
      </c>
      <c r="F376" s="4">
        <v>9.52</v>
      </c>
      <c r="G376" s="4">
        <v>41.9</v>
      </c>
      <c r="H376" s="4">
        <v>0.53</v>
      </c>
      <c r="I376" s="4">
        <v>35.200000000000003</v>
      </c>
      <c r="J376" s="4">
        <v>82.5</v>
      </c>
      <c r="K376" s="4">
        <v>0.98</v>
      </c>
      <c r="L376" s="4">
        <v>81</v>
      </c>
      <c r="M376" s="4">
        <v>143.69999999999999</v>
      </c>
      <c r="N376" s="4">
        <v>72.875</v>
      </c>
      <c r="O376" s="4">
        <v>23.8</v>
      </c>
      <c r="P376" s="4">
        <v>104.75</v>
      </c>
      <c r="Q376" s="4">
        <v>26.5</v>
      </c>
      <c r="R376" s="4">
        <v>144</v>
      </c>
      <c r="S376" s="4" t="str" cm="1">
        <f t="array" ref="S376">_xlfn.IFS($R376&lt;=50,"Good",$R376&lt;=100,"Moderate",$R376&lt;=200,"Poor",$R376&lt;=300,"Very Poor",$R376&lt;=500,"Hazardous")</f>
        <v>Poor</v>
      </c>
      <c r="T376" t="s">
        <v>28</v>
      </c>
      <c r="X376" s="2"/>
      <c r="Y376" s="2"/>
    </row>
    <row r="377" spans="1:25" x14ac:dyDescent="0.3">
      <c r="A377" s="2">
        <v>45367</v>
      </c>
      <c r="B377" t="s">
        <v>20</v>
      </c>
      <c r="C377" s="4">
        <v>33.700000000000003</v>
      </c>
      <c r="D377" s="4">
        <v>118.7</v>
      </c>
      <c r="E377" s="4">
        <v>29.6</v>
      </c>
      <c r="F377" s="4">
        <v>12.11</v>
      </c>
      <c r="G377" s="4">
        <v>25.1</v>
      </c>
      <c r="H377" s="4">
        <v>2.87</v>
      </c>
      <c r="I377" s="4">
        <v>33.299999999999997</v>
      </c>
      <c r="J377" s="4">
        <v>53.8</v>
      </c>
      <c r="K377" s="4">
        <v>3.73</v>
      </c>
      <c r="L377" s="4">
        <v>56.166666666666671</v>
      </c>
      <c r="M377" s="4">
        <v>118.7</v>
      </c>
      <c r="N377" s="4">
        <v>37.000000000000007</v>
      </c>
      <c r="O377" s="4">
        <v>30.274999999999999</v>
      </c>
      <c r="P377" s="4">
        <v>62.75</v>
      </c>
      <c r="Q377" s="4">
        <v>143.5</v>
      </c>
      <c r="R377" s="4">
        <v>144</v>
      </c>
      <c r="S377" s="4" t="str" cm="1">
        <f t="array" ref="S377">_xlfn.IFS($R377&lt;=50,"Good",$R377&lt;=100,"Moderate",$R377&lt;=200,"Poor",$R377&lt;=300,"Very Poor",$R377&lt;=500,"Hazardous")</f>
        <v>Poor</v>
      </c>
      <c r="T377" t="s">
        <v>29</v>
      </c>
      <c r="X377" s="2"/>
      <c r="Y377" s="2"/>
    </row>
    <row r="378" spans="1:25" x14ac:dyDescent="0.3">
      <c r="A378" s="2">
        <v>45367</v>
      </c>
      <c r="B378" t="s">
        <v>21</v>
      </c>
      <c r="C378" s="4">
        <v>116.5</v>
      </c>
      <c r="D378" s="4">
        <v>107.7</v>
      </c>
      <c r="E378" s="4">
        <v>35.799999999999997</v>
      </c>
      <c r="F378" s="4">
        <v>10.49</v>
      </c>
      <c r="G378" s="4">
        <v>76.900000000000006</v>
      </c>
      <c r="H378" s="4">
        <v>1.6</v>
      </c>
      <c r="I378" s="4">
        <v>14</v>
      </c>
      <c r="J378" s="4">
        <v>35.5</v>
      </c>
      <c r="K378" s="4">
        <v>2.41</v>
      </c>
      <c r="L378" s="4">
        <v>194.16666666666671</v>
      </c>
      <c r="M378" s="4">
        <v>107.7</v>
      </c>
      <c r="N378" s="4">
        <v>44.75</v>
      </c>
      <c r="O378" s="4">
        <v>26.225000000000001</v>
      </c>
      <c r="P378" s="4">
        <v>192.25</v>
      </c>
      <c r="Q378" s="4">
        <v>80</v>
      </c>
      <c r="R378" s="4">
        <v>194</v>
      </c>
      <c r="S378" s="4" t="str" cm="1">
        <f t="array" ref="S378">_xlfn.IFS($R378&lt;=50,"Good",$R378&lt;=100,"Moderate",$R378&lt;=200,"Poor",$R378&lt;=300,"Very Poor",$R378&lt;=500,"Hazardous")</f>
        <v>Poor</v>
      </c>
      <c r="T378" t="s">
        <v>25</v>
      </c>
      <c r="X378" s="2"/>
      <c r="Y378" s="2"/>
    </row>
    <row r="379" spans="1:25" x14ac:dyDescent="0.3">
      <c r="A379" s="2">
        <v>45367</v>
      </c>
      <c r="B379" t="s">
        <v>22</v>
      </c>
      <c r="C379" s="4">
        <v>54.8</v>
      </c>
      <c r="D379" s="4">
        <v>226.4</v>
      </c>
      <c r="E379" s="4">
        <v>16.399999999999999</v>
      </c>
      <c r="F379" s="4">
        <v>10</v>
      </c>
      <c r="G379" s="4">
        <v>73.400000000000006</v>
      </c>
      <c r="H379" s="4">
        <v>2.4300000000000002</v>
      </c>
      <c r="I379" s="4">
        <v>22.2</v>
      </c>
      <c r="J379" s="4">
        <v>58.8</v>
      </c>
      <c r="K379" s="4">
        <v>3.18</v>
      </c>
      <c r="L379" s="4">
        <v>91.333333333333329</v>
      </c>
      <c r="M379" s="4">
        <v>226.4</v>
      </c>
      <c r="N379" s="4">
        <v>20.5</v>
      </c>
      <c r="O379" s="4">
        <v>25</v>
      </c>
      <c r="P379" s="4">
        <v>183.5</v>
      </c>
      <c r="Q379" s="4">
        <v>121.5</v>
      </c>
      <c r="R379" s="4">
        <v>226</v>
      </c>
      <c r="S379" s="4" t="str" cm="1">
        <f t="array" ref="S379">_xlfn.IFS($R379&lt;=50,"Good",$R379&lt;=100,"Moderate",$R379&lt;=200,"Poor",$R379&lt;=300,"Very Poor",$R379&lt;=500,"Hazardous")</f>
        <v>Very Poor</v>
      </c>
      <c r="T379" t="s">
        <v>28</v>
      </c>
      <c r="X379" s="2"/>
      <c r="Y379" s="2"/>
    </row>
    <row r="380" spans="1:25" x14ac:dyDescent="0.3">
      <c r="A380" s="2">
        <v>45367</v>
      </c>
      <c r="B380" t="s">
        <v>23</v>
      </c>
      <c r="C380" s="4">
        <v>65.900000000000006</v>
      </c>
      <c r="D380" s="4">
        <v>114.1</v>
      </c>
      <c r="E380" s="4">
        <v>53.7</v>
      </c>
      <c r="F380" s="4">
        <v>0.5</v>
      </c>
      <c r="G380" s="4">
        <v>57.1</v>
      </c>
      <c r="H380" s="4">
        <v>1.28</v>
      </c>
      <c r="I380" s="4">
        <v>23.4</v>
      </c>
      <c r="J380" s="4">
        <v>86.8</v>
      </c>
      <c r="K380" s="4">
        <v>1.69</v>
      </c>
      <c r="L380" s="4">
        <v>109.8333333333333</v>
      </c>
      <c r="M380" s="4">
        <v>114.1</v>
      </c>
      <c r="N380" s="4">
        <v>67.125</v>
      </c>
      <c r="O380" s="4">
        <v>1.25</v>
      </c>
      <c r="P380" s="4">
        <v>142.75</v>
      </c>
      <c r="Q380" s="4">
        <v>64</v>
      </c>
      <c r="R380" s="4">
        <v>143</v>
      </c>
      <c r="S380" s="4" t="str" cm="1">
        <f t="array" ref="S380">_xlfn.IFS($R380&lt;=50,"Good",$R380&lt;=100,"Moderate",$R380&lt;=200,"Poor",$R380&lt;=300,"Very Poor",$R380&lt;=500,"Hazardous")</f>
        <v>Poor</v>
      </c>
      <c r="T380" t="s">
        <v>27</v>
      </c>
      <c r="X380" s="2"/>
      <c r="Y380" s="2"/>
    </row>
    <row r="381" spans="1:25" x14ac:dyDescent="0.3">
      <c r="A381" s="2">
        <v>45367</v>
      </c>
      <c r="B381" t="s">
        <v>24</v>
      </c>
      <c r="C381" s="4">
        <v>52.7</v>
      </c>
      <c r="D381" s="4">
        <v>263.39999999999998</v>
      </c>
      <c r="E381" s="4">
        <v>31.2</v>
      </c>
      <c r="F381" s="4">
        <v>5.77</v>
      </c>
      <c r="G381" s="4">
        <v>40</v>
      </c>
      <c r="H381" s="4">
        <v>1.87</v>
      </c>
      <c r="I381" s="4">
        <v>26.5</v>
      </c>
      <c r="J381" s="4">
        <v>26.7</v>
      </c>
      <c r="K381" s="4">
        <v>2.36</v>
      </c>
      <c r="L381" s="4">
        <v>87.833333333333329</v>
      </c>
      <c r="M381" s="4">
        <v>263.39999999999998</v>
      </c>
      <c r="N381" s="4">
        <v>39</v>
      </c>
      <c r="O381" s="4">
        <v>14.425000000000001</v>
      </c>
      <c r="P381" s="4">
        <v>100</v>
      </c>
      <c r="Q381" s="4">
        <v>93.5</v>
      </c>
      <c r="R381" s="4">
        <v>263</v>
      </c>
      <c r="S381" s="4" t="str" cm="1">
        <f t="array" ref="S381">_xlfn.IFS($R381&lt;=50,"Good",$R381&lt;=100,"Moderate",$R381&lt;=200,"Poor",$R381&lt;=300,"Very Poor",$R381&lt;=500,"Hazardous")</f>
        <v>Very Poor</v>
      </c>
      <c r="T381" t="s">
        <v>28</v>
      </c>
      <c r="X381" s="2"/>
      <c r="Y381" s="2"/>
    </row>
    <row r="382" spans="1:25" x14ac:dyDescent="0.3">
      <c r="A382" s="2">
        <v>45368</v>
      </c>
      <c r="B382" t="s">
        <v>20</v>
      </c>
      <c r="C382" s="4">
        <v>48</v>
      </c>
      <c r="D382" s="4">
        <v>132.69999999999999</v>
      </c>
      <c r="E382" s="4">
        <v>61.5</v>
      </c>
      <c r="F382" s="4">
        <v>11.6</v>
      </c>
      <c r="G382" s="4">
        <v>1</v>
      </c>
      <c r="H382" s="4">
        <v>2.11</v>
      </c>
      <c r="I382" s="4">
        <v>26.8</v>
      </c>
      <c r="J382" s="4">
        <v>74.900000000000006</v>
      </c>
      <c r="K382" s="4">
        <v>3.03</v>
      </c>
      <c r="L382" s="4">
        <v>80</v>
      </c>
      <c r="M382" s="4">
        <v>132.69999999999999</v>
      </c>
      <c r="N382" s="4">
        <v>76.875</v>
      </c>
      <c r="O382" s="4">
        <v>29</v>
      </c>
      <c r="P382" s="4">
        <v>2.5</v>
      </c>
      <c r="Q382" s="4">
        <v>105.5</v>
      </c>
      <c r="R382" s="4">
        <v>133</v>
      </c>
      <c r="S382" s="4" t="str" cm="1">
        <f t="array" ref="S382">_xlfn.IFS($R382&lt;=50,"Good",$R382&lt;=100,"Moderate",$R382&lt;=200,"Poor",$R382&lt;=300,"Very Poor",$R382&lt;=500,"Hazardous")</f>
        <v>Poor</v>
      </c>
      <c r="T382" t="s">
        <v>28</v>
      </c>
      <c r="X382" s="2"/>
      <c r="Y382" s="2"/>
    </row>
    <row r="383" spans="1:25" x14ac:dyDescent="0.3">
      <c r="A383" s="2">
        <v>45368</v>
      </c>
      <c r="B383" t="s">
        <v>21</v>
      </c>
      <c r="C383" s="4">
        <v>116.3</v>
      </c>
      <c r="D383" s="4">
        <v>185</v>
      </c>
      <c r="E383" s="4">
        <v>89.9</v>
      </c>
      <c r="F383" s="4">
        <v>13.26</v>
      </c>
      <c r="G383" s="4">
        <v>46.9</v>
      </c>
      <c r="H383" s="4">
        <v>3.2</v>
      </c>
      <c r="I383" s="4">
        <v>31.2</v>
      </c>
      <c r="J383" s="4">
        <v>60.3</v>
      </c>
      <c r="K383" s="4">
        <v>0.97</v>
      </c>
      <c r="L383" s="4">
        <v>193.83333333333329</v>
      </c>
      <c r="M383" s="4">
        <v>185</v>
      </c>
      <c r="N383" s="4">
        <v>112.375</v>
      </c>
      <c r="O383" s="4">
        <v>33.15</v>
      </c>
      <c r="P383" s="4">
        <v>117.25</v>
      </c>
      <c r="Q383" s="4">
        <v>160</v>
      </c>
      <c r="R383" s="4">
        <v>194</v>
      </c>
      <c r="S383" s="4" t="str" cm="1">
        <f t="array" ref="S383">_xlfn.IFS($R383&lt;=50,"Good",$R383&lt;=100,"Moderate",$R383&lt;=200,"Poor",$R383&lt;=300,"Very Poor",$R383&lt;=500,"Hazardous")</f>
        <v>Poor</v>
      </c>
      <c r="T383" t="s">
        <v>25</v>
      </c>
      <c r="X383" s="2"/>
      <c r="Y383" s="2"/>
    </row>
    <row r="384" spans="1:25" x14ac:dyDescent="0.3">
      <c r="A384" s="2">
        <v>45368</v>
      </c>
      <c r="B384" t="s">
        <v>22</v>
      </c>
      <c r="C384" s="4">
        <v>20.3</v>
      </c>
      <c r="D384" s="4">
        <v>130.69999999999999</v>
      </c>
      <c r="E384" s="4">
        <v>45.5</v>
      </c>
      <c r="F384" s="4">
        <v>4.68</v>
      </c>
      <c r="G384" s="4">
        <v>41.3</v>
      </c>
      <c r="H384" s="4">
        <v>2.0499999999999998</v>
      </c>
      <c r="I384" s="4">
        <v>29.9</v>
      </c>
      <c r="J384" s="4">
        <v>29.5</v>
      </c>
      <c r="K384" s="4">
        <v>2.37</v>
      </c>
      <c r="L384" s="4">
        <v>33.833333333333343</v>
      </c>
      <c r="M384" s="4">
        <v>130.69999999999999</v>
      </c>
      <c r="N384" s="4">
        <v>56.875</v>
      </c>
      <c r="O384" s="4">
        <v>11.7</v>
      </c>
      <c r="P384" s="4">
        <v>103.25</v>
      </c>
      <c r="Q384" s="4">
        <v>102.5</v>
      </c>
      <c r="R384" s="4">
        <v>131</v>
      </c>
      <c r="S384" s="4" t="str" cm="1">
        <f t="array" ref="S384">_xlfn.IFS($R384&lt;=50,"Good",$R384&lt;=100,"Moderate",$R384&lt;=200,"Poor",$R384&lt;=300,"Very Poor",$R384&lt;=500,"Hazardous")</f>
        <v>Poor</v>
      </c>
      <c r="T384" t="s">
        <v>28</v>
      </c>
      <c r="X384" s="2"/>
      <c r="Y384" s="2"/>
    </row>
    <row r="385" spans="1:25" x14ac:dyDescent="0.3">
      <c r="A385" s="2">
        <v>45368</v>
      </c>
      <c r="B385" t="s">
        <v>23</v>
      </c>
      <c r="C385" s="4">
        <v>35.9</v>
      </c>
      <c r="D385" s="4">
        <v>96.7</v>
      </c>
      <c r="E385" s="4">
        <v>36.700000000000003</v>
      </c>
      <c r="F385" s="4">
        <v>5.61</v>
      </c>
      <c r="G385" s="4">
        <v>8.6</v>
      </c>
      <c r="H385" s="4">
        <v>1.1200000000000001</v>
      </c>
      <c r="I385" s="4">
        <v>21.1</v>
      </c>
      <c r="J385" s="4">
        <v>10</v>
      </c>
      <c r="K385" s="4">
        <v>4.96</v>
      </c>
      <c r="L385" s="4">
        <v>59.833333333333329</v>
      </c>
      <c r="M385" s="4">
        <v>96.7</v>
      </c>
      <c r="N385" s="4">
        <v>45.875000000000007</v>
      </c>
      <c r="O385" s="4">
        <v>14.025</v>
      </c>
      <c r="P385" s="4">
        <v>21.5</v>
      </c>
      <c r="Q385" s="4">
        <v>56.000000000000007</v>
      </c>
      <c r="R385" s="4">
        <v>97</v>
      </c>
      <c r="S385" s="4" t="str" cm="1">
        <f t="array" ref="S385">_xlfn.IFS($R385&lt;=50,"Good",$R385&lt;=100,"Moderate",$R385&lt;=200,"Poor",$R385&lt;=300,"Very Poor",$R385&lt;=500,"Hazardous")</f>
        <v>Moderate</v>
      </c>
      <c r="T385" t="s">
        <v>28</v>
      </c>
      <c r="X385" s="2"/>
      <c r="Y385" s="2"/>
    </row>
    <row r="386" spans="1:25" x14ac:dyDescent="0.3">
      <c r="A386" s="2">
        <v>45368</v>
      </c>
      <c r="B386" t="s">
        <v>24</v>
      </c>
      <c r="C386" s="4">
        <v>101.9</v>
      </c>
      <c r="D386" s="4">
        <v>107.2</v>
      </c>
      <c r="E386" s="4">
        <v>49.9</v>
      </c>
      <c r="F386" s="4">
        <v>2.36</v>
      </c>
      <c r="G386" s="4">
        <v>90.6</v>
      </c>
      <c r="H386" s="4">
        <v>2.57</v>
      </c>
      <c r="I386" s="4">
        <v>26.1</v>
      </c>
      <c r="J386" s="4">
        <v>68.400000000000006</v>
      </c>
      <c r="K386" s="4">
        <v>3.21</v>
      </c>
      <c r="L386" s="4">
        <v>169.83333333333329</v>
      </c>
      <c r="M386" s="4">
        <v>107.2</v>
      </c>
      <c r="N386" s="4">
        <v>62.375</v>
      </c>
      <c r="O386" s="4">
        <v>5.8999999999999986</v>
      </c>
      <c r="P386" s="4">
        <v>226.5</v>
      </c>
      <c r="Q386" s="4">
        <v>128.5</v>
      </c>
      <c r="R386" s="4">
        <v>226</v>
      </c>
      <c r="S386" s="4" t="str" cm="1">
        <f t="array" ref="S386">_xlfn.IFS($R386&lt;=50,"Good",$R386&lt;=100,"Moderate",$R386&lt;=200,"Poor",$R386&lt;=300,"Very Poor",$R386&lt;=500,"Hazardous")</f>
        <v>Very Poor</v>
      </c>
      <c r="T386" t="s">
        <v>27</v>
      </c>
      <c r="X386" s="2"/>
      <c r="Y386" s="2"/>
    </row>
    <row r="387" spans="1:25" x14ac:dyDescent="0.3">
      <c r="A387" s="2">
        <v>45369</v>
      </c>
      <c r="B387" t="s">
        <v>20</v>
      </c>
      <c r="C387" s="4">
        <v>22.9</v>
      </c>
      <c r="D387" s="4">
        <v>109.6</v>
      </c>
      <c r="E387" s="4">
        <v>54.8</v>
      </c>
      <c r="F387" s="4">
        <v>6.59</v>
      </c>
      <c r="G387" s="4">
        <v>39.700000000000003</v>
      </c>
      <c r="H387" s="4">
        <v>1.32</v>
      </c>
      <c r="I387" s="4">
        <v>24.4</v>
      </c>
      <c r="J387" s="4">
        <v>50.9</v>
      </c>
      <c r="K387" s="4">
        <v>1.23</v>
      </c>
      <c r="L387" s="4">
        <v>38.166666666666657</v>
      </c>
      <c r="M387" s="4">
        <v>109.6</v>
      </c>
      <c r="N387" s="4">
        <v>68.499999999999986</v>
      </c>
      <c r="O387" s="4">
        <v>16.475000000000001</v>
      </c>
      <c r="P387" s="4">
        <v>99.25</v>
      </c>
      <c r="Q387" s="4">
        <v>66</v>
      </c>
      <c r="R387" s="4">
        <v>110</v>
      </c>
      <c r="S387" s="4" t="str" cm="1">
        <f t="array" ref="S387">_xlfn.IFS($R387&lt;=50,"Good",$R387&lt;=100,"Moderate",$R387&lt;=200,"Poor",$R387&lt;=300,"Very Poor",$R387&lt;=500,"Hazardous")</f>
        <v>Poor</v>
      </c>
      <c r="T387" t="s">
        <v>28</v>
      </c>
      <c r="X387" s="2"/>
      <c r="Y387" s="2"/>
    </row>
    <row r="388" spans="1:25" x14ac:dyDescent="0.3">
      <c r="A388" s="2">
        <v>45369</v>
      </c>
      <c r="B388" t="s">
        <v>21</v>
      </c>
      <c r="C388" s="4">
        <v>48.1</v>
      </c>
      <c r="D388" s="4">
        <v>53.7</v>
      </c>
      <c r="E388" s="4">
        <v>80.7</v>
      </c>
      <c r="F388" s="4">
        <v>0.5</v>
      </c>
      <c r="G388" s="4">
        <v>86</v>
      </c>
      <c r="H388" s="4">
        <v>2.54</v>
      </c>
      <c r="I388" s="4">
        <v>22.9</v>
      </c>
      <c r="J388" s="4">
        <v>10</v>
      </c>
      <c r="K388" s="4">
        <v>2.0699999999999998</v>
      </c>
      <c r="L388" s="4">
        <v>80.166666666666657</v>
      </c>
      <c r="M388" s="4">
        <v>53.7</v>
      </c>
      <c r="N388" s="4">
        <v>100.875</v>
      </c>
      <c r="O388" s="4">
        <v>1.25</v>
      </c>
      <c r="P388" s="4">
        <v>215</v>
      </c>
      <c r="Q388" s="4">
        <v>127</v>
      </c>
      <c r="R388" s="4">
        <v>215</v>
      </c>
      <c r="S388" s="4" t="str" cm="1">
        <f t="array" ref="S388">_xlfn.IFS($R388&lt;=50,"Good",$R388&lt;=100,"Moderate",$R388&lt;=200,"Poor",$R388&lt;=300,"Very Poor",$R388&lt;=500,"Hazardous")</f>
        <v>Very Poor</v>
      </c>
      <c r="T388" t="s">
        <v>27</v>
      </c>
      <c r="X388" s="2"/>
      <c r="Y388" s="2"/>
    </row>
    <row r="389" spans="1:25" x14ac:dyDescent="0.3">
      <c r="A389" s="2">
        <v>45369</v>
      </c>
      <c r="B389" t="s">
        <v>22</v>
      </c>
      <c r="C389" s="4">
        <v>55.2</v>
      </c>
      <c r="D389" s="4">
        <v>56.4</v>
      </c>
      <c r="E389" s="4">
        <v>33</v>
      </c>
      <c r="F389" s="4">
        <v>14.87</v>
      </c>
      <c r="G389" s="4">
        <v>53.8</v>
      </c>
      <c r="H389" s="4">
        <v>0.61</v>
      </c>
      <c r="I389" s="4">
        <v>13.8</v>
      </c>
      <c r="J389" s="4">
        <v>44.1</v>
      </c>
      <c r="K389" s="4">
        <v>2.2400000000000002</v>
      </c>
      <c r="L389" s="4">
        <v>92</v>
      </c>
      <c r="M389" s="4">
        <v>56.4</v>
      </c>
      <c r="N389" s="4">
        <v>41.25</v>
      </c>
      <c r="O389" s="4">
        <v>37.174999999999997</v>
      </c>
      <c r="P389" s="4">
        <v>134.5</v>
      </c>
      <c r="Q389" s="4">
        <v>30.5</v>
      </c>
      <c r="R389" s="4">
        <v>134</v>
      </c>
      <c r="S389" s="4" t="str" cm="1">
        <f t="array" ref="S389">_xlfn.IFS($R389&lt;=50,"Good",$R389&lt;=100,"Moderate",$R389&lt;=200,"Poor",$R389&lt;=300,"Very Poor",$R389&lt;=500,"Hazardous")</f>
        <v>Poor</v>
      </c>
      <c r="T389" t="s">
        <v>27</v>
      </c>
      <c r="X389" s="2"/>
      <c r="Y389" s="2"/>
    </row>
    <row r="390" spans="1:25" x14ac:dyDescent="0.3">
      <c r="A390" s="2">
        <v>45369</v>
      </c>
      <c r="B390" t="s">
        <v>23</v>
      </c>
      <c r="C390" s="4">
        <v>74.900000000000006</v>
      </c>
      <c r="D390" s="4">
        <v>87.9</v>
      </c>
      <c r="E390" s="4">
        <v>55.2</v>
      </c>
      <c r="F390" s="4">
        <v>17.68</v>
      </c>
      <c r="G390" s="4">
        <v>60.4</v>
      </c>
      <c r="H390" s="4">
        <v>1.17</v>
      </c>
      <c r="I390" s="4">
        <v>23.7</v>
      </c>
      <c r="J390" s="4">
        <v>43.6</v>
      </c>
      <c r="K390" s="4">
        <v>3.92</v>
      </c>
      <c r="L390" s="4">
        <v>124.8333333333333</v>
      </c>
      <c r="M390" s="4">
        <v>87.9</v>
      </c>
      <c r="N390" s="4">
        <v>69</v>
      </c>
      <c r="O390" s="4">
        <v>44.2</v>
      </c>
      <c r="P390" s="4">
        <v>151</v>
      </c>
      <c r="Q390" s="4">
        <v>58.5</v>
      </c>
      <c r="R390" s="4">
        <v>151</v>
      </c>
      <c r="S390" s="4" t="str" cm="1">
        <f t="array" ref="S390">_xlfn.IFS($R390&lt;=50,"Good",$R390&lt;=100,"Moderate",$R390&lt;=200,"Poor",$R390&lt;=300,"Very Poor",$R390&lt;=500,"Hazardous")</f>
        <v>Poor</v>
      </c>
      <c r="T390" t="s">
        <v>27</v>
      </c>
      <c r="X390" s="2"/>
      <c r="Y390" s="2"/>
    </row>
    <row r="391" spans="1:25" x14ac:dyDescent="0.3">
      <c r="A391" s="2">
        <v>45369</v>
      </c>
      <c r="B391" t="s">
        <v>24</v>
      </c>
      <c r="C391" s="4">
        <v>45.3</v>
      </c>
      <c r="D391" s="4">
        <v>135</v>
      </c>
      <c r="E391" s="4">
        <v>50.6</v>
      </c>
      <c r="F391" s="4">
        <v>6.04</v>
      </c>
      <c r="G391" s="4">
        <v>6.3</v>
      </c>
      <c r="H391" s="4">
        <v>1.53</v>
      </c>
      <c r="I391" s="4">
        <v>24.6</v>
      </c>
      <c r="J391" s="4">
        <v>59</v>
      </c>
      <c r="K391" s="4">
        <v>2.36</v>
      </c>
      <c r="L391" s="4">
        <v>75.5</v>
      </c>
      <c r="M391" s="4">
        <v>135</v>
      </c>
      <c r="N391" s="4">
        <v>63.25</v>
      </c>
      <c r="O391" s="4">
        <v>15.1</v>
      </c>
      <c r="P391" s="4">
        <v>15.75</v>
      </c>
      <c r="Q391" s="4">
        <v>76.5</v>
      </c>
      <c r="R391" s="4">
        <v>135</v>
      </c>
      <c r="S391" s="4" t="str" cm="1">
        <f t="array" ref="S391">_xlfn.IFS($R391&lt;=50,"Good",$R391&lt;=100,"Moderate",$R391&lt;=200,"Poor",$R391&lt;=300,"Very Poor",$R391&lt;=500,"Hazardous")</f>
        <v>Poor</v>
      </c>
      <c r="T391" t="s">
        <v>28</v>
      </c>
      <c r="X391" s="2"/>
      <c r="Y391" s="2"/>
    </row>
    <row r="392" spans="1:25" x14ac:dyDescent="0.3">
      <c r="A392" s="2">
        <v>45370</v>
      </c>
      <c r="B392" t="s">
        <v>20</v>
      </c>
      <c r="C392" s="4">
        <v>111.1</v>
      </c>
      <c r="D392" s="4">
        <v>77.5</v>
      </c>
      <c r="E392" s="4">
        <v>91.1</v>
      </c>
      <c r="F392" s="4">
        <v>0.5</v>
      </c>
      <c r="G392" s="4">
        <v>58.5</v>
      </c>
      <c r="H392" s="4">
        <v>1.71</v>
      </c>
      <c r="I392" s="4">
        <v>19.399999999999999</v>
      </c>
      <c r="J392" s="4">
        <v>57.6</v>
      </c>
      <c r="K392" s="4">
        <v>4.04</v>
      </c>
      <c r="L392" s="4">
        <v>185.16666666666671</v>
      </c>
      <c r="M392" s="4">
        <v>77.5</v>
      </c>
      <c r="N392" s="4">
        <v>113.875</v>
      </c>
      <c r="O392" s="4">
        <v>1.25</v>
      </c>
      <c r="P392" s="4">
        <v>146.25</v>
      </c>
      <c r="Q392" s="4">
        <v>85.499999999999986</v>
      </c>
      <c r="R392" s="4">
        <v>185</v>
      </c>
      <c r="S392" s="4" t="str" cm="1">
        <f t="array" ref="S392">_xlfn.IFS($R392&lt;=50,"Good",$R392&lt;=100,"Moderate",$R392&lt;=200,"Poor",$R392&lt;=300,"Very Poor",$R392&lt;=500,"Hazardous")</f>
        <v>Poor</v>
      </c>
      <c r="T392" t="s">
        <v>25</v>
      </c>
      <c r="X392" s="2"/>
      <c r="Y392" s="2"/>
    </row>
    <row r="393" spans="1:25" x14ac:dyDescent="0.3">
      <c r="A393" s="2">
        <v>45370</v>
      </c>
      <c r="B393" t="s">
        <v>21</v>
      </c>
      <c r="C393" s="4">
        <v>2</v>
      </c>
      <c r="D393" s="4">
        <v>187.7</v>
      </c>
      <c r="E393" s="4">
        <v>2</v>
      </c>
      <c r="F393" s="4">
        <v>3.96</v>
      </c>
      <c r="G393" s="4">
        <v>100.9</v>
      </c>
      <c r="H393" s="4">
        <v>1.06</v>
      </c>
      <c r="I393" s="4">
        <v>16.8</v>
      </c>
      <c r="J393" s="4">
        <v>46.4</v>
      </c>
      <c r="K393" s="4">
        <v>4.9800000000000004</v>
      </c>
      <c r="L393" s="4">
        <v>3.333333333333333</v>
      </c>
      <c r="M393" s="4">
        <v>187.7</v>
      </c>
      <c r="N393" s="4">
        <v>2.5</v>
      </c>
      <c r="O393" s="4">
        <v>9.8999999999999986</v>
      </c>
      <c r="P393" s="4">
        <v>252.25</v>
      </c>
      <c r="Q393" s="4">
        <v>53.000000000000007</v>
      </c>
      <c r="R393" s="4">
        <v>252</v>
      </c>
      <c r="S393" s="4" t="str" cm="1">
        <f t="array" ref="S393">_xlfn.IFS($R393&lt;=50,"Good",$R393&lt;=100,"Moderate",$R393&lt;=200,"Poor",$R393&lt;=300,"Very Poor",$R393&lt;=500,"Hazardous")</f>
        <v>Very Poor</v>
      </c>
      <c r="T393" t="s">
        <v>27</v>
      </c>
      <c r="X393" s="2"/>
      <c r="Y393" s="2"/>
    </row>
    <row r="394" spans="1:25" x14ac:dyDescent="0.3">
      <c r="A394" s="2">
        <v>45370</v>
      </c>
      <c r="B394" t="s">
        <v>22</v>
      </c>
      <c r="C394" s="4">
        <v>4.8</v>
      </c>
      <c r="D394" s="4">
        <v>54.1</v>
      </c>
      <c r="E394" s="4">
        <v>71.2</v>
      </c>
      <c r="F394" s="4">
        <v>16.420000000000002</v>
      </c>
      <c r="G394" s="4">
        <v>35.5</v>
      </c>
      <c r="H394" s="4">
        <v>0.43</v>
      </c>
      <c r="I394" s="4">
        <v>39.700000000000003</v>
      </c>
      <c r="J394" s="4">
        <v>78.7</v>
      </c>
      <c r="K394" s="4">
        <v>3.31</v>
      </c>
      <c r="L394" s="4">
        <v>8</v>
      </c>
      <c r="M394" s="4">
        <v>54.1</v>
      </c>
      <c r="N394" s="4">
        <v>89.000000000000014</v>
      </c>
      <c r="O394" s="4">
        <v>41.05</v>
      </c>
      <c r="P394" s="4">
        <v>88.75</v>
      </c>
      <c r="Q394" s="4">
        <v>21.5</v>
      </c>
      <c r="R394" s="4">
        <v>89</v>
      </c>
      <c r="S394" s="4" t="str" cm="1">
        <f t="array" ref="S394">_xlfn.IFS($R394&lt;=50,"Good",$R394&lt;=100,"Moderate",$R394&lt;=200,"Poor",$R394&lt;=300,"Very Poor",$R394&lt;=500,"Hazardous")</f>
        <v>Moderate</v>
      </c>
      <c r="T394" t="s">
        <v>26</v>
      </c>
      <c r="X394" s="2"/>
      <c r="Y394" s="2"/>
    </row>
    <row r="395" spans="1:25" x14ac:dyDescent="0.3">
      <c r="A395" s="2">
        <v>45370</v>
      </c>
      <c r="B395" t="s">
        <v>23</v>
      </c>
      <c r="C395" s="4">
        <v>35.6</v>
      </c>
      <c r="D395" s="4">
        <v>117.1</v>
      </c>
      <c r="E395" s="4">
        <v>41.8</v>
      </c>
      <c r="F395" s="4">
        <v>9.65</v>
      </c>
      <c r="G395" s="4">
        <v>76.3</v>
      </c>
      <c r="H395" s="4">
        <v>1.73</v>
      </c>
      <c r="I395" s="4">
        <v>17.5</v>
      </c>
      <c r="J395" s="4">
        <v>74.8</v>
      </c>
      <c r="K395" s="4">
        <v>2.88</v>
      </c>
      <c r="L395" s="4">
        <v>59.333333333333343</v>
      </c>
      <c r="M395" s="4">
        <v>117.1</v>
      </c>
      <c r="N395" s="4">
        <v>52.25</v>
      </c>
      <c r="O395" s="4">
        <v>24.125</v>
      </c>
      <c r="P395" s="4">
        <v>190.75</v>
      </c>
      <c r="Q395" s="4">
        <v>86.5</v>
      </c>
      <c r="R395" s="4">
        <v>191</v>
      </c>
      <c r="S395" s="4" t="str" cm="1">
        <f t="array" ref="S395">_xlfn.IFS($R395&lt;=50,"Good",$R395&lt;=100,"Moderate",$R395&lt;=200,"Poor",$R395&lt;=300,"Very Poor",$R395&lt;=500,"Hazardous")</f>
        <v>Poor</v>
      </c>
      <c r="T395" t="s">
        <v>27</v>
      </c>
      <c r="X395" s="2"/>
      <c r="Y395" s="2"/>
    </row>
    <row r="396" spans="1:25" x14ac:dyDescent="0.3">
      <c r="A396" s="2">
        <v>45370</v>
      </c>
      <c r="B396" t="s">
        <v>24</v>
      </c>
      <c r="C396" s="4">
        <v>88.7</v>
      </c>
      <c r="D396" s="4">
        <v>228.8</v>
      </c>
      <c r="E396" s="4">
        <v>25</v>
      </c>
      <c r="F396" s="4">
        <v>8.6</v>
      </c>
      <c r="G396" s="4">
        <v>29.4</v>
      </c>
      <c r="H396" s="4">
        <v>0.28999999999999998</v>
      </c>
      <c r="I396" s="4">
        <v>27.4</v>
      </c>
      <c r="J396" s="4">
        <v>95.2</v>
      </c>
      <c r="K396" s="4">
        <v>0.79</v>
      </c>
      <c r="L396" s="4">
        <v>147.83333333333329</v>
      </c>
      <c r="M396" s="4">
        <v>228.8</v>
      </c>
      <c r="N396" s="4">
        <v>31.25</v>
      </c>
      <c r="O396" s="4">
        <v>21.5</v>
      </c>
      <c r="P396" s="4">
        <v>73.5</v>
      </c>
      <c r="Q396" s="4">
        <v>14.5</v>
      </c>
      <c r="R396" s="4">
        <v>229</v>
      </c>
      <c r="S396" s="4" t="str" cm="1">
        <f t="array" ref="S396">_xlfn.IFS($R396&lt;=50,"Good",$R396&lt;=100,"Moderate",$R396&lt;=200,"Poor",$R396&lt;=300,"Very Poor",$R396&lt;=500,"Hazardous")</f>
        <v>Very Poor</v>
      </c>
      <c r="T396" t="s">
        <v>28</v>
      </c>
      <c r="X396" s="2"/>
      <c r="Y396" s="2"/>
    </row>
    <row r="397" spans="1:25" x14ac:dyDescent="0.3">
      <c r="A397" s="2">
        <v>45371</v>
      </c>
      <c r="B397" t="s">
        <v>20</v>
      </c>
      <c r="C397" s="4">
        <v>67.900000000000006</v>
      </c>
      <c r="D397" s="4">
        <v>182.2</v>
      </c>
      <c r="E397" s="4">
        <v>54.6</v>
      </c>
      <c r="F397" s="4">
        <v>8.5500000000000007</v>
      </c>
      <c r="G397" s="4">
        <v>8.6</v>
      </c>
      <c r="H397" s="4">
        <v>1.54</v>
      </c>
      <c r="I397" s="4">
        <v>19.7</v>
      </c>
      <c r="J397" s="4">
        <v>10.6</v>
      </c>
      <c r="K397" s="4">
        <v>3.93</v>
      </c>
      <c r="L397" s="4">
        <v>113.1666666666667</v>
      </c>
      <c r="M397" s="4">
        <v>182.2</v>
      </c>
      <c r="N397" s="4">
        <v>68.25</v>
      </c>
      <c r="O397" s="4">
        <v>21.375</v>
      </c>
      <c r="P397" s="4">
        <v>21.5</v>
      </c>
      <c r="Q397" s="4">
        <v>77</v>
      </c>
      <c r="R397" s="4">
        <v>182</v>
      </c>
      <c r="S397" s="4" t="str" cm="1">
        <f t="array" ref="S397">_xlfn.IFS($R397&lt;=50,"Good",$R397&lt;=100,"Moderate",$R397&lt;=200,"Poor",$R397&lt;=300,"Very Poor",$R397&lt;=500,"Hazardous")</f>
        <v>Poor</v>
      </c>
      <c r="T397" t="s">
        <v>28</v>
      </c>
      <c r="X397" s="2"/>
      <c r="Y397" s="2"/>
    </row>
    <row r="398" spans="1:25" x14ac:dyDescent="0.3">
      <c r="A398" s="2">
        <v>45371</v>
      </c>
      <c r="B398" t="s">
        <v>21</v>
      </c>
      <c r="C398" s="4">
        <v>110.9</v>
      </c>
      <c r="D398" s="4">
        <v>153.9</v>
      </c>
      <c r="E398" s="4">
        <v>62</v>
      </c>
      <c r="F398" s="4">
        <v>16.71</v>
      </c>
      <c r="G398" s="4">
        <v>57</v>
      </c>
      <c r="H398" s="4">
        <v>2.1800000000000002</v>
      </c>
      <c r="I398" s="4">
        <v>22.9</v>
      </c>
      <c r="J398" s="4">
        <v>73.599999999999994</v>
      </c>
      <c r="K398" s="4">
        <v>2.88</v>
      </c>
      <c r="L398" s="4">
        <v>184.83333333333329</v>
      </c>
      <c r="M398" s="4">
        <v>153.9</v>
      </c>
      <c r="N398" s="4">
        <v>77.5</v>
      </c>
      <c r="O398" s="4">
        <v>41.774999999999999</v>
      </c>
      <c r="P398" s="4">
        <v>142.5</v>
      </c>
      <c r="Q398" s="4">
        <v>109</v>
      </c>
      <c r="R398" s="4">
        <v>185</v>
      </c>
      <c r="S398" s="4" t="str" cm="1">
        <f t="array" ref="S398">_xlfn.IFS($R398&lt;=50,"Good",$R398&lt;=100,"Moderate",$R398&lt;=200,"Poor",$R398&lt;=300,"Very Poor",$R398&lt;=500,"Hazardous")</f>
        <v>Poor</v>
      </c>
      <c r="T398" t="s">
        <v>25</v>
      </c>
      <c r="X398" s="2"/>
      <c r="Y398" s="2"/>
    </row>
    <row r="399" spans="1:25" x14ac:dyDescent="0.3">
      <c r="A399" s="2">
        <v>45371</v>
      </c>
      <c r="B399" t="s">
        <v>22</v>
      </c>
      <c r="C399" s="4">
        <v>62.5</v>
      </c>
      <c r="D399" s="4">
        <v>41.6</v>
      </c>
      <c r="E399" s="4">
        <v>48.2</v>
      </c>
      <c r="F399" s="4">
        <v>3.65</v>
      </c>
      <c r="G399" s="4">
        <v>22.8</v>
      </c>
      <c r="H399" s="4">
        <v>0.68</v>
      </c>
      <c r="I399" s="4">
        <v>17.5</v>
      </c>
      <c r="J399" s="4">
        <v>88.2</v>
      </c>
      <c r="K399" s="4">
        <v>4.0999999999999996</v>
      </c>
      <c r="L399" s="4">
        <v>104.1666666666667</v>
      </c>
      <c r="M399" s="4">
        <v>41.6</v>
      </c>
      <c r="N399" s="4">
        <v>60.250000000000007</v>
      </c>
      <c r="O399" s="4">
        <v>9.125</v>
      </c>
      <c r="P399" s="4">
        <v>57</v>
      </c>
      <c r="Q399" s="4">
        <v>34</v>
      </c>
      <c r="R399" s="4">
        <v>104</v>
      </c>
      <c r="S399" s="4" t="str" cm="1">
        <f t="array" ref="S399">_xlfn.IFS($R399&lt;=50,"Good",$R399&lt;=100,"Moderate",$R399&lt;=200,"Poor",$R399&lt;=300,"Very Poor",$R399&lt;=500,"Hazardous")</f>
        <v>Poor</v>
      </c>
      <c r="T399" t="s">
        <v>25</v>
      </c>
      <c r="X399" s="2"/>
      <c r="Y399" s="2"/>
    </row>
    <row r="400" spans="1:25" x14ac:dyDescent="0.3">
      <c r="A400" s="2">
        <v>45371</v>
      </c>
      <c r="B400" t="s">
        <v>23</v>
      </c>
      <c r="C400" s="4">
        <v>117.6</v>
      </c>
      <c r="D400" s="4">
        <v>46.6</v>
      </c>
      <c r="E400" s="4">
        <v>46.4</v>
      </c>
      <c r="F400" s="4">
        <v>1.53</v>
      </c>
      <c r="G400" s="4">
        <v>22.6</v>
      </c>
      <c r="H400" s="4">
        <v>0.65</v>
      </c>
      <c r="I400" s="4">
        <v>33.700000000000003</v>
      </c>
      <c r="J400" s="4">
        <v>42.9</v>
      </c>
      <c r="K400" s="4">
        <v>3.78</v>
      </c>
      <c r="L400" s="4">
        <v>196</v>
      </c>
      <c r="M400" s="4">
        <v>46.6</v>
      </c>
      <c r="N400" s="4">
        <v>57.999999999999993</v>
      </c>
      <c r="O400" s="4">
        <v>3.8250000000000002</v>
      </c>
      <c r="P400" s="4">
        <v>56.5</v>
      </c>
      <c r="Q400" s="4">
        <v>32.5</v>
      </c>
      <c r="R400" s="4">
        <v>196</v>
      </c>
      <c r="S400" s="4" t="str" cm="1">
        <f t="array" ref="S400">_xlfn.IFS($R400&lt;=50,"Good",$R400&lt;=100,"Moderate",$R400&lt;=200,"Poor",$R400&lt;=300,"Very Poor",$R400&lt;=500,"Hazardous")</f>
        <v>Poor</v>
      </c>
      <c r="T400" t="s">
        <v>25</v>
      </c>
      <c r="X400" s="2"/>
      <c r="Y400" s="2"/>
    </row>
    <row r="401" spans="1:25" x14ac:dyDescent="0.3">
      <c r="A401" s="2">
        <v>45371</v>
      </c>
      <c r="B401" t="s">
        <v>24</v>
      </c>
      <c r="C401" s="4">
        <v>85.9</v>
      </c>
      <c r="D401" s="4">
        <v>284</v>
      </c>
      <c r="E401" s="4">
        <v>17</v>
      </c>
      <c r="F401" s="4">
        <v>15.73</v>
      </c>
      <c r="G401" s="4">
        <v>75.5</v>
      </c>
      <c r="H401" s="4">
        <v>0.68</v>
      </c>
      <c r="I401" s="4">
        <v>32</v>
      </c>
      <c r="J401" s="4">
        <v>56.1</v>
      </c>
      <c r="K401" s="4">
        <v>2.73</v>
      </c>
      <c r="L401" s="4">
        <v>143.16666666666671</v>
      </c>
      <c r="M401" s="4">
        <v>284</v>
      </c>
      <c r="N401" s="4">
        <v>21.25</v>
      </c>
      <c r="O401" s="4">
        <v>39.325000000000003</v>
      </c>
      <c r="P401" s="4">
        <v>188.75</v>
      </c>
      <c r="Q401" s="4">
        <v>34</v>
      </c>
      <c r="R401" s="4">
        <v>284</v>
      </c>
      <c r="S401" s="4" t="str" cm="1">
        <f t="array" ref="S401">_xlfn.IFS($R401&lt;=50,"Good",$R401&lt;=100,"Moderate",$R401&lt;=200,"Poor",$R401&lt;=300,"Very Poor",$R401&lt;=500,"Hazardous")</f>
        <v>Very Poor</v>
      </c>
      <c r="T401" t="s">
        <v>28</v>
      </c>
      <c r="X401" s="2"/>
      <c r="Y401" s="2"/>
    </row>
    <row r="402" spans="1:25" x14ac:dyDescent="0.3">
      <c r="A402" s="2">
        <v>45372</v>
      </c>
      <c r="B402" t="s">
        <v>20</v>
      </c>
      <c r="C402" s="4">
        <v>40.6</v>
      </c>
      <c r="D402" s="4">
        <v>88.4</v>
      </c>
      <c r="E402" s="4">
        <v>98.9</v>
      </c>
      <c r="F402" s="4">
        <v>9.1999999999999993</v>
      </c>
      <c r="G402" s="4">
        <v>68.5</v>
      </c>
      <c r="H402" s="4">
        <v>0.83</v>
      </c>
      <c r="I402" s="4">
        <v>19.5</v>
      </c>
      <c r="J402" s="4">
        <v>69.5</v>
      </c>
      <c r="K402" s="4">
        <v>0.88</v>
      </c>
      <c r="L402" s="4">
        <v>67.666666666666671</v>
      </c>
      <c r="M402" s="4">
        <v>88.4</v>
      </c>
      <c r="N402" s="4">
        <v>123.625</v>
      </c>
      <c r="O402" s="4">
        <v>23</v>
      </c>
      <c r="P402" s="4">
        <v>171.25</v>
      </c>
      <c r="Q402" s="4">
        <v>41.499999999999993</v>
      </c>
      <c r="R402" s="4">
        <v>171</v>
      </c>
      <c r="S402" s="4" t="str" cm="1">
        <f t="array" ref="S402">_xlfn.IFS($R402&lt;=50,"Good",$R402&lt;=100,"Moderate",$R402&lt;=200,"Poor",$R402&lt;=300,"Very Poor",$R402&lt;=500,"Hazardous")</f>
        <v>Poor</v>
      </c>
      <c r="T402" t="s">
        <v>27</v>
      </c>
      <c r="X402" s="2"/>
      <c r="Y402" s="2"/>
    </row>
    <row r="403" spans="1:25" x14ac:dyDescent="0.3">
      <c r="A403" s="2">
        <v>45372</v>
      </c>
      <c r="B403" t="s">
        <v>21</v>
      </c>
      <c r="C403" s="4">
        <v>59.4</v>
      </c>
      <c r="D403" s="4">
        <v>152.6</v>
      </c>
      <c r="E403" s="4">
        <v>59</v>
      </c>
      <c r="F403" s="4">
        <v>8.8800000000000008</v>
      </c>
      <c r="G403" s="4">
        <v>62.4</v>
      </c>
      <c r="H403" s="4">
        <v>2.02</v>
      </c>
      <c r="I403" s="4">
        <v>30.1</v>
      </c>
      <c r="J403" s="4">
        <v>32.299999999999997</v>
      </c>
      <c r="K403" s="4">
        <v>2.16</v>
      </c>
      <c r="L403" s="4">
        <v>98.999999999999986</v>
      </c>
      <c r="M403" s="4">
        <v>152.6</v>
      </c>
      <c r="N403" s="4">
        <v>73.75</v>
      </c>
      <c r="O403" s="4">
        <v>22.2</v>
      </c>
      <c r="P403" s="4">
        <v>156</v>
      </c>
      <c r="Q403" s="4">
        <v>101</v>
      </c>
      <c r="R403" s="4">
        <v>156</v>
      </c>
      <c r="S403" s="4" t="str" cm="1">
        <f t="array" ref="S403">_xlfn.IFS($R403&lt;=50,"Good",$R403&lt;=100,"Moderate",$R403&lt;=200,"Poor",$R403&lt;=300,"Very Poor",$R403&lt;=500,"Hazardous")</f>
        <v>Poor</v>
      </c>
      <c r="T403" t="s">
        <v>27</v>
      </c>
      <c r="X403" s="2"/>
      <c r="Y403" s="2"/>
    </row>
    <row r="404" spans="1:25" x14ac:dyDescent="0.3">
      <c r="A404" s="2">
        <v>45372</v>
      </c>
      <c r="B404" t="s">
        <v>22</v>
      </c>
      <c r="C404" s="4">
        <v>91.1</v>
      </c>
      <c r="D404" s="4">
        <v>165</v>
      </c>
      <c r="E404" s="4">
        <v>16.7</v>
      </c>
      <c r="F404" s="4">
        <v>9.27</v>
      </c>
      <c r="G404" s="4">
        <v>1</v>
      </c>
      <c r="H404" s="4">
        <v>1.17</v>
      </c>
      <c r="I404" s="4">
        <v>38.299999999999997</v>
      </c>
      <c r="J404" s="4">
        <v>32.9</v>
      </c>
      <c r="K404" s="4">
        <v>1.5</v>
      </c>
      <c r="L404" s="4">
        <v>151.83333333333329</v>
      </c>
      <c r="M404" s="4">
        <v>165</v>
      </c>
      <c r="N404" s="4">
        <v>20.875</v>
      </c>
      <c r="O404" s="4">
        <v>23.175000000000001</v>
      </c>
      <c r="P404" s="4">
        <v>2.5</v>
      </c>
      <c r="Q404" s="4">
        <v>58.5</v>
      </c>
      <c r="R404" s="4">
        <v>165</v>
      </c>
      <c r="S404" s="4" t="str" cm="1">
        <f t="array" ref="S404">_xlfn.IFS($R404&lt;=50,"Good",$R404&lt;=100,"Moderate",$R404&lt;=200,"Poor",$R404&lt;=300,"Very Poor",$R404&lt;=500,"Hazardous")</f>
        <v>Poor</v>
      </c>
      <c r="T404" t="s">
        <v>28</v>
      </c>
      <c r="X404" s="2"/>
      <c r="Y404" s="2"/>
    </row>
    <row r="405" spans="1:25" x14ac:dyDescent="0.3">
      <c r="A405" s="2">
        <v>45372</v>
      </c>
      <c r="B405" t="s">
        <v>23</v>
      </c>
      <c r="C405" s="4">
        <v>82.9</v>
      </c>
      <c r="D405" s="4">
        <v>27.4</v>
      </c>
      <c r="E405" s="4">
        <v>32.299999999999997</v>
      </c>
      <c r="F405" s="4">
        <v>10.98</v>
      </c>
      <c r="G405" s="4">
        <v>24.1</v>
      </c>
      <c r="H405" s="4">
        <v>1.06</v>
      </c>
      <c r="I405" s="4">
        <v>30.2</v>
      </c>
      <c r="J405" s="4">
        <v>57.6</v>
      </c>
      <c r="K405" s="4">
        <v>2.82</v>
      </c>
      <c r="L405" s="4">
        <v>138.16666666666671</v>
      </c>
      <c r="M405" s="4">
        <v>27.4</v>
      </c>
      <c r="N405" s="4">
        <v>40.374999999999993</v>
      </c>
      <c r="O405" s="4">
        <v>27.45</v>
      </c>
      <c r="P405" s="4">
        <v>60.250000000000007</v>
      </c>
      <c r="Q405" s="4">
        <v>53.000000000000007</v>
      </c>
      <c r="R405" s="4">
        <v>138</v>
      </c>
      <c r="S405" s="4" t="str" cm="1">
        <f t="array" ref="S405">_xlfn.IFS($R405&lt;=50,"Good",$R405&lt;=100,"Moderate",$R405&lt;=200,"Poor",$R405&lt;=300,"Very Poor",$R405&lt;=500,"Hazardous")</f>
        <v>Poor</v>
      </c>
      <c r="T405" t="s">
        <v>25</v>
      </c>
      <c r="X405" s="2"/>
      <c r="Y405" s="2"/>
    </row>
    <row r="406" spans="1:25" x14ac:dyDescent="0.3">
      <c r="A406" s="2">
        <v>45372</v>
      </c>
      <c r="B406" t="s">
        <v>24</v>
      </c>
      <c r="C406" s="4">
        <v>54.8</v>
      </c>
      <c r="D406" s="4">
        <v>156.4</v>
      </c>
      <c r="E406" s="4">
        <v>46.8</v>
      </c>
      <c r="F406" s="4">
        <v>11.32</v>
      </c>
      <c r="G406" s="4">
        <v>30.3</v>
      </c>
      <c r="H406" s="4">
        <v>1.2</v>
      </c>
      <c r="I406" s="4">
        <v>18.100000000000001</v>
      </c>
      <c r="J406" s="4">
        <v>49.4</v>
      </c>
      <c r="K406" s="4">
        <v>2.0299999999999998</v>
      </c>
      <c r="L406" s="4">
        <v>91.333333333333329</v>
      </c>
      <c r="M406" s="4">
        <v>156.4</v>
      </c>
      <c r="N406" s="4">
        <v>58.5</v>
      </c>
      <c r="O406" s="4">
        <v>28.3</v>
      </c>
      <c r="P406" s="4">
        <v>75.75</v>
      </c>
      <c r="Q406" s="4">
        <v>60</v>
      </c>
      <c r="R406" s="4">
        <v>156</v>
      </c>
      <c r="S406" s="4" t="str" cm="1">
        <f t="array" ref="S406">_xlfn.IFS($R406&lt;=50,"Good",$R406&lt;=100,"Moderate",$R406&lt;=200,"Poor",$R406&lt;=300,"Very Poor",$R406&lt;=500,"Hazardous")</f>
        <v>Poor</v>
      </c>
      <c r="T406" t="s">
        <v>28</v>
      </c>
      <c r="X406" s="2"/>
      <c r="Y406" s="2"/>
    </row>
    <row r="407" spans="1:25" x14ac:dyDescent="0.3">
      <c r="A407" s="2">
        <v>45373</v>
      </c>
      <c r="B407" t="s">
        <v>20</v>
      </c>
      <c r="C407" s="4">
        <v>30.6</v>
      </c>
      <c r="D407" s="4">
        <v>155.80000000000001</v>
      </c>
      <c r="E407" s="4">
        <v>56.6</v>
      </c>
      <c r="F407" s="4">
        <v>13.7</v>
      </c>
      <c r="G407" s="4">
        <v>33.6</v>
      </c>
      <c r="H407" s="4">
        <v>1.66</v>
      </c>
      <c r="I407" s="4">
        <v>28.9</v>
      </c>
      <c r="J407" s="4">
        <v>58</v>
      </c>
      <c r="K407" s="4">
        <v>1.51</v>
      </c>
      <c r="L407" s="4">
        <v>51.000000000000007</v>
      </c>
      <c r="M407" s="4">
        <v>155.80000000000001</v>
      </c>
      <c r="N407" s="4">
        <v>70.750000000000014</v>
      </c>
      <c r="O407" s="4">
        <v>34.249999999999993</v>
      </c>
      <c r="P407" s="4">
        <v>84</v>
      </c>
      <c r="Q407" s="4">
        <v>82.999999999999986</v>
      </c>
      <c r="R407" s="4">
        <v>156</v>
      </c>
      <c r="S407" s="4" t="str" cm="1">
        <f t="array" ref="S407">_xlfn.IFS($R407&lt;=50,"Good",$R407&lt;=100,"Moderate",$R407&lt;=200,"Poor",$R407&lt;=300,"Very Poor",$R407&lt;=500,"Hazardous")</f>
        <v>Poor</v>
      </c>
      <c r="T407" t="s">
        <v>28</v>
      </c>
      <c r="X407" s="2"/>
      <c r="Y407" s="2"/>
    </row>
    <row r="408" spans="1:25" x14ac:dyDescent="0.3">
      <c r="A408" s="2">
        <v>45373</v>
      </c>
      <c r="B408" t="s">
        <v>21</v>
      </c>
      <c r="C408" s="4">
        <v>80.599999999999994</v>
      </c>
      <c r="D408" s="4">
        <v>177.3</v>
      </c>
      <c r="E408" s="4">
        <v>56.4</v>
      </c>
      <c r="F408" s="4">
        <v>0.5</v>
      </c>
      <c r="G408" s="4">
        <v>55</v>
      </c>
      <c r="H408" s="4">
        <v>3.16</v>
      </c>
      <c r="I408" s="4">
        <v>22.5</v>
      </c>
      <c r="J408" s="4">
        <v>36.9</v>
      </c>
      <c r="K408" s="4">
        <v>2.95</v>
      </c>
      <c r="L408" s="4">
        <v>134.33333333333329</v>
      </c>
      <c r="M408" s="4">
        <v>177.3</v>
      </c>
      <c r="N408" s="4">
        <v>70.5</v>
      </c>
      <c r="O408" s="4">
        <v>1.25</v>
      </c>
      <c r="P408" s="4">
        <v>137.5</v>
      </c>
      <c r="Q408" s="4">
        <v>158</v>
      </c>
      <c r="R408" s="4">
        <v>177</v>
      </c>
      <c r="S408" s="4" t="str" cm="1">
        <f t="array" ref="S408">_xlfn.IFS($R408&lt;=50,"Good",$R408&lt;=100,"Moderate",$R408&lt;=200,"Poor",$R408&lt;=300,"Very Poor",$R408&lt;=500,"Hazardous")</f>
        <v>Poor</v>
      </c>
      <c r="T408" t="s">
        <v>28</v>
      </c>
      <c r="X408" s="2"/>
      <c r="Y408" s="2"/>
    </row>
    <row r="409" spans="1:25" x14ac:dyDescent="0.3">
      <c r="A409" s="2">
        <v>45373</v>
      </c>
      <c r="B409" t="s">
        <v>22</v>
      </c>
      <c r="C409" s="4">
        <v>65.900000000000006</v>
      </c>
      <c r="D409" s="4">
        <v>182</v>
      </c>
      <c r="E409" s="4">
        <v>18.899999999999999</v>
      </c>
      <c r="F409" s="4">
        <v>11.07</v>
      </c>
      <c r="G409" s="4">
        <v>52</v>
      </c>
      <c r="H409" s="4">
        <v>1.06</v>
      </c>
      <c r="I409" s="4">
        <v>27.4</v>
      </c>
      <c r="J409" s="4">
        <v>68.5</v>
      </c>
      <c r="K409" s="4">
        <v>3.55</v>
      </c>
      <c r="L409" s="4">
        <v>109.8333333333333</v>
      </c>
      <c r="M409" s="4">
        <v>182</v>
      </c>
      <c r="N409" s="4">
        <v>23.625</v>
      </c>
      <c r="O409" s="4">
        <v>27.675000000000001</v>
      </c>
      <c r="P409" s="4">
        <v>130</v>
      </c>
      <c r="Q409" s="4">
        <v>53.000000000000007</v>
      </c>
      <c r="R409" s="4">
        <v>182</v>
      </c>
      <c r="S409" s="4" t="str" cm="1">
        <f t="array" ref="S409">_xlfn.IFS($R409&lt;=50,"Good",$R409&lt;=100,"Moderate",$R409&lt;=200,"Poor",$R409&lt;=300,"Very Poor",$R409&lt;=500,"Hazardous")</f>
        <v>Poor</v>
      </c>
      <c r="T409" t="s">
        <v>28</v>
      </c>
      <c r="X409" s="2"/>
      <c r="Y409" s="2"/>
    </row>
    <row r="410" spans="1:25" x14ac:dyDescent="0.3">
      <c r="A410" s="2">
        <v>45373</v>
      </c>
      <c r="B410" t="s">
        <v>23</v>
      </c>
      <c r="C410" s="4">
        <v>25.7</v>
      </c>
      <c r="D410" s="4">
        <v>169.2</v>
      </c>
      <c r="E410" s="4">
        <v>43.7</v>
      </c>
      <c r="F410" s="4">
        <v>8.36</v>
      </c>
      <c r="G410" s="4">
        <v>41.8</v>
      </c>
      <c r="H410" s="4">
        <v>1.1100000000000001</v>
      </c>
      <c r="I410" s="4">
        <v>33.299999999999997</v>
      </c>
      <c r="J410" s="4">
        <v>48.5</v>
      </c>
      <c r="K410" s="4">
        <v>1.1599999999999999</v>
      </c>
      <c r="L410" s="4">
        <v>42.833333333333343</v>
      </c>
      <c r="M410" s="4">
        <v>169.2</v>
      </c>
      <c r="N410" s="4">
        <v>54.625000000000007</v>
      </c>
      <c r="O410" s="4">
        <v>20.9</v>
      </c>
      <c r="P410" s="4">
        <v>104.5</v>
      </c>
      <c r="Q410" s="4">
        <v>55.500000000000007</v>
      </c>
      <c r="R410" s="4">
        <v>169</v>
      </c>
      <c r="S410" s="4" t="str" cm="1">
        <f t="array" ref="S410">_xlfn.IFS($R410&lt;=50,"Good",$R410&lt;=100,"Moderate",$R410&lt;=200,"Poor",$R410&lt;=300,"Very Poor",$R410&lt;=500,"Hazardous")</f>
        <v>Poor</v>
      </c>
      <c r="T410" t="s">
        <v>28</v>
      </c>
      <c r="X410" s="2"/>
      <c r="Y410" s="2"/>
    </row>
    <row r="411" spans="1:25" x14ac:dyDescent="0.3">
      <c r="A411" s="2">
        <v>45373</v>
      </c>
      <c r="B411" t="s">
        <v>24</v>
      </c>
      <c r="C411" s="4">
        <v>53</v>
      </c>
      <c r="D411" s="4">
        <v>143.80000000000001</v>
      </c>
      <c r="E411" s="4">
        <v>76.5</v>
      </c>
      <c r="F411" s="4">
        <v>12.12</v>
      </c>
      <c r="G411" s="4">
        <v>20.6</v>
      </c>
      <c r="H411" s="4">
        <v>2.96</v>
      </c>
      <c r="I411" s="4">
        <v>26.9</v>
      </c>
      <c r="J411" s="4">
        <v>73</v>
      </c>
      <c r="K411" s="4">
        <v>2.82</v>
      </c>
      <c r="L411" s="4">
        <v>88.333333333333329</v>
      </c>
      <c r="M411" s="4">
        <v>143.80000000000001</v>
      </c>
      <c r="N411" s="4">
        <v>95.625</v>
      </c>
      <c r="O411" s="4">
        <v>30.3</v>
      </c>
      <c r="P411" s="4">
        <v>51.500000000000007</v>
      </c>
      <c r="Q411" s="4">
        <v>148</v>
      </c>
      <c r="R411" s="4">
        <v>148</v>
      </c>
      <c r="S411" s="4" t="str" cm="1">
        <f t="array" ref="S411">_xlfn.IFS($R411&lt;=50,"Good",$R411&lt;=100,"Moderate",$R411&lt;=200,"Poor",$R411&lt;=300,"Very Poor",$R411&lt;=500,"Hazardous")</f>
        <v>Poor</v>
      </c>
      <c r="T411" t="s">
        <v>29</v>
      </c>
      <c r="X411" s="2"/>
      <c r="Y411" s="2"/>
    </row>
    <row r="412" spans="1:25" x14ac:dyDescent="0.3">
      <c r="A412" s="2">
        <v>45374</v>
      </c>
      <c r="B412" t="s">
        <v>20</v>
      </c>
      <c r="C412" s="4">
        <v>87.4</v>
      </c>
      <c r="D412" s="4">
        <v>195.9</v>
      </c>
      <c r="E412" s="4">
        <v>79.8</v>
      </c>
      <c r="F412" s="4">
        <v>15.28</v>
      </c>
      <c r="G412" s="4">
        <v>71.099999999999994</v>
      </c>
      <c r="H412" s="4">
        <v>1.1599999999999999</v>
      </c>
      <c r="I412" s="4">
        <v>21</v>
      </c>
      <c r="J412" s="4">
        <v>56</v>
      </c>
      <c r="K412" s="4">
        <v>3.62</v>
      </c>
      <c r="L412" s="4">
        <v>145.66666666666671</v>
      </c>
      <c r="M412" s="4">
        <v>195.9</v>
      </c>
      <c r="N412" s="4">
        <v>99.749999999999986</v>
      </c>
      <c r="O412" s="4">
        <v>38.200000000000003</v>
      </c>
      <c r="P412" s="4">
        <v>177.75</v>
      </c>
      <c r="Q412" s="4">
        <v>57.999999999999993</v>
      </c>
      <c r="R412" s="4">
        <v>196</v>
      </c>
      <c r="S412" s="4" t="str" cm="1">
        <f t="array" ref="S412">_xlfn.IFS($R412&lt;=50,"Good",$R412&lt;=100,"Moderate",$R412&lt;=200,"Poor",$R412&lt;=300,"Very Poor",$R412&lt;=500,"Hazardous")</f>
        <v>Poor</v>
      </c>
      <c r="T412" t="s">
        <v>28</v>
      </c>
      <c r="X412" s="2"/>
      <c r="Y412" s="2"/>
    </row>
    <row r="413" spans="1:25" x14ac:dyDescent="0.3">
      <c r="A413" s="2">
        <v>45374</v>
      </c>
      <c r="B413" t="s">
        <v>21</v>
      </c>
      <c r="C413" s="4">
        <v>66.599999999999994</v>
      </c>
      <c r="D413" s="4">
        <v>229.9</v>
      </c>
      <c r="E413" s="4">
        <v>92.6</v>
      </c>
      <c r="F413" s="4">
        <v>4.2699999999999996</v>
      </c>
      <c r="G413" s="4">
        <v>23.8</v>
      </c>
      <c r="H413" s="4">
        <v>1.39</v>
      </c>
      <c r="I413" s="4">
        <v>27.2</v>
      </c>
      <c r="J413" s="4">
        <v>40.6</v>
      </c>
      <c r="K413" s="4">
        <v>4.12</v>
      </c>
      <c r="L413" s="4">
        <v>111</v>
      </c>
      <c r="M413" s="4">
        <v>229.9</v>
      </c>
      <c r="N413" s="4">
        <v>115.75</v>
      </c>
      <c r="O413" s="4">
        <v>10.675000000000001</v>
      </c>
      <c r="P413" s="4">
        <v>59.500000000000007</v>
      </c>
      <c r="Q413" s="4">
        <v>69.499999999999986</v>
      </c>
      <c r="R413" s="4">
        <v>230</v>
      </c>
      <c r="S413" s="4" t="str" cm="1">
        <f t="array" ref="S413">_xlfn.IFS($R413&lt;=50,"Good",$R413&lt;=100,"Moderate",$R413&lt;=200,"Poor",$R413&lt;=300,"Very Poor",$R413&lt;=500,"Hazardous")</f>
        <v>Very Poor</v>
      </c>
      <c r="T413" t="s">
        <v>28</v>
      </c>
      <c r="X413" s="2"/>
      <c r="Y413" s="2"/>
    </row>
    <row r="414" spans="1:25" x14ac:dyDescent="0.3">
      <c r="A414" s="2">
        <v>45374</v>
      </c>
      <c r="B414" t="s">
        <v>22</v>
      </c>
      <c r="C414" s="4">
        <v>69.099999999999994</v>
      </c>
      <c r="D414" s="4">
        <v>116.2</v>
      </c>
      <c r="E414" s="4">
        <v>15.5</v>
      </c>
      <c r="F414" s="4">
        <v>1.35</v>
      </c>
      <c r="G414" s="4">
        <v>44.7</v>
      </c>
      <c r="H414" s="4">
        <v>0.05</v>
      </c>
      <c r="I414" s="4">
        <v>32.1</v>
      </c>
      <c r="J414" s="4">
        <v>47.2</v>
      </c>
      <c r="K414" s="4">
        <v>6.39</v>
      </c>
      <c r="L414" s="4">
        <v>115.1666666666667</v>
      </c>
      <c r="M414" s="4">
        <v>116.2</v>
      </c>
      <c r="N414" s="4">
        <v>19.375</v>
      </c>
      <c r="O414" s="4">
        <v>3.375</v>
      </c>
      <c r="P414" s="4">
        <v>111.75</v>
      </c>
      <c r="Q414" s="4">
        <v>2.5</v>
      </c>
      <c r="R414" s="4">
        <v>116</v>
      </c>
      <c r="S414" s="4" t="str" cm="1">
        <f t="array" ref="S414">_xlfn.IFS($R414&lt;=50,"Good",$R414&lt;=100,"Moderate",$R414&lt;=200,"Poor",$R414&lt;=300,"Very Poor",$R414&lt;=500,"Hazardous")</f>
        <v>Poor</v>
      </c>
      <c r="T414" t="s">
        <v>28</v>
      </c>
      <c r="X414" s="2"/>
      <c r="Y414" s="2"/>
    </row>
    <row r="415" spans="1:25" x14ac:dyDescent="0.3">
      <c r="A415" s="2">
        <v>45374</v>
      </c>
      <c r="B415" t="s">
        <v>23</v>
      </c>
      <c r="C415" s="4">
        <v>129.19999999999999</v>
      </c>
      <c r="D415" s="4">
        <v>109.1</v>
      </c>
      <c r="E415" s="4">
        <v>42.9</v>
      </c>
      <c r="F415" s="4">
        <v>12.98</v>
      </c>
      <c r="G415" s="4">
        <v>82.6</v>
      </c>
      <c r="H415" s="4">
        <v>0.22</v>
      </c>
      <c r="I415" s="4">
        <v>12.5</v>
      </c>
      <c r="J415" s="4">
        <v>38.799999999999997</v>
      </c>
      <c r="K415" s="4">
        <v>3.2</v>
      </c>
      <c r="L415" s="4">
        <v>215.33333333333329</v>
      </c>
      <c r="M415" s="4">
        <v>109.1</v>
      </c>
      <c r="N415" s="4">
        <v>53.625</v>
      </c>
      <c r="O415" s="4">
        <v>32.450000000000003</v>
      </c>
      <c r="P415" s="4">
        <v>206.5</v>
      </c>
      <c r="Q415" s="4">
        <v>11</v>
      </c>
      <c r="R415" s="4">
        <v>215</v>
      </c>
      <c r="S415" s="4" t="str" cm="1">
        <f t="array" ref="S415">_xlfn.IFS($R415&lt;=50,"Good",$R415&lt;=100,"Moderate",$R415&lt;=200,"Poor",$R415&lt;=300,"Very Poor",$R415&lt;=500,"Hazardous")</f>
        <v>Very Poor</v>
      </c>
      <c r="T415" t="s">
        <v>25</v>
      </c>
      <c r="X415" s="2"/>
      <c r="Y415" s="2"/>
    </row>
    <row r="416" spans="1:25" x14ac:dyDescent="0.3">
      <c r="A416" s="2">
        <v>45374</v>
      </c>
      <c r="B416" t="s">
        <v>24</v>
      </c>
      <c r="C416" s="4">
        <v>82.4</v>
      </c>
      <c r="D416" s="4">
        <v>202.6</v>
      </c>
      <c r="E416" s="4">
        <v>23.1</v>
      </c>
      <c r="F416" s="4">
        <v>0.5</v>
      </c>
      <c r="G416" s="4">
        <v>67.599999999999994</v>
      </c>
      <c r="H416" s="4">
        <v>0.77</v>
      </c>
      <c r="I416" s="4">
        <v>10.9</v>
      </c>
      <c r="J416" s="4">
        <v>52.6</v>
      </c>
      <c r="K416" s="4">
        <v>3.95</v>
      </c>
      <c r="L416" s="4">
        <v>137.33333333333329</v>
      </c>
      <c r="M416" s="4">
        <v>202.6</v>
      </c>
      <c r="N416" s="4">
        <v>28.875</v>
      </c>
      <c r="O416" s="4">
        <v>1.25</v>
      </c>
      <c r="P416" s="4">
        <v>169</v>
      </c>
      <c r="Q416" s="4">
        <v>38.5</v>
      </c>
      <c r="R416" s="4">
        <v>203</v>
      </c>
      <c r="S416" s="4" t="str" cm="1">
        <f t="array" ref="S416">_xlfn.IFS($R416&lt;=50,"Good",$R416&lt;=100,"Moderate",$R416&lt;=200,"Poor",$R416&lt;=300,"Very Poor",$R416&lt;=500,"Hazardous")</f>
        <v>Very Poor</v>
      </c>
      <c r="T416" t="s">
        <v>28</v>
      </c>
      <c r="X416" s="2"/>
      <c r="Y416" s="2"/>
    </row>
    <row r="417" spans="1:25" x14ac:dyDescent="0.3">
      <c r="A417" s="2">
        <v>45375</v>
      </c>
      <c r="B417" t="s">
        <v>20</v>
      </c>
      <c r="C417" s="4">
        <v>64.8</v>
      </c>
      <c r="D417" s="4">
        <v>106.4</v>
      </c>
      <c r="E417" s="4">
        <v>48.1</v>
      </c>
      <c r="F417" s="4">
        <v>7.07</v>
      </c>
      <c r="G417" s="4">
        <v>7.2</v>
      </c>
      <c r="H417" s="4">
        <v>0.89</v>
      </c>
      <c r="I417" s="4">
        <v>28.6</v>
      </c>
      <c r="J417" s="4">
        <v>55.8</v>
      </c>
      <c r="K417" s="4">
        <v>2.7</v>
      </c>
      <c r="L417" s="4">
        <v>108</v>
      </c>
      <c r="M417" s="4">
        <v>106.4</v>
      </c>
      <c r="N417" s="4">
        <v>60.125000000000007</v>
      </c>
      <c r="O417" s="4">
        <v>17.675000000000001</v>
      </c>
      <c r="P417" s="4">
        <v>18</v>
      </c>
      <c r="Q417" s="4">
        <v>44.5</v>
      </c>
      <c r="R417" s="4">
        <v>108</v>
      </c>
      <c r="S417" s="4" t="str" cm="1">
        <f t="array" ref="S417">_xlfn.IFS($R417&lt;=50,"Good",$R417&lt;=100,"Moderate",$R417&lt;=200,"Poor",$R417&lt;=300,"Very Poor",$R417&lt;=500,"Hazardous")</f>
        <v>Poor</v>
      </c>
      <c r="T417" t="s">
        <v>25</v>
      </c>
      <c r="X417" s="2"/>
      <c r="Y417" s="2"/>
    </row>
    <row r="418" spans="1:25" x14ac:dyDescent="0.3">
      <c r="A418" s="2">
        <v>45375</v>
      </c>
      <c r="B418" t="s">
        <v>21</v>
      </c>
      <c r="C418" s="4">
        <v>37.700000000000003</v>
      </c>
      <c r="D418" s="4">
        <v>136.4</v>
      </c>
      <c r="E418" s="4">
        <v>2</v>
      </c>
      <c r="F418" s="4">
        <v>11.12</v>
      </c>
      <c r="G418" s="4">
        <v>94.7</v>
      </c>
      <c r="H418" s="4">
        <v>0.39</v>
      </c>
      <c r="I418" s="4">
        <v>20.9</v>
      </c>
      <c r="J418" s="4">
        <v>55.9</v>
      </c>
      <c r="K418" s="4">
        <v>4</v>
      </c>
      <c r="L418" s="4">
        <v>62.833333333333343</v>
      </c>
      <c r="M418" s="4">
        <v>136.4</v>
      </c>
      <c r="N418" s="4">
        <v>2.5</v>
      </c>
      <c r="O418" s="4">
        <v>27.8</v>
      </c>
      <c r="P418" s="4">
        <v>236.75</v>
      </c>
      <c r="Q418" s="4">
        <v>19.5</v>
      </c>
      <c r="R418" s="4">
        <v>237</v>
      </c>
      <c r="S418" s="4" t="str" cm="1">
        <f t="array" ref="S418">_xlfn.IFS($R418&lt;=50,"Good",$R418&lt;=100,"Moderate",$R418&lt;=200,"Poor",$R418&lt;=300,"Very Poor",$R418&lt;=500,"Hazardous")</f>
        <v>Very Poor</v>
      </c>
      <c r="T418" t="s">
        <v>27</v>
      </c>
      <c r="X418" s="2"/>
      <c r="Y418" s="2"/>
    </row>
    <row r="419" spans="1:25" x14ac:dyDescent="0.3">
      <c r="A419" s="2">
        <v>45375</v>
      </c>
      <c r="B419" t="s">
        <v>22</v>
      </c>
      <c r="C419" s="4">
        <v>44.2</v>
      </c>
      <c r="D419" s="4">
        <v>74.5</v>
      </c>
      <c r="E419" s="4">
        <v>5.3</v>
      </c>
      <c r="F419" s="4">
        <v>8.09</v>
      </c>
      <c r="G419" s="4">
        <v>86.5</v>
      </c>
      <c r="H419" s="4">
        <v>1.3</v>
      </c>
      <c r="I419" s="4">
        <v>24.8</v>
      </c>
      <c r="J419" s="4">
        <v>55.8</v>
      </c>
      <c r="K419" s="4">
        <v>2.4900000000000002</v>
      </c>
      <c r="L419" s="4">
        <v>73.666666666666671</v>
      </c>
      <c r="M419" s="4">
        <v>74.5</v>
      </c>
      <c r="N419" s="4">
        <v>6.625</v>
      </c>
      <c r="O419" s="4">
        <v>20.225000000000001</v>
      </c>
      <c r="P419" s="4">
        <v>216.25</v>
      </c>
      <c r="Q419" s="4">
        <v>65</v>
      </c>
      <c r="R419" s="4">
        <v>216</v>
      </c>
      <c r="S419" s="4" t="str" cm="1">
        <f t="array" ref="S419">_xlfn.IFS($R419&lt;=50,"Good",$R419&lt;=100,"Moderate",$R419&lt;=200,"Poor",$R419&lt;=300,"Very Poor",$R419&lt;=500,"Hazardous")</f>
        <v>Very Poor</v>
      </c>
      <c r="T419" t="s">
        <v>27</v>
      </c>
      <c r="X419" s="2"/>
      <c r="Y419" s="2"/>
    </row>
    <row r="420" spans="1:25" x14ac:dyDescent="0.3">
      <c r="A420" s="2">
        <v>45375</v>
      </c>
      <c r="B420" t="s">
        <v>23</v>
      </c>
      <c r="C420" s="4">
        <v>35.6</v>
      </c>
      <c r="D420" s="4">
        <v>169.4</v>
      </c>
      <c r="E420" s="4">
        <v>49.5</v>
      </c>
      <c r="F420" s="4">
        <v>8.09</v>
      </c>
      <c r="G420" s="4">
        <v>15.6</v>
      </c>
      <c r="H420" s="4">
        <v>1.98</v>
      </c>
      <c r="I420" s="4">
        <v>29.7</v>
      </c>
      <c r="J420" s="4">
        <v>40</v>
      </c>
      <c r="K420" s="4">
        <v>3.7</v>
      </c>
      <c r="L420" s="4">
        <v>59.333333333333343</v>
      </c>
      <c r="M420" s="4">
        <v>169.4</v>
      </c>
      <c r="N420" s="4">
        <v>61.875</v>
      </c>
      <c r="O420" s="4">
        <v>20.225000000000001</v>
      </c>
      <c r="P420" s="4">
        <v>39</v>
      </c>
      <c r="Q420" s="4">
        <v>99</v>
      </c>
      <c r="R420" s="4">
        <v>169</v>
      </c>
      <c r="S420" s="4" t="str" cm="1">
        <f t="array" ref="S420">_xlfn.IFS($R420&lt;=50,"Good",$R420&lt;=100,"Moderate",$R420&lt;=200,"Poor",$R420&lt;=300,"Very Poor",$R420&lt;=500,"Hazardous")</f>
        <v>Poor</v>
      </c>
      <c r="T420" t="s">
        <v>28</v>
      </c>
      <c r="X420" s="2"/>
      <c r="Y420" s="2"/>
    </row>
    <row r="421" spans="1:25" x14ac:dyDescent="0.3">
      <c r="A421" s="2">
        <v>45375</v>
      </c>
      <c r="B421" t="s">
        <v>24</v>
      </c>
      <c r="C421" s="4">
        <v>49.6</v>
      </c>
      <c r="D421" s="4">
        <v>80.400000000000006</v>
      </c>
      <c r="E421" s="4">
        <v>32.799999999999997</v>
      </c>
      <c r="F421" s="4">
        <v>0.5</v>
      </c>
      <c r="G421" s="4">
        <v>57</v>
      </c>
      <c r="H421" s="4">
        <v>0.11</v>
      </c>
      <c r="I421" s="4">
        <v>16.399999999999999</v>
      </c>
      <c r="J421" s="4">
        <v>12.6</v>
      </c>
      <c r="K421" s="4">
        <v>2.9</v>
      </c>
      <c r="L421" s="4">
        <v>82.666666666666671</v>
      </c>
      <c r="M421" s="4">
        <v>80.400000000000006</v>
      </c>
      <c r="N421" s="4">
        <v>40.999999999999993</v>
      </c>
      <c r="O421" s="4">
        <v>1.25</v>
      </c>
      <c r="P421" s="4">
        <v>142.5</v>
      </c>
      <c r="Q421" s="4">
        <v>5.5</v>
      </c>
      <c r="R421" s="4">
        <v>142</v>
      </c>
      <c r="S421" s="4" t="str" cm="1">
        <f t="array" ref="S421">_xlfn.IFS($R421&lt;=50,"Good",$R421&lt;=100,"Moderate",$R421&lt;=200,"Poor",$R421&lt;=300,"Very Poor",$R421&lt;=500,"Hazardous")</f>
        <v>Poor</v>
      </c>
      <c r="T421" t="s">
        <v>27</v>
      </c>
      <c r="X421" s="2"/>
      <c r="Y421" s="2"/>
    </row>
    <row r="422" spans="1:25" x14ac:dyDescent="0.3">
      <c r="A422" s="2">
        <v>45376</v>
      </c>
      <c r="B422" t="s">
        <v>20</v>
      </c>
      <c r="C422" s="4">
        <v>63.8</v>
      </c>
      <c r="D422" s="4">
        <v>115.5</v>
      </c>
      <c r="E422" s="4">
        <v>27.8</v>
      </c>
      <c r="F422" s="4">
        <v>2.46</v>
      </c>
      <c r="G422" s="4">
        <v>59.4</v>
      </c>
      <c r="H422" s="4">
        <v>1</v>
      </c>
      <c r="I422" s="4">
        <v>27.2</v>
      </c>
      <c r="J422" s="4">
        <v>34.1</v>
      </c>
      <c r="K422" s="4">
        <v>2.72</v>
      </c>
      <c r="L422" s="4">
        <v>106.3333333333333</v>
      </c>
      <c r="M422" s="4">
        <v>115.5</v>
      </c>
      <c r="N422" s="4">
        <v>34.75</v>
      </c>
      <c r="O422" s="4">
        <v>6.15</v>
      </c>
      <c r="P422" s="4">
        <v>148.5</v>
      </c>
      <c r="Q422" s="4">
        <v>50</v>
      </c>
      <c r="R422" s="4">
        <v>148</v>
      </c>
      <c r="S422" s="4" t="str" cm="1">
        <f t="array" ref="S422">_xlfn.IFS($R422&lt;=50,"Good",$R422&lt;=100,"Moderate",$R422&lt;=200,"Poor",$R422&lt;=300,"Very Poor",$R422&lt;=500,"Hazardous")</f>
        <v>Poor</v>
      </c>
      <c r="T422" t="s">
        <v>27</v>
      </c>
      <c r="X422" s="2"/>
      <c r="Y422" s="2"/>
    </row>
    <row r="423" spans="1:25" x14ac:dyDescent="0.3">
      <c r="A423" s="2">
        <v>45376</v>
      </c>
      <c r="B423" t="s">
        <v>21</v>
      </c>
      <c r="C423" s="4">
        <v>123.9</v>
      </c>
      <c r="D423" s="4">
        <v>194</v>
      </c>
      <c r="E423" s="4">
        <v>45.9</v>
      </c>
      <c r="F423" s="4">
        <v>11.61</v>
      </c>
      <c r="G423" s="4">
        <v>42.5</v>
      </c>
      <c r="H423" s="4">
        <v>1.51</v>
      </c>
      <c r="I423" s="4">
        <v>22.7</v>
      </c>
      <c r="J423" s="4">
        <v>47</v>
      </c>
      <c r="K423" s="4">
        <v>2.75</v>
      </c>
      <c r="L423" s="4">
        <v>206.5</v>
      </c>
      <c r="M423" s="4">
        <v>194</v>
      </c>
      <c r="N423" s="4">
        <v>57.374999999999993</v>
      </c>
      <c r="O423" s="4">
        <v>29.024999999999999</v>
      </c>
      <c r="P423" s="4">
        <v>106.25</v>
      </c>
      <c r="Q423" s="4">
        <v>75.5</v>
      </c>
      <c r="R423" s="4">
        <v>207</v>
      </c>
      <c r="S423" s="4" t="str" cm="1">
        <f t="array" ref="S423">_xlfn.IFS($R423&lt;=50,"Good",$R423&lt;=100,"Moderate",$R423&lt;=200,"Poor",$R423&lt;=300,"Very Poor",$R423&lt;=500,"Hazardous")</f>
        <v>Very Poor</v>
      </c>
      <c r="T423" t="s">
        <v>25</v>
      </c>
      <c r="X423" s="2"/>
      <c r="Y423" s="2"/>
    </row>
    <row r="424" spans="1:25" x14ac:dyDescent="0.3">
      <c r="A424" s="2">
        <v>45376</v>
      </c>
      <c r="B424" t="s">
        <v>22</v>
      </c>
      <c r="C424" s="4">
        <v>28.7</v>
      </c>
      <c r="D424" s="4">
        <v>56.1</v>
      </c>
      <c r="E424" s="4">
        <v>16.399999999999999</v>
      </c>
      <c r="F424" s="4">
        <v>0.5</v>
      </c>
      <c r="G424" s="4">
        <v>9.1</v>
      </c>
      <c r="H424" s="4">
        <v>1.23</v>
      </c>
      <c r="I424" s="4">
        <v>18.8</v>
      </c>
      <c r="J424" s="4">
        <v>59.2</v>
      </c>
      <c r="K424" s="4">
        <v>2.54</v>
      </c>
      <c r="L424" s="4">
        <v>47.833333333333329</v>
      </c>
      <c r="M424" s="4">
        <v>56.1</v>
      </c>
      <c r="N424" s="4">
        <v>20.5</v>
      </c>
      <c r="O424" s="4">
        <v>1.25</v>
      </c>
      <c r="P424" s="4">
        <v>22.75</v>
      </c>
      <c r="Q424" s="4">
        <v>61.5</v>
      </c>
      <c r="R424" s="4">
        <v>62</v>
      </c>
      <c r="S424" s="4" t="str" cm="1">
        <f t="array" ref="S424">_xlfn.IFS($R424&lt;=50,"Good",$R424&lt;=100,"Moderate",$R424&lt;=200,"Poor",$R424&lt;=300,"Very Poor",$R424&lt;=500,"Hazardous")</f>
        <v>Moderate</v>
      </c>
      <c r="T424" t="s">
        <v>29</v>
      </c>
      <c r="X424" s="2"/>
      <c r="Y424" s="2"/>
    </row>
    <row r="425" spans="1:25" x14ac:dyDescent="0.3">
      <c r="A425" s="2">
        <v>45376</v>
      </c>
      <c r="B425" t="s">
        <v>23</v>
      </c>
      <c r="C425" s="4">
        <v>2</v>
      </c>
      <c r="D425" s="4">
        <v>159.30000000000001</v>
      </c>
      <c r="E425" s="4">
        <v>61.2</v>
      </c>
      <c r="F425" s="4">
        <v>3.03</v>
      </c>
      <c r="G425" s="4">
        <v>50.5</v>
      </c>
      <c r="H425" s="4">
        <v>0.69</v>
      </c>
      <c r="I425" s="4">
        <v>25.7</v>
      </c>
      <c r="J425" s="4">
        <v>27.2</v>
      </c>
      <c r="K425" s="4">
        <v>0.35</v>
      </c>
      <c r="L425" s="4">
        <v>3.333333333333333</v>
      </c>
      <c r="M425" s="4">
        <v>159.30000000000001</v>
      </c>
      <c r="N425" s="4">
        <v>76.5</v>
      </c>
      <c r="O425" s="4">
        <v>7.5749999999999993</v>
      </c>
      <c r="P425" s="4">
        <v>126.25</v>
      </c>
      <c r="Q425" s="4">
        <v>34.499999999999993</v>
      </c>
      <c r="R425" s="4">
        <v>159</v>
      </c>
      <c r="S425" s="4" t="str" cm="1">
        <f t="array" ref="S425">_xlfn.IFS($R425&lt;=50,"Good",$R425&lt;=100,"Moderate",$R425&lt;=200,"Poor",$R425&lt;=300,"Very Poor",$R425&lt;=500,"Hazardous")</f>
        <v>Poor</v>
      </c>
      <c r="T425" t="s">
        <v>28</v>
      </c>
      <c r="X425" s="2"/>
      <c r="Y425" s="2"/>
    </row>
    <row r="426" spans="1:25" x14ac:dyDescent="0.3">
      <c r="A426" s="2">
        <v>45376</v>
      </c>
      <c r="B426" t="s">
        <v>24</v>
      </c>
      <c r="C426" s="4">
        <v>53.4</v>
      </c>
      <c r="D426" s="4">
        <v>123.8</v>
      </c>
      <c r="E426" s="4">
        <v>40.799999999999997</v>
      </c>
      <c r="F426" s="4">
        <v>2.29</v>
      </c>
      <c r="G426" s="4">
        <v>33</v>
      </c>
      <c r="H426" s="4">
        <v>1.5</v>
      </c>
      <c r="I426" s="4">
        <v>24.7</v>
      </c>
      <c r="J426" s="4">
        <v>53.3</v>
      </c>
      <c r="K426" s="4">
        <v>2.2000000000000002</v>
      </c>
      <c r="L426" s="4">
        <v>89</v>
      </c>
      <c r="M426" s="4">
        <v>123.8</v>
      </c>
      <c r="N426" s="4">
        <v>51</v>
      </c>
      <c r="O426" s="4">
        <v>5.7249999999999996</v>
      </c>
      <c r="P426" s="4">
        <v>82.5</v>
      </c>
      <c r="Q426" s="4">
        <v>75</v>
      </c>
      <c r="R426" s="4">
        <v>124</v>
      </c>
      <c r="S426" s="4" t="str" cm="1">
        <f t="array" ref="S426">_xlfn.IFS($R426&lt;=50,"Good",$R426&lt;=100,"Moderate",$R426&lt;=200,"Poor",$R426&lt;=300,"Very Poor",$R426&lt;=500,"Hazardous")</f>
        <v>Poor</v>
      </c>
      <c r="T426" t="s">
        <v>28</v>
      </c>
      <c r="X426" s="2"/>
      <c r="Y426" s="2"/>
    </row>
    <row r="427" spans="1:25" x14ac:dyDescent="0.3">
      <c r="A427" s="2">
        <v>45377</v>
      </c>
      <c r="B427" t="s">
        <v>20</v>
      </c>
      <c r="C427" s="4">
        <v>109.4</v>
      </c>
      <c r="D427" s="4">
        <v>56.8</v>
      </c>
      <c r="E427" s="4">
        <v>63</v>
      </c>
      <c r="F427" s="4">
        <v>16</v>
      </c>
      <c r="G427" s="4">
        <v>59.8</v>
      </c>
      <c r="H427" s="4">
        <v>1.24</v>
      </c>
      <c r="I427" s="4">
        <v>21.3</v>
      </c>
      <c r="J427" s="4">
        <v>68.599999999999994</v>
      </c>
      <c r="K427" s="4">
        <v>0.79</v>
      </c>
      <c r="L427" s="4">
        <v>182.33333333333329</v>
      </c>
      <c r="M427" s="4">
        <v>56.8</v>
      </c>
      <c r="N427" s="4">
        <v>78.75</v>
      </c>
      <c r="O427" s="4">
        <v>40</v>
      </c>
      <c r="P427" s="4">
        <v>149.5</v>
      </c>
      <c r="Q427" s="4">
        <v>62</v>
      </c>
      <c r="R427" s="4">
        <v>182</v>
      </c>
      <c r="S427" s="4" t="str" cm="1">
        <f t="array" ref="S427">_xlfn.IFS($R427&lt;=50,"Good",$R427&lt;=100,"Moderate",$R427&lt;=200,"Poor",$R427&lt;=300,"Very Poor",$R427&lt;=500,"Hazardous")</f>
        <v>Poor</v>
      </c>
      <c r="T427" t="s">
        <v>25</v>
      </c>
      <c r="X427" s="2"/>
      <c r="Y427" s="2"/>
    </row>
    <row r="428" spans="1:25" x14ac:dyDescent="0.3">
      <c r="A428" s="2">
        <v>45377</v>
      </c>
      <c r="B428" t="s">
        <v>21</v>
      </c>
      <c r="C428" s="4">
        <v>38.6</v>
      </c>
      <c r="D428" s="4">
        <v>120.2</v>
      </c>
      <c r="E428" s="4">
        <v>87.2</v>
      </c>
      <c r="F428" s="4">
        <v>12.37</v>
      </c>
      <c r="G428" s="4">
        <v>19.7</v>
      </c>
      <c r="H428" s="4">
        <v>1.27</v>
      </c>
      <c r="I428" s="4">
        <v>20.7</v>
      </c>
      <c r="J428" s="4">
        <v>37.200000000000003</v>
      </c>
      <c r="K428" s="4">
        <v>3.67</v>
      </c>
      <c r="L428" s="4">
        <v>64.333333333333343</v>
      </c>
      <c r="M428" s="4">
        <v>120.2</v>
      </c>
      <c r="N428" s="4">
        <v>109</v>
      </c>
      <c r="O428" s="4">
        <v>30.925000000000001</v>
      </c>
      <c r="P428" s="4">
        <v>49.249999999999993</v>
      </c>
      <c r="Q428" s="4">
        <v>63.5</v>
      </c>
      <c r="R428" s="4">
        <v>120</v>
      </c>
      <c r="S428" s="4" t="str" cm="1">
        <f t="array" ref="S428">_xlfn.IFS($R428&lt;=50,"Good",$R428&lt;=100,"Moderate",$R428&lt;=200,"Poor",$R428&lt;=300,"Very Poor",$R428&lt;=500,"Hazardous")</f>
        <v>Poor</v>
      </c>
      <c r="T428" t="s">
        <v>28</v>
      </c>
      <c r="X428" s="2"/>
      <c r="Y428" s="2"/>
    </row>
    <row r="429" spans="1:25" x14ac:dyDescent="0.3">
      <c r="A429" s="2">
        <v>45377</v>
      </c>
      <c r="B429" t="s">
        <v>22</v>
      </c>
      <c r="C429" s="4">
        <v>17.899999999999999</v>
      </c>
      <c r="D429" s="4">
        <v>205.7</v>
      </c>
      <c r="E429" s="4">
        <v>58.5</v>
      </c>
      <c r="F429" s="4">
        <v>12.78</v>
      </c>
      <c r="G429" s="4">
        <v>27</v>
      </c>
      <c r="H429" s="4">
        <v>1.05</v>
      </c>
      <c r="I429" s="4">
        <v>15</v>
      </c>
      <c r="J429" s="4">
        <v>40.6</v>
      </c>
      <c r="K429" s="4">
        <v>3.09</v>
      </c>
      <c r="L429" s="4">
        <v>29.833333333333329</v>
      </c>
      <c r="M429" s="4">
        <v>205.7</v>
      </c>
      <c r="N429" s="4">
        <v>73.125</v>
      </c>
      <c r="O429" s="4">
        <v>31.95</v>
      </c>
      <c r="P429" s="4">
        <v>67.5</v>
      </c>
      <c r="Q429" s="4">
        <v>52.500000000000007</v>
      </c>
      <c r="R429" s="4">
        <v>206</v>
      </c>
      <c r="S429" s="4" t="str" cm="1">
        <f t="array" ref="S429">_xlfn.IFS($R429&lt;=50,"Good",$R429&lt;=100,"Moderate",$R429&lt;=200,"Poor",$R429&lt;=300,"Very Poor",$R429&lt;=500,"Hazardous")</f>
        <v>Very Poor</v>
      </c>
      <c r="T429" t="s">
        <v>28</v>
      </c>
      <c r="X429" s="2"/>
      <c r="Y429" s="2"/>
    </row>
    <row r="430" spans="1:25" x14ac:dyDescent="0.3">
      <c r="A430" s="2">
        <v>45377</v>
      </c>
      <c r="B430" t="s">
        <v>23</v>
      </c>
      <c r="C430" s="4">
        <v>98.9</v>
      </c>
      <c r="D430" s="4">
        <v>53.6</v>
      </c>
      <c r="E430" s="4">
        <v>37.700000000000003</v>
      </c>
      <c r="F430" s="4">
        <v>7.24</v>
      </c>
      <c r="G430" s="4">
        <v>5.0999999999999996</v>
      </c>
      <c r="H430" s="4">
        <v>1.55</v>
      </c>
      <c r="I430" s="4">
        <v>19.899999999999999</v>
      </c>
      <c r="J430" s="4">
        <v>46.5</v>
      </c>
      <c r="K430" s="4">
        <v>1.96</v>
      </c>
      <c r="L430" s="4">
        <v>164.83333333333329</v>
      </c>
      <c r="M430" s="4">
        <v>53.6</v>
      </c>
      <c r="N430" s="4">
        <v>47.125</v>
      </c>
      <c r="O430" s="4">
        <v>18.100000000000001</v>
      </c>
      <c r="P430" s="4">
        <v>12.75</v>
      </c>
      <c r="Q430" s="4">
        <v>77.5</v>
      </c>
      <c r="R430" s="4">
        <v>165</v>
      </c>
      <c r="S430" s="4" t="str" cm="1">
        <f t="array" ref="S430">_xlfn.IFS($R430&lt;=50,"Good",$R430&lt;=100,"Moderate",$R430&lt;=200,"Poor",$R430&lt;=300,"Very Poor",$R430&lt;=500,"Hazardous")</f>
        <v>Poor</v>
      </c>
      <c r="T430" t="s">
        <v>25</v>
      </c>
      <c r="X430" s="2"/>
      <c r="Y430" s="2"/>
    </row>
    <row r="431" spans="1:25" x14ac:dyDescent="0.3">
      <c r="A431" s="2">
        <v>45377</v>
      </c>
      <c r="B431" t="s">
        <v>24</v>
      </c>
      <c r="C431" s="4">
        <v>40</v>
      </c>
      <c r="D431" s="4">
        <v>131.5</v>
      </c>
      <c r="E431" s="4">
        <v>44.8</v>
      </c>
      <c r="F431" s="4">
        <v>6.75</v>
      </c>
      <c r="G431" s="4">
        <v>24</v>
      </c>
      <c r="H431" s="4">
        <v>1.53</v>
      </c>
      <c r="I431" s="4">
        <v>36.6</v>
      </c>
      <c r="J431" s="4">
        <v>52.5</v>
      </c>
      <c r="K431" s="4">
        <v>4.2</v>
      </c>
      <c r="L431" s="4">
        <v>66.666666666666671</v>
      </c>
      <c r="M431" s="4">
        <v>131.5</v>
      </c>
      <c r="N431" s="4">
        <v>55.999999999999993</v>
      </c>
      <c r="O431" s="4">
        <v>16.875</v>
      </c>
      <c r="P431" s="4">
        <v>60</v>
      </c>
      <c r="Q431" s="4">
        <v>76.5</v>
      </c>
      <c r="R431" s="4">
        <v>132</v>
      </c>
      <c r="S431" s="4" t="str" cm="1">
        <f t="array" ref="S431">_xlfn.IFS($R431&lt;=50,"Good",$R431&lt;=100,"Moderate",$R431&lt;=200,"Poor",$R431&lt;=300,"Very Poor",$R431&lt;=500,"Hazardous")</f>
        <v>Poor</v>
      </c>
      <c r="T431" t="s">
        <v>28</v>
      </c>
      <c r="X431" s="2"/>
      <c r="Y431" s="2"/>
    </row>
    <row r="432" spans="1:25" x14ac:dyDescent="0.3">
      <c r="A432" s="2">
        <v>45378</v>
      </c>
      <c r="B432" t="s">
        <v>20</v>
      </c>
      <c r="C432" s="4">
        <v>21</v>
      </c>
      <c r="D432" s="4">
        <v>148.9</v>
      </c>
      <c r="E432" s="4">
        <v>26.5</v>
      </c>
      <c r="F432" s="4">
        <v>0.71</v>
      </c>
      <c r="G432" s="4">
        <v>24.7</v>
      </c>
      <c r="H432" s="4">
        <v>2.2000000000000002</v>
      </c>
      <c r="I432" s="4">
        <v>31.7</v>
      </c>
      <c r="J432" s="4">
        <v>54.4</v>
      </c>
      <c r="K432" s="4">
        <v>0.66</v>
      </c>
      <c r="L432" s="4">
        <v>35</v>
      </c>
      <c r="M432" s="4">
        <v>148.9</v>
      </c>
      <c r="N432" s="4">
        <v>33.125</v>
      </c>
      <c r="O432" s="4">
        <v>1.7749999999999999</v>
      </c>
      <c r="P432" s="4">
        <v>61.75</v>
      </c>
      <c r="Q432" s="4">
        <v>110</v>
      </c>
      <c r="R432" s="4">
        <v>149</v>
      </c>
      <c r="S432" s="4" t="str" cm="1">
        <f t="array" ref="S432">_xlfn.IFS($R432&lt;=50,"Good",$R432&lt;=100,"Moderate",$R432&lt;=200,"Poor",$R432&lt;=300,"Very Poor",$R432&lt;=500,"Hazardous")</f>
        <v>Poor</v>
      </c>
      <c r="T432" t="s">
        <v>28</v>
      </c>
      <c r="X432" s="2"/>
      <c r="Y432" s="2"/>
    </row>
    <row r="433" spans="1:25" x14ac:dyDescent="0.3">
      <c r="A433" s="2">
        <v>45378</v>
      </c>
      <c r="B433" t="s">
        <v>21</v>
      </c>
      <c r="C433" s="4">
        <v>67.599999999999994</v>
      </c>
      <c r="D433" s="4">
        <v>172.6</v>
      </c>
      <c r="E433" s="4">
        <v>60.6</v>
      </c>
      <c r="F433" s="4">
        <v>0.5</v>
      </c>
      <c r="G433" s="4">
        <v>22.2</v>
      </c>
      <c r="H433" s="4">
        <v>1.45</v>
      </c>
      <c r="I433" s="4">
        <v>28.8</v>
      </c>
      <c r="J433" s="4">
        <v>10.5</v>
      </c>
      <c r="K433" s="4">
        <v>2.31</v>
      </c>
      <c r="L433" s="4">
        <v>112.6666666666667</v>
      </c>
      <c r="M433" s="4">
        <v>172.6</v>
      </c>
      <c r="N433" s="4">
        <v>75.75</v>
      </c>
      <c r="O433" s="4">
        <v>1.25</v>
      </c>
      <c r="P433" s="4">
        <v>55.5</v>
      </c>
      <c r="Q433" s="4">
        <v>72.5</v>
      </c>
      <c r="R433" s="4">
        <v>173</v>
      </c>
      <c r="S433" s="4" t="str" cm="1">
        <f t="array" ref="S433">_xlfn.IFS($R433&lt;=50,"Good",$R433&lt;=100,"Moderate",$R433&lt;=200,"Poor",$R433&lt;=300,"Very Poor",$R433&lt;=500,"Hazardous")</f>
        <v>Poor</v>
      </c>
      <c r="T433" t="s">
        <v>28</v>
      </c>
      <c r="X433" s="2"/>
      <c r="Y433" s="2"/>
    </row>
    <row r="434" spans="1:25" x14ac:dyDescent="0.3">
      <c r="A434" s="2">
        <v>45378</v>
      </c>
      <c r="B434" t="s">
        <v>22</v>
      </c>
      <c r="C434" s="4">
        <v>61.1</v>
      </c>
      <c r="D434" s="4">
        <v>162.4</v>
      </c>
      <c r="E434" s="4">
        <v>55.9</v>
      </c>
      <c r="F434" s="4">
        <v>10.37</v>
      </c>
      <c r="G434" s="4">
        <v>19</v>
      </c>
      <c r="H434" s="4">
        <v>0.05</v>
      </c>
      <c r="I434" s="4">
        <v>22.2</v>
      </c>
      <c r="J434" s="4">
        <v>68</v>
      </c>
      <c r="K434" s="4">
        <v>4.17</v>
      </c>
      <c r="L434" s="4">
        <v>101.8333333333333</v>
      </c>
      <c r="M434" s="4">
        <v>162.4</v>
      </c>
      <c r="N434" s="4">
        <v>69.874999999999986</v>
      </c>
      <c r="O434" s="4">
        <v>25.925000000000001</v>
      </c>
      <c r="P434" s="4">
        <v>47.5</v>
      </c>
      <c r="Q434" s="4">
        <v>2.5</v>
      </c>
      <c r="R434" s="4">
        <v>162</v>
      </c>
      <c r="S434" s="4" t="str" cm="1">
        <f t="array" ref="S434">_xlfn.IFS($R434&lt;=50,"Good",$R434&lt;=100,"Moderate",$R434&lt;=200,"Poor",$R434&lt;=300,"Very Poor",$R434&lt;=500,"Hazardous")</f>
        <v>Poor</v>
      </c>
      <c r="T434" t="s">
        <v>28</v>
      </c>
      <c r="X434" s="2"/>
      <c r="Y434" s="2"/>
    </row>
    <row r="435" spans="1:25" x14ac:dyDescent="0.3">
      <c r="A435" s="2">
        <v>45378</v>
      </c>
      <c r="B435" t="s">
        <v>23</v>
      </c>
      <c r="C435" s="4">
        <v>81.3</v>
      </c>
      <c r="D435" s="4">
        <v>145.80000000000001</v>
      </c>
      <c r="E435" s="4">
        <v>52.6</v>
      </c>
      <c r="F435" s="4">
        <v>5.22</v>
      </c>
      <c r="G435" s="4">
        <v>36.700000000000003</v>
      </c>
      <c r="H435" s="4">
        <v>2.2000000000000002</v>
      </c>
      <c r="I435" s="4">
        <v>18.399999999999999</v>
      </c>
      <c r="J435" s="4">
        <v>79.099999999999994</v>
      </c>
      <c r="K435" s="4">
        <v>2.11</v>
      </c>
      <c r="L435" s="4">
        <v>135.5</v>
      </c>
      <c r="M435" s="4">
        <v>145.80000000000001</v>
      </c>
      <c r="N435" s="4">
        <v>65.75</v>
      </c>
      <c r="O435" s="4">
        <v>13.05</v>
      </c>
      <c r="P435" s="4">
        <v>91.750000000000014</v>
      </c>
      <c r="Q435" s="4">
        <v>110</v>
      </c>
      <c r="R435" s="4">
        <v>146</v>
      </c>
      <c r="S435" s="4" t="str" cm="1">
        <f t="array" ref="S435">_xlfn.IFS($R435&lt;=50,"Good",$R435&lt;=100,"Moderate",$R435&lt;=200,"Poor",$R435&lt;=300,"Very Poor",$R435&lt;=500,"Hazardous")</f>
        <v>Poor</v>
      </c>
      <c r="T435" t="s">
        <v>28</v>
      </c>
      <c r="X435" s="2"/>
      <c r="Y435" s="2"/>
    </row>
    <row r="436" spans="1:25" x14ac:dyDescent="0.3">
      <c r="A436" s="2">
        <v>45378</v>
      </c>
      <c r="B436" t="s">
        <v>24</v>
      </c>
      <c r="C436" s="4">
        <v>109.7</v>
      </c>
      <c r="D436" s="4">
        <v>39.200000000000003</v>
      </c>
      <c r="E436" s="4">
        <v>62.4</v>
      </c>
      <c r="F436" s="4">
        <v>4.75</v>
      </c>
      <c r="G436" s="4">
        <v>5.0999999999999996</v>
      </c>
      <c r="H436" s="4">
        <v>1.46</v>
      </c>
      <c r="I436" s="4">
        <v>32.1</v>
      </c>
      <c r="J436" s="4">
        <v>34.799999999999997</v>
      </c>
      <c r="K436" s="4">
        <v>1.2</v>
      </c>
      <c r="L436" s="4">
        <v>182.83333333333329</v>
      </c>
      <c r="M436" s="4">
        <v>39.200000000000003</v>
      </c>
      <c r="N436" s="4">
        <v>78</v>
      </c>
      <c r="O436" s="4">
        <v>11.875</v>
      </c>
      <c r="P436" s="4">
        <v>12.75</v>
      </c>
      <c r="Q436" s="4">
        <v>73</v>
      </c>
      <c r="R436" s="4">
        <v>183</v>
      </c>
      <c r="S436" s="4" t="str" cm="1">
        <f t="array" ref="S436">_xlfn.IFS($R436&lt;=50,"Good",$R436&lt;=100,"Moderate",$R436&lt;=200,"Poor",$R436&lt;=300,"Very Poor",$R436&lt;=500,"Hazardous")</f>
        <v>Poor</v>
      </c>
      <c r="T436" t="s">
        <v>25</v>
      </c>
      <c r="X436" s="2"/>
      <c r="Y436" s="2"/>
    </row>
    <row r="437" spans="1:25" x14ac:dyDescent="0.3">
      <c r="A437" s="2">
        <v>45379</v>
      </c>
      <c r="B437" t="s">
        <v>20</v>
      </c>
      <c r="C437" s="4">
        <v>65.8</v>
      </c>
      <c r="D437" s="4">
        <v>132</v>
      </c>
      <c r="E437" s="4">
        <v>64.400000000000006</v>
      </c>
      <c r="F437" s="4">
        <v>14.66</v>
      </c>
      <c r="G437" s="4">
        <v>44.3</v>
      </c>
      <c r="H437" s="4">
        <v>2.66</v>
      </c>
      <c r="I437" s="4">
        <v>26.6</v>
      </c>
      <c r="J437" s="4">
        <v>43.8</v>
      </c>
      <c r="K437" s="4">
        <v>0.56999999999999995</v>
      </c>
      <c r="L437" s="4">
        <v>109.6666666666667</v>
      </c>
      <c r="M437" s="4">
        <v>132</v>
      </c>
      <c r="N437" s="4">
        <v>80.5</v>
      </c>
      <c r="O437" s="4">
        <v>36.65</v>
      </c>
      <c r="P437" s="4">
        <v>110.75</v>
      </c>
      <c r="Q437" s="4">
        <v>133</v>
      </c>
      <c r="R437" s="4">
        <v>133</v>
      </c>
      <c r="S437" s="4" t="str" cm="1">
        <f t="array" ref="S437">_xlfn.IFS($R437&lt;=50,"Good",$R437&lt;=100,"Moderate",$R437&lt;=200,"Poor",$R437&lt;=300,"Very Poor",$R437&lt;=500,"Hazardous")</f>
        <v>Poor</v>
      </c>
      <c r="T437" t="s">
        <v>29</v>
      </c>
      <c r="X437" s="2"/>
      <c r="Y437" s="2"/>
    </row>
    <row r="438" spans="1:25" x14ac:dyDescent="0.3">
      <c r="A438" s="2">
        <v>45379</v>
      </c>
      <c r="B438" t="s">
        <v>21</v>
      </c>
      <c r="C438" s="4">
        <v>65.2</v>
      </c>
      <c r="D438" s="4">
        <v>124.8</v>
      </c>
      <c r="E438" s="4">
        <v>80.3</v>
      </c>
      <c r="F438" s="4">
        <v>12.89</v>
      </c>
      <c r="G438" s="4">
        <v>13.1</v>
      </c>
      <c r="H438" s="4">
        <v>1.63</v>
      </c>
      <c r="I438" s="4">
        <v>29.7</v>
      </c>
      <c r="J438" s="4">
        <v>77.5</v>
      </c>
      <c r="K438" s="4">
        <v>3.57</v>
      </c>
      <c r="L438" s="4">
        <v>108.6666666666667</v>
      </c>
      <c r="M438" s="4">
        <v>124.8</v>
      </c>
      <c r="N438" s="4">
        <v>100.375</v>
      </c>
      <c r="O438" s="4">
        <v>32.225000000000001</v>
      </c>
      <c r="P438" s="4">
        <v>32.75</v>
      </c>
      <c r="Q438" s="4">
        <v>81.499999999999986</v>
      </c>
      <c r="R438" s="4">
        <v>125</v>
      </c>
      <c r="S438" s="4" t="str" cm="1">
        <f t="array" ref="S438">_xlfn.IFS($R438&lt;=50,"Good",$R438&lt;=100,"Moderate",$R438&lt;=200,"Poor",$R438&lt;=300,"Very Poor",$R438&lt;=500,"Hazardous")</f>
        <v>Poor</v>
      </c>
      <c r="T438" t="s">
        <v>28</v>
      </c>
      <c r="X438" s="2"/>
      <c r="Y438" s="2"/>
    </row>
    <row r="439" spans="1:25" x14ac:dyDescent="0.3">
      <c r="A439" s="2">
        <v>45379</v>
      </c>
      <c r="B439" t="s">
        <v>22</v>
      </c>
      <c r="C439" s="4">
        <v>78.7</v>
      </c>
      <c r="D439" s="4">
        <v>117.4</v>
      </c>
      <c r="E439" s="4">
        <v>50.1</v>
      </c>
      <c r="F439" s="4">
        <v>13.54</v>
      </c>
      <c r="G439" s="4">
        <v>6.3</v>
      </c>
      <c r="H439" s="4">
        <v>0.94</v>
      </c>
      <c r="I439" s="4">
        <v>19.600000000000001</v>
      </c>
      <c r="J439" s="4">
        <v>56.8</v>
      </c>
      <c r="K439" s="4">
        <v>3.98</v>
      </c>
      <c r="L439" s="4">
        <v>131.16666666666671</v>
      </c>
      <c r="M439" s="4">
        <v>117.4</v>
      </c>
      <c r="N439" s="4">
        <v>62.625</v>
      </c>
      <c r="O439" s="4">
        <v>33.85</v>
      </c>
      <c r="P439" s="4">
        <v>15.75</v>
      </c>
      <c r="Q439" s="4">
        <v>47</v>
      </c>
      <c r="R439" s="4">
        <v>131</v>
      </c>
      <c r="S439" s="4" t="str" cm="1">
        <f t="array" ref="S439">_xlfn.IFS($R439&lt;=50,"Good",$R439&lt;=100,"Moderate",$R439&lt;=200,"Poor",$R439&lt;=300,"Very Poor",$R439&lt;=500,"Hazardous")</f>
        <v>Poor</v>
      </c>
      <c r="T439" t="s">
        <v>25</v>
      </c>
      <c r="X439" s="2"/>
      <c r="Y439" s="2"/>
    </row>
    <row r="440" spans="1:25" x14ac:dyDescent="0.3">
      <c r="A440" s="2">
        <v>45379</v>
      </c>
      <c r="B440" t="s">
        <v>23</v>
      </c>
      <c r="C440" s="4">
        <v>42.1</v>
      </c>
      <c r="D440" s="4">
        <v>5</v>
      </c>
      <c r="E440" s="4">
        <v>36.799999999999997</v>
      </c>
      <c r="F440" s="4">
        <v>12.57</v>
      </c>
      <c r="G440" s="4">
        <v>53.4</v>
      </c>
      <c r="H440" s="4">
        <v>1.46</v>
      </c>
      <c r="I440" s="4">
        <v>23</v>
      </c>
      <c r="J440" s="4">
        <v>27</v>
      </c>
      <c r="K440" s="4">
        <v>3.12</v>
      </c>
      <c r="L440" s="4">
        <v>70.166666666666671</v>
      </c>
      <c r="M440" s="4">
        <v>5</v>
      </c>
      <c r="N440" s="4">
        <v>46</v>
      </c>
      <c r="O440" s="4">
        <v>31.425000000000001</v>
      </c>
      <c r="P440" s="4">
        <v>133.5</v>
      </c>
      <c r="Q440" s="4">
        <v>73</v>
      </c>
      <c r="R440" s="4">
        <v>134</v>
      </c>
      <c r="S440" s="4" t="str" cm="1">
        <f t="array" ref="S440">_xlfn.IFS($R440&lt;=50,"Good",$R440&lt;=100,"Moderate",$R440&lt;=200,"Poor",$R440&lt;=300,"Very Poor",$R440&lt;=500,"Hazardous")</f>
        <v>Poor</v>
      </c>
      <c r="T440" t="s">
        <v>27</v>
      </c>
      <c r="X440" s="2"/>
      <c r="Y440" s="2"/>
    </row>
    <row r="441" spans="1:25" x14ac:dyDescent="0.3">
      <c r="A441" s="2">
        <v>45379</v>
      </c>
      <c r="B441" t="s">
        <v>24</v>
      </c>
      <c r="C441" s="4">
        <v>38.5</v>
      </c>
      <c r="D441" s="4">
        <v>276.2</v>
      </c>
      <c r="E441" s="4">
        <v>62.1</v>
      </c>
      <c r="F441" s="4">
        <v>5.61</v>
      </c>
      <c r="G441" s="4">
        <v>27.2</v>
      </c>
      <c r="H441" s="4">
        <v>1.26</v>
      </c>
      <c r="I441" s="4">
        <v>23.3</v>
      </c>
      <c r="J441" s="4">
        <v>70.099999999999994</v>
      </c>
      <c r="K441" s="4">
        <v>3.22</v>
      </c>
      <c r="L441" s="4">
        <v>64.166666666666657</v>
      </c>
      <c r="M441" s="4">
        <v>276.2</v>
      </c>
      <c r="N441" s="4">
        <v>77.625</v>
      </c>
      <c r="O441" s="4">
        <v>14.025</v>
      </c>
      <c r="P441" s="4">
        <v>68</v>
      </c>
      <c r="Q441" s="4">
        <v>63</v>
      </c>
      <c r="R441" s="4">
        <v>276</v>
      </c>
      <c r="S441" s="4" t="str" cm="1">
        <f t="array" ref="S441">_xlfn.IFS($R441&lt;=50,"Good",$R441&lt;=100,"Moderate",$R441&lt;=200,"Poor",$R441&lt;=300,"Very Poor",$R441&lt;=500,"Hazardous")</f>
        <v>Very Poor</v>
      </c>
      <c r="T441" t="s">
        <v>28</v>
      </c>
      <c r="X441" s="2"/>
      <c r="Y441" s="2"/>
    </row>
    <row r="442" spans="1:25" x14ac:dyDescent="0.3">
      <c r="A442" s="2">
        <v>45380</v>
      </c>
      <c r="B442" t="s">
        <v>20</v>
      </c>
      <c r="C442" s="4">
        <v>43.8</v>
      </c>
      <c r="D442" s="4">
        <v>268.39999999999998</v>
      </c>
      <c r="E442" s="4">
        <v>52.9</v>
      </c>
      <c r="F442" s="4">
        <v>13.62</v>
      </c>
      <c r="G442" s="4">
        <v>28.5</v>
      </c>
      <c r="H442" s="4">
        <v>1.63</v>
      </c>
      <c r="I442" s="4">
        <v>27.2</v>
      </c>
      <c r="J442" s="4">
        <v>16</v>
      </c>
      <c r="K442" s="4">
        <v>4.92</v>
      </c>
      <c r="L442" s="4">
        <v>73</v>
      </c>
      <c r="M442" s="4">
        <v>268.39999999999998</v>
      </c>
      <c r="N442" s="4">
        <v>66.125</v>
      </c>
      <c r="O442" s="4">
        <v>34.049999999999997</v>
      </c>
      <c r="P442" s="4">
        <v>71.25</v>
      </c>
      <c r="Q442" s="4">
        <v>81.499999999999986</v>
      </c>
      <c r="R442" s="4">
        <v>268</v>
      </c>
      <c r="S442" s="4" t="str" cm="1">
        <f t="array" ref="S442">_xlfn.IFS($R442&lt;=50,"Good",$R442&lt;=100,"Moderate",$R442&lt;=200,"Poor",$R442&lt;=300,"Very Poor",$R442&lt;=500,"Hazardous")</f>
        <v>Very Poor</v>
      </c>
      <c r="T442" t="s">
        <v>28</v>
      </c>
      <c r="X442" s="2"/>
      <c r="Y442" s="2"/>
    </row>
    <row r="443" spans="1:25" x14ac:dyDescent="0.3">
      <c r="A443" s="2">
        <v>45380</v>
      </c>
      <c r="B443" t="s">
        <v>21</v>
      </c>
      <c r="C443" s="4">
        <v>123.4</v>
      </c>
      <c r="D443" s="4">
        <v>120.2</v>
      </c>
      <c r="E443" s="4">
        <v>28.7</v>
      </c>
      <c r="F443" s="4">
        <v>12.17</v>
      </c>
      <c r="G443" s="4">
        <v>52.7</v>
      </c>
      <c r="H443" s="4">
        <v>1.77</v>
      </c>
      <c r="I443" s="4">
        <v>26.3</v>
      </c>
      <c r="J443" s="4">
        <v>59.1</v>
      </c>
      <c r="K443" s="4">
        <v>4.24</v>
      </c>
      <c r="L443" s="4">
        <v>205.66666666666671</v>
      </c>
      <c r="M443" s="4">
        <v>120.2</v>
      </c>
      <c r="N443" s="4">
        <v>35.875</v>
      </c>
      <c r="O443" s="4">
        <v>30.425000000000001</v>
      </c>
      <c r="P443" s="4">
        <v>131.75</v>
      </c>
      <c r="Q443" s="4">
        <v>88.5</v>
      </c>
      <c r="R443" s="4">
        <v>206</v>
      </c>
      <c r="S443" s="4" t="str" cm="1">
        <f t="array" ref="S443">_xlfn.IFS($R443&lt;=50,"Good",$R443&lt;=100,"Moderate",$R443&lt;=200,"Poor",$R443&lt;=300,"Very Poor",$R443&lt;=500,"Hazardous")</f>
        <v>Very Poor</v>
      </c>
      <c r="T443" t="s">
        <v>25</v>
      </c>
      <c r="X443" s="2"/>
      <c r="Y443" s="2"/>
    </row>
    <row r="444" spans="1:25" x14ac:dyDescent="0.3">
      <c r="A444" s="2">
        <v>45380</v>
      </c>
      <c r="B444" t="s">
        <v>22</v>
      </c>
      <c r="C444" s="4">
        <v>73.2</v>
      </c>
      <c r="D444" s="4">
        <v>54.2</v>
      </c>
      <c r="E444" s="4">
        <v>68.599999999999994</v>
      </c>
      <c r="F444" s="4">
        <v>15.39</v>
      </c>
      <c r="G444" s="4">
        <v>112.9</v>
      </c>
      <c r="H444" s="4">
        <v>0.5</v>
      </c>
      <c r="I444" s="4">
        <v>26.7</v>
      </c>
      <c r="J444" s="4">
        <v>12.5</v>
      </c>
      <c r="K444" s="4">
        <v>3.16</v>
      </c>
      <c r="L444" s="4">
        <v>122</v>
      </c>
      <c r="M444" s="4">
        <v>54.2</v>
      </c>
      <c r="N444" s="4">
        <v>85.75</v>
      </c>
      <c r="O444" s="4">
        <v>38.475000000000001</v>
      </c>
      <c r="P444" s="4">
        <v>282.25</v>
      </c>
      <c r="Q444" s="4">
        <v>25</v>
      </c>
      <c r="R444" s="4">
        <v>282</v>
      </c>
      <c r="S444" s="4" t="str" cm="1">
        <f t="array" ref="S444">_xlfn.IFS($R444&lt;=50,"Good",$R444&lt;=100,"Moderate",$R444&lt;=200,"Poor",$R444&lt;=300,"Very Poor",$R444&lt;=500,"Hazardous")</f>
        <v>Very Poor</v>
      </c>
      <c r="T444" t="s">
        <v>27</v>
      </c>
      <c r="X444" s="2"/>
      <c r="Y444" s="2"/>
    </row>
    <row r="445" spans="1:25" x14ac:dyDescent="0.3">
      <c r="A445" s="2">
        <v>45380</v>
      </c>
      <c r="B445" t="s">
        <v>23</v>
      </c>
      <c r="C445" s="4">
        <v>43.6</v>
      </c>
      <c r="D445" s="4">
        <v>235.4</v>
      </c>
      <c r="E445" s="4">
        <v>29.5</v>
      </c>
      <c r="F445" s="4">
        <v>0.5</v>
      </c>
      <c r="G445" s="4">
        <v>28.2</v>
      </c>
      <c r="H445" s="4">
        <v>0.05</v>
      </c>
      <c r="I445" s="4">
        <v>30.3</v>
      </c>
      <c r="J445" s="4">
        <v>12.8</v>
      </c>
      <c r="K445" s="4">
        <v>2.5299999999999998</v>
      </c>
      <c r="L445" s="4">
        <v>72.666666666666671</v>
      </c>
      <c r="M445" s="4">
        <v>235.4</v>
      </c>
      <c r="N445" s="4">
        <v>36.875</v>
      </c>
      <c r="O445" s="4">
        <v>1.25</v>
      </c>
      <c r="P445" s="4">
        <v>70.5</v>
      </c>
      <c r="Q445" s="4">
        <v>2.5</v>
      </c>
      <c r="R445" s="4">
        <v>235</v>
      </c>
      <c r="S445" s="4" t="str" cm="1">
        <f t="array" ref="S445">_xlfn.IFS($R445&lt;=50,"Good",$R445&lt;=100,"Moderate",$R445&lt;=200,"Poor",$R445&lt;=300,"Very Poor",$R445&lt;=500,"Hazardous")</f>
        <v>Very Poor</v>
      </c>
      <c r="T445" t="s">
        <v>28</v>
      </c>
      <c r="X445" s="2"/>
      <c r="Y445" s="2"/>
    </row>
    <row r="446" spans="1:25" x14ac:dyDescent="0.3">
      <c r="A446" s="2">
        <v>45380</v>
      </c>
      <c r="B446" t="s">
        <v>24</v>
      </c>
      <c r="C446" s="4">
        <v>2</v>
      </c>
      <c r="D446" s="4">
        <v>110.9</v>
      </c>
      <c r="E446" s="4">
        <v>85.7</v>
      </c>
      <c r="F446" s="4">
        <v>10.78</v>
      </c>
      <c r="G446" s="4">
        <v>20.3</v>
      </c>
      <c r="H446" s="4">
        <v>1.3</v>
      </c>
      <c r="I446" s="4">
        <v>25.1</v>
      </c>
      <c r="J446" s="4">
        <v>58.5</v>
      </c>
      <c r="K446" s="4">
        <v>1.36</v>
      </c>
      <c r="L446" s="4">
        <v>3.333333333333333</v>
      </c>
      <c r="M446" s="4">
        <v>110.9</v>
      </c>
      <c r="N446" s="4">
        <v>107.125</v>
      </c>
      <c r="O446" s="4">
        <v>26.95</v>
      </c>
      <c r="P446" s="4">
        <v>50.75</v>
      </c>
      <c r="Q446" s="4">
        <v>65</v>
      </c>
      <c r="R446" s="4">
        <v>111</v>
      </c>
      <c r="S446" s="4" t="str" cm="1">
        <f t="array" ref="S446">_xlfn.IFS($R446&lt;=50,"Good",$R446&lt;=100,"Moderate",$R446&lt;=200,"Poor",$R446&lt;=300,"Very Poor",$R446&lt;=500,"Hazardous")</f>
        <v>Poor</v>
      </c>
      <c r="T446" t="s">
        <v>28</v>
      </c>
      <c r="X446" s="2"/>
      <c r="Y446" s="2"/>
    </row>
    <row r="447" spans="1:25" x14ac:dyDescent="0.3">
      <c r="A447" s="2">
        <v>45381</v>
      </c>
      <c r="B447" t="s">
        <v>20</v>
      </c>
      <c r="C447" s="4">
        <v>89.4</v>
      </c>
      <c r="D447" s="4">
        <v>5</v>
      </c>
      <c r="E447" s="4">
        <v>37.299999999999997</v>
      </c>
      <c r="F447" s="4">
        <v>6.39</v>
      </c>
      <c r="G447" s="4">
        <v>64.2</v>
      </c>
      <c r="H447" s="4">
        <v>1.4</v>
      </c>
      <c r="I447" s="4">
        <v>15.2</v>
      </c>
      <c r="J447" s="4">
        <v>32.299999999999997</v>
      </c>
      <c r="K447" s="4">
        <v>2.74</v>
      </c>
      <c r="L447" s="4">
        <v>149</v>
      </c>
      <c r="M447" s="4">
        <v>5</v>
      </c>
      <c r="N447" s="4">
        <v>46.625</v>
      </c>
      <c r="O447" s="4">
        <v>15.975</v>
      </c>
      <c r="P447" s="4">
        <v>160.5</v>
      </c>
      <c r="Q447" s="4">
        <v>69.999999999999986</v>
      </c>
      <c r="R447" s="4">
        <v>160</v>
      </c>
      <c r="S447" s="4" t="str" cm="1">
        <f t="array" ref="S447">_xlfn.IFS($R447&lt;=50,"Good",$R447&lt;=100,"Moderate",$R447&lt;=200,"Poor",$R447&lt;=300,"Very Poor",$R447&lt;=500,"Hazardous")</f>
        <v>Poor</v>
      </c>
      <c r="T447" t="s">
        <v>27</v>
      </c>
      <c r="X447" s="2"/>
      <c r="Y447" s="2"/>
    </row>
    <row r="448" spans="1:25" x14ac:dyDescent="0.3">
      <c r="A448" s="2">
        <v>45381</v>
      </c>
      <c r="B448" t="s">
        <v>21</v>
      </c>
      <c r="C448" s="4">
        <v>72</v>
      </c>
      <c r="D448" s="4">
        <v>106.6</v>
      </c>
      <c r="E448" s="4">
        <v>44.2</v>
      </c>
      <c r="F448" s="4">
        <v>14.35</v>
      </c>
      <c r="G448" s="4">
        <v>33.799999999999997</v>
      </c>
      <c r="H448" s="4">
        <v>1.43</v>
      </c>
      <c r="I448" s="4">
        <v>40.200000000000003</v>
      </c>
      <c r="J448" s="4">
        <v>24.4</v>
      </c>
      <c r="K448" s="4">
        <v>0.28000000000000003</v>
      </c>
      <c r="L448" s="4">
        <v>120</v>
      </c>
      <c r="M448" s="4">
        <v>106.6</v>
      </c>
      <c r="N448" s="4">
        <v>55.25</v>
      </c>
      <c r="O448" s="4">
        <v>35.875</v>
      </c>
      <c r="P448" s="4">
        <v>84.499999999999986</v>
      </c>
      <c r="Q448" s="4">
        <v>71.5</v>
      </c>
      <c r="R448" s="4">
        <v>120</v>
      </c>
      <c r="S448" s="4" t="str" cm="1">
        <f t="array" ref="S448">_xlfn.IFS($R448&lt;=50,"Good",$R448&lt;=100,"Moderate",$R448&lt;=200,"Poor",$R448&lt;=300,"Very Poor",$R448&lt;=500,"Hazardous")</f>
        <v>Poor</v>
      </c>
      <c r="T448" t="s">
        <v>25</v>
      </c>
      <c r="X448" s="2"/>
      <c r="Y448" s="2"/>
    </row>
    <row r="449" spans="1:25" x14ac:dyDescent="0.3">
      <c r="A449" s="2">
        <v>45381</v>
      </c>
      <c r="B449" t="s">
        <v>22</v>
      </c>
      <c r="C449" s="4">
        <v>79.3</v>
      </c>
      <c r="D449" s="4">
        <v>75.3</v>
      </c>
      <c r="E449" s="4">
        <v>36.700000000000003</v>
      </c>
      <c r="F449" s="4">
        <v>3.89</v>
      </c>
      <c r="G449" s="4">
        <v>31.8</v>
      </c>
      <c r="H449" s="4">
        <v>2.0499999999999998</v>
      </c>
      <c r="I449" s="4">
        <v>30.6</v>
      </c>
      <c r="J449" s="4">
        <v>65.5</v>
      </c>
      <c r="K449" s="4">
        <v>0.8</v>
      </c>
      <c r="L449" s="4">
        <v>132.16666666666671</v>
      </c>
      <c r="M449" s="4">
        <v>75.3</v>
      </c>
      <c r="N449" s="4">
        <v>45.875000000000007</v>
      </c>
      <c r="O449" s="4">
        <v>9.7250000000000014</v>
      </c>
      <c r="P449" s="4">
        <v>79.5</v>
      </c>
      <c r="Q449" s="4">
        <v>102.5</v>
      </c>
      <c r="R449" s="4">
        <v>132</v>
      </c>
      <c r="S449" s="4" t="str" cm="1">
        <f t="array" ref="S449">_xlfn.IFS($R449&lt;=50,"Good",$R449&lt;=100,"Moderate",$R449&lt;=200,"Poor",$R449&lt;=300,"Very Poor",$R449&lt;=500,"Hazardous")</f>
        <v>Poor</v>
      </c>
      <c r="T449" t="s">
        <v>25</v>
      </c>
      <c r="X449" s="2"/>
      <c r="Y449" s="2"/>
    </row>
    <row r="450" spans="1:25" x14ac:dyDescent="0.3">
      <c r="A450" s="2">
        <v>45381</v>
      </c>
      <c r="B450" t="s">
        <v>23</v>
      </c>
      <c r="C450" s="4">
        <v>25.5</v>
      </c>
      <c r="D450" s="4">
        <v>5</v>
      </c>
      <c r="E450" s="4">
        <v>28.8</v>
      </c>
      <c r="F450" s="4">
        <v>12.78</v>
      </c>
      <c r="G450" s="4">
        <v>52.9</v>
      </c>
      <c r="H450" s="4">
        <v>1.07</v>
      </c>
      <c r="I450" s="4">
        <v>24.8</v>
      </c>
      <c r="J450" s="4">
        <v>37.6</v>
      </c>
      <c r="K450" s="4">
        <v>2.75</v>
      </c>
      <c r="L450" s="4">
        <v>42.5</v>
      </c>
      <c r="M450" s="4">
        <v>5</v>
      </c>
      <c r="N450" s="4">
        <v>36.000000000000007</v>
      </c>
      <c r="O450" s="4">
        <v>31.95</v>
      </c>
      <c r="P450" s="4">
        <v>132.25</v>
      </c>
      <c r="Q450" s="4">
        <v>53.500000000000007</v>
      </c>
      <c r="R450" s="4">
        <v>132</v>
      </c>
      <c r="S450" s="4" t="str" cm="1">
        <f t="array" ref="S450">_xlfn.IFS($R450&lt;=50,"Good",$R450&lt;=100,"Moderate",$R450&lt;=200,"Poor",$R450&lt;=300,"Very Poor",$R450&lt;=500,"Hazardous")</f>
        <v>Poor</v>
      </c>
      <c r="T450" t="s">
        <v>27</v>
      </c>
      <c r="X450" s="2"/>
      <c r="Y450" s="2"/>
    </row>
    <row r="451" spans="1:25" x14ac:dyDescent="0.3">
      <c r="A451" s="2">
        <v>45381</v>
      </c>
      <c r="B451" t="s">
        <v>24</v>
      </c>
      <c r="C451" s="4">
        <v>91.3</v>
      </c>
      <c r="D451" s="4">
        <v>25.4</v>
      </c>
      <c r="E451" s="4">
        <v>56.1</v>
      </c>
      <c r="F451" s="4">
        <v>13.93</v>
      </c>
      <c r="G451" s="4">
        <v>32.6</v>
      </c>
      <c r="H451" s="4">
        <v>1.78</v>
      </c>
      <c r="I451" s="4">
        <v>44.7</v>
      </c>
      <c r="J451" s="4">
        <v>48.1</v>
      </c>
      <c r="K451" s="4">
        <v>3.47</v>
      </c>
      <c r="L451" s="4">
        <v>152.16666666666671</v>
      </c>
      <c r="M451" s="4">
        <v>25.4</v>
      </c>
      <c r="N451" s="4">
        <v>70.125</v>
      </c>
      <c r="O451" s="4">
        <v>34.825000000000003</v>
      </c>
      <c r="P451" s="4">
        <v>81.5</v>
      </c>
      <c r="Q451" s="4">
        <v>89</v>
      </c>
      <c r="R451" s="4">
        <v>152</v>
      </c>
      <c r="S451" s="4" t="str" cm="1">
        <f t="array" ref="S451">_xlfn.IFS($R451&lt;=50,"Good",$R451&lt;=100,"Moderate",$R451&lt;=200,"Poor",$R451&lt;=300,"Very Poor",$R451&lt;=500,"Hazardous")</f>
        <v>Poor</v>
      </c>
      <c r="T451" t="s">
        <v>25</v>
      </c>
      <c r="X451" s="2"/>
      <c r="Y451" s="2"/>
    </row>
    <row r="452" spans="1:25" x14ac:dyDescent="0.3">
      <c r="A452" s="2">
        <v>45382</v>
      </c>
      <c r="B452" t="s">
        <v>20</v>
      </c>
      <c r="C452" s="4">
        <v>43.5</v>
      </c>
      <c r="D452" s="4">
        <v>150.5</v>
      </c>
      <c r="E452" s="4">
        <v>62.3</v>
      </c>
      <c r="F452" s="4">
        <v>10.32</v>
      </c>
      <c r="G452" s="4">
        <v>16.7</v>
      </c>
      <c r="H452" s="4">
        <v>1.52</v>
      </c>
      <c r="I452" s="4">
        <v>35.200000000000003</v>
      </c>
      <c r="J452" s="4">
        <v>58.1</v>
      </c>
      <c r="K452" s="4">
        <v>3.65</v>
      </c>
      <c r="L452" s="4">
        <v>72.5</v>
      </c>
      <c r="M452" s="4">
        <v>150.5</v>
      </c>
      <c r="N452" s="4">
        <v>77.875</v>
      </c>
      <c r="O452" s="4">
        <v>25.8</v>
      </c>
      <c r="P452" s="4">
        <v>41.749999999999993</v>
      </c>
      <c r="Q452" s="4">
        <v>76</v>
      </c>
      <c r="R452" s="4">
        <v>150</v>
      </c>
      <c r="S452" s="4" t="str" cm="1">
        <f t="array" ref="S452">_xlfn.IFS($R452&lt;=50,"Good",$R452&lt;=100,"Moderate",$R452&lt;=200,"Poor",$R452&lt;=300,"Very Poor",$R452&lt;=500,"Hazardous")</f>
        <v>Poor</v>
      </c>
      <c r="T452" t="s">
        <v>28</v>
      </c>
      <c r="X452" s="2"/>
      <c r="Y452" s="2"/>
    </row>
    <row r="453" spans="1:25" x14ac:dyDescent="0.3">
      <c r="A453" s="2">
        <v>45382</v>
      </c>
      <c r="B453" t="s">
        <v>21</v>
      </c>
      <c r="C453" s="4">
        <v>66.099999999999994</v>
      </c>
      <c r="D453" s="4">
        <v>206.2</v>
      </c>
      <c r="E453" s="4">
        <v>63.2</v>
      </c>
      <c r="F453" s="4">
        <v>4.0599999999999996</v>
      </c>
      <c r="G453" s="4">
        <v>60</v>
      </c>
      <c r="H453" s="4">
        <v>0.76</v>
      </c>
      <c r="I453" s="4">
        <v>20.6</v>
      </c>
      <c r="J453" s="4">
        <v>53.4</v>
      </c>
      <c r="K453" s="4">
        <v>2.86</v>
      </c>
      <c r="L453" s="4">
        <v>110.1666666666667</v>
      </c>
      <c r="M453" s="4">
        <v>206.2</v>
      </c>
      <c r="N453" s="4">
        <v>79</v>
      </c>
      <c r="O453" s="4">
        <v>10.15</v>
      </c>
      <c r="P453" s="4">
        <v>150</v>
      </c>
      <c r="Q453" s="4">
        <v>38</v>
      </c>
      <c r="R453" s="4">
        <v>206</v>
      </c>
      <c r="S453" s="4" t="str" cm="1">
        <f t="array" ref="S453">_xlfn.IFS($R453&lt;=50,"Good",$R453&lt;=100,"Moderate",$R453&lt;=200,"Poor",$R453&lt;=300,"Very Poor",$R453&lt;=500,"Hazardous")</f>
        <v>Very Poor</v>
      </c>
      <c r="T453" t="s">
        <v>28</v>
      </c>
      <c r="X453" s="2"/>
      <c r="Y453" s="2"/>
    </row>
    <row r="454" spans="1:25" x14ac:dyDescent="0.3">
      <c r="A454" s="2">
        <v>45382</v>
      </c>
      <c r="B454" t="s">
        <v>22</v>
      </c>
      <c r="C454" s="4">
        <v>23.1</v>
      </c>
      <c r="D454" s="4">
        <v>174.1</v>
      </c>
      <c r="E454" s="4">
        <v>53.6</v>
      </c>
      <c r="F454" s="4">
        <v>4.25</v>
      </c>
      <c r="G454" s="4">
        <v>1.5</v>
      </c>
      <c r="H454" s="4">
        <v>1.06</v>
      </c>
      <c r="I454" s="4">
        <v>21.9</v>
      </c>
      <c r="J454" s="4">
        <v>52</v>
      </c>
      <c r="K454" s="4">
        <v>2.06</v>
      </c>
      <c r="L454" s="4">
        <v>38.5</v>
      </c>
      <c r="M454" s="4">
        <v>174.1</v>
      </c>
      <c r="N454" s="4">
        <v>67</v>
      </c>
      <c r="O454" s="4">
        <v>10.625</v>
      </c>
      <c r="P454" s="4">
        <v>3.75</v>
      </c>
      <c r="Q454" s="4">
        <v>53.000000000000007</v>
      </c>
      <c r="R454" s="4">
        <v>174</v>
      </c>
      <c r="S454" s="4" t="str" cm="1">
        <f t="array" ref="S454">_xlfn.IFS($R454&lt;=50,"Good",$R454&lt;=100,"Moderate",$R454&lt;=200,"Poor",$R454&lt;=300,"Very Poor",$R454&lt;=500,"Hazardous")</f>
        <v>Poor</v>
      </c>
      <c r="T454" t="s">
        <v>28</v>
      </c>
      <c r="X454" s="2"/>
      <c r="Y454" s="2"/>
    </row>
    <row r="455" spans="1:25" x14ac:dyDescent="0.3">
      <c r="A455" s="2">
        <v>45382</v>
      </c>
      <c r="B455" t="s">
        <v>23</v>
      </c>
      <c r="C455" s="4">
        <v>2</v>
      </c>
      <c r="D455" s="4">
        <v>96.7</v>
      </c>
      <c r="E455" s="4">
        <v>38.9</v>
      </c>
      <c r="F455" s="4">
        <v>11.17</v>
      </c>
      <c r="G455" s="4">
        <v>22.5</v>
      </c>
      <c r="H455" s="4">
        <v>2.21</v>
      </c>
      <c r="I455" s="4">
        <v>11.6</v>
      </c>
      <c r="J455" s="4">
        <v>73.599999999999994</v>
      </c>
      <c r="K455" s="4">
        <v>2.23</v>
      </c>
      <c r="L455" s="4">
        <v>3.333333333333333</v>
      </c>
      <c r="M455" s="4">
        <v>96.7</v>
      </c>
      <c r="N455" s="4">
        <v>48.625</v>
      </c>
      <c r="O455" s="4">
        <v>27.925000000000001</v>
      </c>
      <c r="P455" s="4">
        <v>56.25</v>
      </c>
      <c r="Q455" s="4">
        <v>110.5</v>
      </c>
      <c r="R455" s="4">
        <v>110</v>
      </c>
      <c r="S455" s="4" t="str" cm="1">
        <f t="array" ref="S455">_xlfn.IFS($R455&lt;=50,"Good",$R455&lt;=100,"Moderate",$R455&lt;=200,"Poor",$R455&lt;=300,"Very Poor",$R455&lt;=500,"Hazardous")</f>
        <v>Poor</v>
      </c>
      <c r="T455" t="s">
        <v>29</v>
      </c>
      <c r="X455" s="2"/>
      <c r="Y455" s="2"/>
    </row>
    <row r="456" spans="1:25" x14ac:dyDescent="0.3">
      <c r="A456" s="2">
        <v>45382</v>
      </c>
      <c r="B456" t="s">
        <v>24</v>
      </c>
      <c r="C456" s="4">
        <v>94.4</v>
      </c>
      <c r="D456" s="4">
        <v>137.30000000000001</v>
      </c>
      <c r="E456" s="4">
        <v>74.599999999999994</v>
      </c>
      <c r="F456" s="4">
        <v>6.67</v>
      </c>
      <c r="G456" s="4">
        <v>13.8</v>
      </c>
      <c r="H456" s="4">
        <v>2.2599999999999998</v>
      </c>
      <c r="I456" s="4">
        <v>24.2</v>
      </c>
      <c r="J456" s="4">
        <v>54</v>
      </c>
      <c r="K456" s="4">
        <v>4.4800000000000004</v>
      </c>
      <c r="L456" s="4">
        <v>157.33333333333329</v>
      </c>
      <c r="M456" s="4">
        <v>137.30000000000001</v>
      </c>
      <c r="N456" s="4">
        <v>93.25</v>
      </c>
      <c r="O456" s="4">
        <v>16.675000000000001</v>
      </c>
      <c r="P456" s="4">
        <v>34.5</v>
      </c>
      <c r="Q456" s="4">
        <v>113</v>
      </c>
      <c r="R456" s="4">
        <v>157</v>
      </c>
      <c r="S456" s="4" t="str" cm="1">
        <f t="array" ref="S456">_xlfn.IFS($R456&lt;=50,"Good",$R456&lt;=100,"Moderate",$R456&lt;=200,"Poor",$R456&lt;=300,"Very Poor",$R456&lt;=500,"Hazardous")</f>
        <v>Poor</v>
      </c>
      <c r="T456" t="s">
        <v>25</v>
      </c>
      <c r="X456" s="2"/>
      <c r="Y456" s="2"/>
    </row>
    <row r="457" spans="1:25" x14ac:dyDescent="0.3">
      <c r="A457" s="2">
        <v>45383</v>
      </c>
      <c r="B457" t="s">
        <v>20</v>
      </c>
      <c r="C457" s="4">
        <v>33.4</v>
      </c>
      <c r="D457" s="4">
        <v>179.1</v>
      </c>
      <c r="E457" s="4">
        <v>38.200000000000003</v>
      </c>
      <c r="F457" s="4">
        <v>8.44</v>
      </c>
      <c r="G457" s="4">
        <v>48.1</v>
      </c>
      <c r="H457" s="4">
        <v>0.34</v>
      </c>
      <c r="I457" s="4">
        <v>22.5</v>
      </c>
      <c r="J457" s="4">
        <v>74.3</v>
      </c>
      <c r="K457" s="4">
        <v>3.56</v>
      </c>
      <c r="L457" s="4">
        <v>55.666666666666657</v>
      </c>
      <c r="M457" s="4">
        <v>179.1</v>
      </c>
      <c r="N457" s="4">
        <v>47.75</v>
      </c>
      <c r="O457" s="4">
        <v>21.1</v>
      </c>
      <c r="P457" s="4">
        <v>120.25</v>
      </c>
      <c r="Q457" s="4">
        <v>17</v>
      </c>
      <c r="R457" s="4">
        <v>179</v>
      </c>
      <c r="S457" s="4" t="str" cm="1">
        <f t="array" ref="S457">_xlfn.IFS($R457&lt;=50,"Good",$R457&lt;=100,"Moderate",$R457&lt;=200,"Poor",$R457&lt;=300,"Very Poor",$R457&lt;=500,"Hazardous")</f>
        <v>Poor</v>
      </c>
      <c r="T457" t="s">
        <v>28</v>
      </c>
      <c r="X457" s="2"/>
      <c r="Y457" s="2"/>
    </row>
    <row r="458" spans="1:25" x14ac:dyDescent="0.3">
      <c r="A458" s="2">
        <v>45383</v>
      </c>
      <c r="B458" t="s">
        <v>21</v>
      </c>
      <c r="C458" s="4">
        <v>72.7</v>
      </c>
      <c r="D458" s="4">
        <v>168.2</v>
      </c>
      <c r="E458" s="4">
        <v>48.9</v>
      </c>
      <c r="F458" s="4">
        <v>18.48</v>
      </c>
      <c r="G458" s="4">
        <v>43.7</v>
      </c>
      <c r="H458" s="4">
        <v>1.67</v>
      </c>
      <c r="I458" s="4">
        <v>36</v>
      </c>
      <c r="J458" s="4">
        <v>36</v>
      </c>
      <c r="K458" s="4">
        <v>4.37</v>
      </c>
      <c r="L458" s="4">
        <v>121.1666666666667</v>
      </c>
      <c r="M458" s="4">
        <v>168.2</v>
      </c>
      <c r="N458" s="4">
        <v>61.125</v>
      </c>
      <c r="O458" s="4">
        <v>46.2</v>
      </c>
      <c r="P458" s="4">
        <v>109.25</v>
      </c>
      <c r="Q458" s="4">
        <v>83.499999999999986</v>
      </c>
      <c r="R458" s="4">
        <v>168</v>
      </c>
      <c r="S458" s="4" t="str" cm="1">
        <f t="array" ref="S458">_xlfn.IFS($R458&lt;=50,"Good",$R458&lt;=100,"Moderate",$R458&lt;=200,"Poor",$R458&lt;=300,"Very Poor",$R458&lt;=500,"Hazardous")</f>
        <v>Poor</v>
      </c>
      <c r="T458" t="s">
        <v>28</v>
      </c>
      <c r="X458" s="2"/>
      <c r="Y458" s="2"/>
    </row>
    <row r="459" spans="1:25" x14ac:dyDescent="0.3">
      <c r="A459" s="2">
        <v>45383</v>
      </c>
      <c r="B459" t="s">
        <v>22</v>
      </c>
      <c r="C459" s="4">
        <v>13.4</v>
      </c>
      <c r="D459" s="4">
        <v>206.9</v>
      </c>
      <c r="E459" s="4">
        <v>35.700000000000003</v>
      </c>
      <c r="F459" s="4">
        <v>6.45</v>
      </c>
      <c r="G459" s="4">
        <v>1</v>
      </c>
      <c r="H459" s="4">
        <v>0.88</v>
      </c>
      <c r="I459" s="4">
        <v>20.7</v>
      </c>
      <c r="J459" s="4">
        <v>39.1</v>
      </c>
      <c r="K459" s="4">
        <v>2.34</v>
      </c>
      <c r="L459" s="4">
        <v>22.333333333333329</v>
      </c>
      <c r="M459" s="4">
        <v>206.9</v>
      </c>
      <c r="N459" s="4">
        <v>44.625000000000007</v>
      </c>
      <c r="O459" s="4">
        <v>16.125</v>
      </c>
      <c r="P459" s="4">
        <v>2.5</v>
      </c>
      <c r="Q459" s="4">
        <v>44</v>
      </c>
      <c r="R459" s="4">
        <v>207</v>
      </c>
      <c r="S459" s="4" t="str" cm="1">
        <f t="array" ref="S459">_xlfn.IFS($R459&lt;=50,"Good",$R459&lt;=100,"Moderate",$R459&lt;=200,"Poor",$R459&lt;=300,"Very Poor",$R459&lt;=500,"Hazardous")</f>
        <v>Very Poor</v>
      </c>
      <c r="T459" t="s">
        <v>28</v>
      </c>
      <c r="X459" s="2"/>
      <c r="Y459" s="2"/>
    </row>
    <row r="460" spans="1:25" x14ac:dyDescent="0.3">
      <c r="A460" s="2">
        <v>45383</v>
      </c>
      <c r="B460" t="s">
        <v>23</v>
      </c>
      <c r="C460" s="4">
        <v>88.7</v>
      </c>
      <c r="D460" s="4">
        <v>132.5</v>
      </c>
      <c r="E460" s="4">
        <v>51.2</v>
      </c>
      <c r="F460" s="4">
        <v>2.52</v>
      </c>
      <c r="G460" s="4">
        <v>18</v>
      </c>
      <c r="H460" s="4">
        <v>2.2799999999999998</v>
      </c>
      <c r="I460" s="4">
        <v>22.9</v>
      </c>
      <c r="J460" s="4">
        <v>79.8</v>
      </c>
      <c r="K460" s="4">
        <v>2.21</v>
      </c>
      <c r="L460" s="4">
        <v>147.83333333333329</v>
      </c>
      <c r="M460" s="4">
        <v>132.5</v>
      </c>
      <c r="N460" s="4">
        <v>64</v>
      </c>
      <c r="O460" s="4">
        <v>6.3</v>
      </c>
      <c r="P460" s="4">
        <v>45</v>
      </c>
      <c r="Q460" s="4">
        <v>114</v>
      </c>
      <c r="R460" s="4">
        <v>148</v>
      </c>
      <c r="S460" s="4" t="str" cm="1">
        <f t="array" ref="S460">_xlfn.IFS($R460&lt;=50,"Good",$R460&lt;=100,"Moderate",$R460&lt;=200,"Poor",$R460&lt;=300,"Very Poor",$R460&lt;=500,"Hazardous")</f>
        <v>Poor</v>
      </c>
      <c r="T460" t="s">
        <v>25</v>
      </c>
      <c r="X460" s="2"/>
      <c r="Y460" s="2"/>
    </row>
    <row r="461" spans="1:25" x14ac:dyDescent="0.3">
      <c r="A461" s="2">
        <v>45383</v>
      </c>
      <c r="B461" t="s">
        <v>24</v>
      </c>
      <c r="C461" s="4">
        <v>66.099999999999994</v>
      </c>
      <c r="D461" s="4">
        <v>202.6</v>
      </c>
      <c r="E461" s="4">
        <v>77.5</v>
      </c>
      <c r="F461" s="4">
        <v>8.19</v>
      </c>
      <c r="G461" s="4">
        <v>33.299999999999997</v>
      </c>
      <c r="H461" s="4">
        <v>1.28</v>
      </c>
      <c r="I461" s="4">
        <v>30.4</v>
      </c>
      <c r="J461" s="4">
        <v>66</v>
      </c>
      <c r="K461" s="4">
        <v>3.01</v>
      </c>
      <c r="L461" s="4">
        <v>110.1666666666667</v>
      </c>
      <c r="M461" s="4">
        <v>202.6</v>
      </c>
      <c r="N461" s="4">
        <v>96.875</v>
      </c>
      <c r="O461" s="4">
        <v>20.475000000000001</v>
      </c>
      <c r="P461" s="4">
        <v>83.249999999999986</v>
      </c>
      <c r="Q461" s="4">
        <v>64</v>
      </c>
      <c r="R461" s="4">
        <v>203</v>
      </c>
      <c r="S461" s="4" t="str" cm="1">
        <f t="array" ref="S461">_xlfn.IFS($R461&lt;=50,"Good",$R461&lt;=100,"Moderate",$R461&lt;=200,"Poor",$R461&lt;=300,"Very Poor",$R461&lt;=500,"Hazardous")</f>
        <v>Very Poor</v>
      </c>
      <c r="T461" t="s">
        <v>28</v>
      </c>
      <c r="X461" s="2"/>
      <c r="Y461" s="2"/>
    </row>
    <row r="462" spans="1:25" x14ac:dyDescent="0.3">
      <c r="A462" s="2">
        <v>45384</v>
      </c>
      <c r="B462" t="s">
        <v>20</v>
      </c>
      <c r="C462" s="4">
        <v>90.4</v>
      </c>
      <c r="D462" s="4">
        <v>251</v>
      </c>
      <c r="E462" s="4">
        <v>60.5</v>
      </c>
      <c r="F462" s="4">
        <v>10.99</v>
      </c>
      <c r="G462" s="4">
        <v>2.2999999999999998</v>
      </c>
      <c r="H462" s="4">
        <v>0.05</v>
      </c>
      <c r="I462" s="4">
        <v>30.7</v>
      </c>
      <c r="J462" s="4">
        <v>48.3</v>
      </c>
      <c r="K462" s="4">
        <v>1.88</v>
      </c>
      <c r="L462" s="4">
        <v>150.66666666666671</v>
      </c>
      <c r="M462" s="4">
        <v>251</v>
      </c>
      <c r="N462" s="4">
        <v>75.625</v>
      </c>
      <c r="O462" s="4">
        <v>27.475000000000001</v>
      </c>
      <c r="P462" s="4">
        <v>5.75</v>
      </c>
      <c r="Q462" s="4">
        <v>2.5</v>
      </c>
      <c r="R462" s="4">
        <v>251</v>
      </c>
      <c r="S462" s="4" t="str" cm="1">
        <f t="array" ref="S462">_xlfn.IFS($R462&lt;=50,"Good",$R462&lt;=100,"Moderate",$R462&lt;=200,"Poor",$R462&lt;=300,"Very Poor",$R462&lt;=500,"Hazardous")</f>
        <v>Very Poor</v>
      </c>
      <c r="T462" t="s">
        <v>28</v>
      </c>
      <c r="X462" s="2"/>
      <c r="Y462" s="2"/>
    </row>
    <row r="463" spans="1:25" x14ac:dyDescent="0.3">
      <c r="A463" s="2">
        <v>45384</v>
      </c>
      <c r="B463" t="s">
        <v>21</v>
      </c>
      <c r="C463" s="4">
        <v>84.1</v>
      </c>
      <c r="D463" s="4">
        <v>145.5</v>
      </c>
      <c r="E463" s="4">
        <v>84.4</v>
      </c>
      <c r="F463" s="4">
        <v>10.54</v>
      </c>
      <c r="G463" s="4">
        <v>26.7</v>
      </c>
      <c r="H463" s="4">
        <v>2.2400000000000002</v>
      </c>
      <c r="I463" s="4">
        <v>26.5</v>
      </c>
      <c r="J463" s="4">
        <v>59.5</v>
      </c>
      <c r="K463" s="4">
        <v>1.93</v>
      </c>
      <c r="L463" s="4">
        <v>140.16666666666671</v>
      </c>
      <c r="M463" s="4">
        <v>145.5</v>
      </c>
      <c r="N463" s="4">
        <v>105.5</v>
      </c>
      <c r="O463" s="4">
        <v>26.35</v>
      </c>
      <c r="P463" s="4">
        <v>66.75</v>
      </c>
      <c r="Q463" s="4">
        <v>112</v>
      </c>
      <c r="R463" s="4">
        <v>146</v>
      </c>
      <c r="S463" s="4" t="str" cm="1">
        <f t="array" ref="S463">_xlfn.IFS($R463&lt;=50,"Good",$R463&lt;=100,"Moderate",$R463&lt;=200,"Poor",$R463&lt;=300,"Very Poor",$R463&lt;=500,"Hazardous")</f>
        <v>Poor</v>
      </c>
      <c r="T463" t="s">
        <v>28</v>
      </c>
      <c r="X463" s="2"/>
      <c r="Y463" s="2"/>
    </row>
    <row r="464" spans="1:25" x14ac:dyDescent="0.3">
      <c r="A464" s="2">
        <v>45384</v>
      </c>
      <c r="B464" t="s">
        <v>22</v>
      </c>
      <c r="C464" s="4">
        <v>38.5</v>
      </c>
      <c r="D464" s="4">
        <v>118.8</v>
      </c>
      <c r="E464" s="4">
        <v>43</v>
      </c>
      <c r="F464" s="4">
        <v>9.8800000000000008</v>
      </c>
      <c r="G464" s="4">
        <v>31.6</v>
      </c>
      <c r="H464" s="4">
        <v>0.09</v>
      </c>
      <c r="I464" s="4">
        <v>25</v>
      </c>
      <c r="J464" s="4">
        <v>64.3</v>
      </c>
      <c r="K464" s="4">
        <v>2.14</v>
      </c>
      <c r="L464" s="4">
        <v>64.166666666666657</v>
      </c>
      <c r="M464" s="4">
        <v>118.8</v>
      </c>
      <c r="N464" s="4">
        <v>53.75</v>
      </c>
      <c r="O464" s="4">
        <v>24.7</v>
      </c>
      <c r="P464" s="4">
        <v>79</v>
      </c>
      <c r="Q464" s="4">
        <v>4.5</v>
      </c>
      <c r="R464" s="4">
        <v>119</v>
      </c>
      <c r="S464" s="4" t="str" cm="1">
        <f t="array" ref="S464">_xlfn.IFS($R464&lt;=50,"Good",$R464&lt;=100,"Moderate",$R464&lt;=200,"Poor",$R464&lt;=300,"Very Poor",$R464&lt;=500,"Hazardous")</f>
        <v>Poor</v>
      </c>
      <c r="T464" t="s">
        <v>28</v>
      </c>
      <c r="X464" s="2"/>
      <c r="Y464" s="2"/>
    </row>
    <row r="465" spans="1:25" x14ac:dyDescent="0.3">
      <c r="A465" s="2">
        <v>45384</v>
      </c>
      <c r="B465" t="s">
        <v>23</v>
      </c>
      <c r="C465" s="4">
        <v>52.6</v>
      </c>
      <c r="D465" s="4">
        <v>179.2</v>
      </c>
      <c r="E465" s="4">
        <v>30.8</v>
      </c>
      <c r="F465" s="4">
        <v>0.5</v>
      </c>
      <c r="G465" s="4">
        <v>36</v>
      </c>
      <c r="H465" s="4">
        <v>0.91</v>
      </c>
      <c r="I465" s="4">
        <v>21.2</v>
      </c>
      <c r="J465" s="4">
        <v>46.8</v>
      </c>
      <c r="K465" s="4">
        <v>3.09</v>
      </c>
      <c r="L465" s="4">
        <v>87.666666666666671</v>
      </c>
      <c r="M465" s="4">
        <v>179.2</v>
      </c>
      <c r="N465" s="4">
        <v>38.5</v>
      </c>
      <c r="O465" s="4">
        <v>1.25</v>
      </c>
      <c r="P465" s="4">
        <v>90</v>
      </c>
      <c r="Q465" s="4">
        <v>45.5</v>
      </c>
      <c r="R465" s="4">
        <v>179</v>
      </c>
      <c r="S465" s="4" t="str" cm="1">
        <f t="array" ref="S465">_xlfn.IFS($R465&lt;=50,"Good",$R465&lt;=100,"Moderate",$R465&lt;=200,"Poor",$R465&lt;=300,"Very Poor",$R465&lt;=500,"Hazardous")</f>
        <v>Poor</v>
      </c>
      <c r="T465" t="s">
        <v>28</v>
      </c>
      <c r="X465" s="2"/>
      <c r="Y465" s="2"/>
    </row>
    <row r="466" spans="1:25" x14ac:dyDescent="0.3">
      <c r="A466" s="2">
        <v>45384</v>
      </c>
      <c r="B466" t="s">
        <v>24</v>
      </c>
      <c r="C466" s="4">
        <v>65.7</v>
      </c>
      <c r="D466" s="4">
        <v>152.30000000000001</v>
      </c>
      <c r="E466" s="4">
        <v>89.4</v>
      </c>
      <c r="F466" s="4">
        <v>6.91</v>
      </c>
      <c r="G466" s="4">
        <v>51.7</v>
      </c>
      <c r="H466" s="4">
        <v>0.98</v>
      </c>
      <c r="I466" s="4">
        <v>22.1</v>
      </c>
      <c r="J466" s="4">
        <v>39.5</v>
      </c>
      <c r="K466" s="4">
        <v>2.4300000000000002</v>
      </c>
      <c r="L466" s="4">
        <v>109.5</v>
      </c>
      <c r="M466" s="4">
        <v>152.30000000000001</v>
      </c>
      <c r="N466" s="4">
        <v>111.75</v>
      </c>
      <c r="O466" s="4">
        <v>17.274999999999999</v>
      </c>
      <c r="P466" s="4">
        <v>129.25</v>
      </c>
      <c r="Q466" s="4">
        <v>49</v>
      </c>
      <c r="R466" s="4">
        <v>152</v>
      </c>
      <c r="S466" s="4" t="str" cm="1">
        <f t="array" ref="S466">_xlfn.IFS($R466&lt;=50,"Good",$R466&lt;=100,"Moderate",$R466&lt;=200,"Poor",$R466&lt;=300,"Very Poor",$R466&lt;=500,"Hazardous")</f>
        <v>Poor</v>
      </c>
      <c r="T466" t="s">
        <v>28</v>
      </c>
      <c r="X466" s="2"/>
      <c r="Y466" s="2"/>
    </row>
    <row r="467" spans="1:25" x14ac:dyDescent="0.3">
      <c r="A467" s="2">
        <v>45385</v>
      </c>
      <c r="B467" t="s">
        <v>20</v>
      </c>
      <c r="C467" s="4">
        <v>81.400000000000006</v>
      </c>
      <c r="D467" s="4">
        <v>300.10000000000002</v>
      </c>
      <c r="E467" s="4">
        <v>35.299999999999997</v>
      </c>
      <c r="F467" s="4">
        <v>6.8</v>
      </c>
      <c r="G467" s="4">
        <v>44.2</v>
      </c>
      <c r="H467" s="4">
        <v>1.65</v>
      </c>
      <c r="I467" s="4">
        <v>29.8</v>
      </c>
      <c r="J467" s="4">
        <v>73.099999999999994</v>
      </c>
      <c r="K467" s="4">
        <v>0.2</v>
      </c>
      <c r="L467" s="4">
        <v>135.66666666666671</v>
      </c>
      <c r="M467" s="4">
        <v>300.10000000000002</v>
      </c>
      <c r="N467" s="4">
        <v>44.125</v>
      </c>
      <c r="O467" s="4">
        <v>17</v>
      </c>
      <c r="P467" s="4">
        <v>110.5</v>
      </c>
      <c r="Q467" s="4">
        <v>82.499999999999986</v>
      </c>
      <c r="R467" s="4">
        <v>300</v>
      </c>
      <c r="S467" s="4" t="str" cm="1">
        <f t="array" ref="S467">_xlfn.IFS($R467&lt;=50,"Good",$R467&lt;=100,"Moderate",$R467&lt;=200,"Poor",$R467&lt;=300,"Very Poor",$R467&lt;=500,"Hazardous")</f>
        <v>Very Poor</v>
      </c>
      <c r="T467" t="s">
        <v>28</v>
      </c>
      <c r="X467" s="2"/>
      <c r="Y467" s="2"/>
    </row>
    <row r="468" spans="1:25" x14ac:dyDescent="0.3">
      <c r="A468" s="2">
        <v>45385</v>
      </c>
      <c r="B468" t="s">
        <v>21</v>
      </c>
      <c r="C468" s="4">
        <v>2</v>
      </c>
      <c r="D468" s="4">
        <v>112.8</v>
      </c>
      <c r="E468" s="4">
        <v>83.7</v>
      </c>
      <c r="F468" s="4">
        <v>0.5</v>
      </c>
      <c r="G468" s="4">
        <v>1</v>
      </c>
      <c r="H468" s="4">
        <v>1.93</v>
      </c>
      <c r="I468" s="4">
        <v>29.7</v>
      </c>
      <c r="J468" s="4">
        <v>30.4</v>
      </c>
      <c r="K468" s="4">
        <v>1.32</v>
      </c>
      <c r="L468" s="4">
        <v>3.333333333333333</v>
      </c>
      <c r="M468" s="4">
        <v>112.8</v>
      </c>
      <c r="N468" s="4">
        <v>104.625</v>
      </c>
      <c r="O468" s="4">
        <v>1.25</v>
      </c>
      <c r="P468" s="4">
        <v>2.5</v>
      </c>
      <c r="Q468" s="4">
        <v>96.5</v>
      </c>
      <c r="R468" s="4">
        <v>113</v>
      </c>
      <c r="S468" s="4" t="str" cm="1">
        <f t="array" ref="S468">_xlfn.IFS($R468&lt;=50,"Good",$R468&lt;=100,"Moderate",$R468&lt;=200,"Poor",$R468&lt;=300,"Very Poor",$R468&lt;=500,"Hazardous")</f>
        <v>Poor</v>
      </c>
      <c r="T468" t="s">
        <v>28</v>
      </c>
      <c r="X468" s="2"/>
      <c r="Y468" s="2"/>
    </row>
    <row r="469" spans="1:25" x14ac:dyDescent="0.3">
      <c r="A469" s="2">
        <v>45385</v>
      </c>
      <c r="B469" t="s">
        <v>22</v>
      </c>
      <c r="C469" s="4">
        <v>29.4</v>
      </c>
      <c r="D469" s="4">
        <v>120.3</v>
      </c>
      <c r="E469" s="4">
        <v>30.9</v>
      </c>
      <c r="F469" s="4">
        <v>9.9499999999999993</v>
      </c>
      <c r="G469" s="4">
        <v>1</v>
      </c>
      <c r="H469" s="4">
        <v>0.65</v>
      </c>
      <c r="I469" s="4">
        <v>20.100000000000001</v>
      </c>
      <c r="J469" s="4">
        <v>45.4</v>
      </c>
      <c r="K469" s="4">
        <v>1.85</v>
      </c>
      <c r="L469" s="4">
        <v>48.999999999999993</v>
      </c>
      <c r="M469" s="4">
        <v>120.3</v>
      </c>
      <c r="N469" s="4">
        <v>38.625</v>
      </c>
      <c r="O469" s="4">
        <v>24.875</v>
      </c>
      <c r="P469" s="4">
        <v>2.5</v>
      </c>
      <c r="Q469" s="4">
        <v>32.5</v>
      </c>
      <c r="R469" s="4">
        <v>120</v>
      </c>
      <c r="S469" s="4" t="str" cm="1">
        <f t="array" ref="S469">_xlfn.IFS($R469&lt;=50,"Good",$R469&lt;=100,"Moderate",$R469&lt;=200,"Poor",$R469&lt;=300,"Very Poor",$R469&lt;=500,"Hazardous")</f>
        <v>Poor</v>
      </c>
      <c r="T469" t="s">
        <v>28</v>
      </c>
      <c r="X469" s="2"/>
      <c r="Y469" s="2"/>
    </row>
    <row r="470" spans="1:25" x14ac:dyDescent="0.3">
      <c r="A470" s="2">
        <v>45385</v>
      </c>
      <c r="B470" t="s">
        <v>23</v>
      </c>
      <c r="C470" s="4">
        <v>83.9</v>
      </c>
      <c r="D470" s="4">
        <v>8.4</v>
      </c>
      <c r="E470" s="4">
        <v>45.9</v>
      </c>
      <c r="F470" s="4">
        <v>10.79</v>
      </c>
      <c r="G470" s="4">
        <v>86.4</v>
      </c>
      <c r="H470" s="4">
        <v>0.91</v>
      </c>
      <c r="I470" s="4">
        <v>30.3</v>
      </c>
      <c r="J470" s="4">
        <v>17.5</v>
      </c>
      <c r="K470" s="4">
        <v>0.2</v>
      </c>
      <c r="L470" s="4">
        <v>139.83333333333329</v>
      </c>
      <c r="M470" s="4">
        <v>8.4</v>
      </c>
      <c r="N470" s="4">
        <v>57.374999999999993</v>
      </c>
      <c r="O470" s="4">
        <v>26.975000000000001</v>
      </c>
      <c r="P470" s="4">
        <v>216</v>
      </c>
      <c r="Q470" s="4">
        <v>45.5</v>
      </c>
      <c r="R470" s="4">
        <v>216</v>
      </c>
      <c r="S470" s="4" t="str" cm="1">
        <f t="array" ref="S470">_xlfn.IFS($R470&lt;=50,"Good",$R470&lt;=100,"Moderate",$R470&lt;=200,"Poor",$R470&lt;=300,"Very Poor",$R470&lt;=500,"Hazardous")</f>
        <v>Very Poor</v>
      </c>
      <c r="T470" t="s">
        <v>27</v>
      </c>
      <c r="X470" s="2"/>
      <c r="Y470" s="2"/>
    </row>
    <row r="471" spans="1:25" x14ac:dyDescent="0.3">
      <c r="A471" s="2">
        <v>45385</v>
      </c>
      <c r="B471" t="s">
        <v>24</v>
      </c>
      <c r="C471" s="4">
        <v>93.9</v>
      </c>
      <c r="D471" s="4">
        <v>131.6</v>
      </c>
      <c r="E471" s="4">
        <v>75.400000000000006</v>
      </c>
      <c r="F471" s="4">
        <v>1.25</v>
      </c>
      <c r="G471" s="4">
        <v>58.3</v>
      </c>
      <c r="H471" s="4">
        <v>2.5499999999999998</v>
      </c>
      <c r="I471" s="4">
        <v>30.9</v>
      </c>
      <c r="J471" s="4">
        <v>55</v>
      </c>
      <c r="K471" s="4">
        <v>3.01</v>
      </c>
      <c r="L471" s="4">
        <v>156.5</v>
      </c>
      <c r="M471" s="4">
        <v>131.6</v>
      </c>
      <c r="N471" s="4">
        <v>94.25</v>
      </c>
      <c r="O471" s="4">
        <v>3.125</v>
      </c>
      <c r="P471" s="4">
        <v>145.75</v>
      </c>
      <c r="Q471" s="4">
        <v>127.5</v>
      </c>
      <c r="R471" s="4">
        <v>156</v>
      </c>
      <c r="S471" s="4" t="str" cm="1">
        <f t="array" ref="S471">_xlfn.IFS($R471&lt;=50,"Good",$R471&lt;=100,"Moderate",$R471&lt;=200,"Poor",$R471&lt;=300,"Very Poor",$R471&lt;=500,"Hazardous")</f>
        <v>Poor</v>
      </c>
      <c r="T471" t="s">
        <v>25</v>
      </c>
      <c r="X471" s="2"/>
      <c r="Y471" s="2"/>
    </row>
    <row r="472" spans="1:25" x14ac:dyDescent="0.3">
      <c r="A472" s="2">
        <v>45386</v>
      </c>
      <c r="B472" t="s">
        <v>20</v>
      </c>
      <c r="C472" s="4">
        <v>14.8</v>
      </c>
      <c r="D472" s="4">
        <v>231.5</v>
      </c>
      <c r="E472" s="4">
        <v>37.700000000000003</v>
      </c>
      <c r="F472" s="4">
        <v>12.1</v>
      </c>
      <c r="G472" s="4">
        <v>1.1000000000000001</v>
      </c>
      <c r="H472" s="4">
        <v>0.56999999999999995</v>
      </c>
      <c r="I472" s="4">
        <v>38</v>
      </c>
      <c r="J472" s="4">
        <v>43.7</v>
      </c>
      <c r="K472" s="4">
        <v>4.24</v>
      </c>
      <c r="L472" s="4">
        <v>24.666666666666671</v>
      </c>
      <c r="M472" s="4">
        <v>231.5</v>
      </c>
      <c r="N472" s="4">
        <v>47.125</v>
      </c>
      <c r="O472" s="4">
        <v>30.25</v>
      </c>
      <c r="P472" s="4">
        <v>2.75</v>
      </c>
      <c r="Q472" s="4">
        <v>28.5</v>
      </c>
      <c r="R472" s="4">
        <v>232</v>
      </c>
      <c r="S472" s="4" t="str" cm="1">
        <f t="array" ref="S472">_xlfn.IFS($R472&lt;=50,"Good",$R472&lt;=100,"Moderate",$R472&lt;=200,"Poor",$R472&lt;=300,"Very Poor",$R472&lt;=500,"Hazardous")</f>
        <v>Very Poor</v>
      </c>
      <c r="T472" t="s">
        <v>28</v>
      </c>
      <c r="X472" s="2"/>
      <c r="Y472" s="2"/>
    </row>
    <row r="473" spans="1:25" x14ac:dyDescent="0.3">
      <c r="A473" s="2">
        <v>45386</v>
      </c>
      <c r="B473" t="s">
        <v>21</v>
      </c>
      <c r="C473" s="4">
        <v>72.099999999999994</v>
      </c>
      <c r="D473" s="4">
        <v>11.9</v>
      </c>
      <c r="E473" s="4">
        <v>78.599999999999994</v>
      </c>
      <c r="F473" s="4">
        <v>6.31</v>
      </c>
      <c r="G473" s="4">
        <v>71.8</v>
      </c>
      <c r="H473" s="4">
        <v>1.52</v>
      </c>
      <c r="I473" s="4">
        <v>17.2</v>
      </c>
      <c r="J473" s="4">
        <v>53</v>
      </c>
      <c r="K473" s="4">
        <v>5.14</v>
      </c>
      <c r="L473" s="4">
        <v>120.1666666666667</v>
      </c>
      <c r="M473" s="4">
        <v>11.9</v>
      </c>
      <c r="N473" s="4">
        <v>98.249999999999986</v>
      </c>
      <c r="O473" s="4">
        <v>15.775</v>
      </c>
      <c r="P473" s="4">
        <v>179.5</v>
      </c>
      <c r="Q473" s="4">
        <v>76</v>
      </c>
      <c r="R473" s="4">
        <v>180</v>
      </c>
      <c r="S473" s="4" t="str" cm="1">
        <f t="array" ref="S473">_xlfn.IFS($R473&lt;=50,"Good",$R473&lt;=100,"Moderate",$R473&lt;=200,"Poor",$R473&lt;=300,"Very Poor",$R473&lt;=500,"Hazardous")</f>
        <v>Poor</v>
      </c>
      <c r="T473" t="s">
        <v>27</v>
      </c>
      <c r="X473" s="2"/>
      <c r="Y473" s="2"/>
    </row>
    <row r="474" spans="1:25" x14ac:dyDescent="0.3">
      <c r="A474" s="2">
        <v>45386</v>
      </c>
      <c r="B474" t="s">
        <v>22</v>
      </c>
      <c r="C474" s="4">
        <v>71.099999999999994</v>
      </c>
      <c r="D474" s="4">
        <v>110.7</v>
      </c>
      <c r="E474" s="4">
        <v>63.2</v>
      </c>
      <c r="F474" s="4">
        <v>8.6</v>
      </c>
      <c r="G474" s="4">
        <v>43</v>
      </c>
      <c r="H474" s="4">
        <v>0.52</v>
      </c>
      <c r="I474" s="4">
        <v>29.6</v>
      </c>
      <c r="J474" s="4">
        <v>68.599999999999994</v>
      </c>
      <c r="K474" s="4">
        <v>1.5</v>
      </c>
      <c r="L474" s="4">
        <v>118.5</v>
      </c>
      <c r="M474" s="4">
        <v>110.7</v>
      </c>
      <c r="N474" s="4">
        <v>79</v>
      </c>
      <c r="O474" s="4">
        <v>21.5</v>
      </c>
      <c r="P474" s="4">
        <v>107.5</v>
      </c>
      <c r="Q474" s="4">
        <v>26</v>
      </c>
      <c r="R474" s="4">
        <v>118</v>
      </c>
      <c r="S474" s="4" t="str" cm="1">
        <f t="array" ref="S474">_xlfn.IFS($R474&lt;=50,"Good",$R474&lt;=100,"Moderate",$R474&lt;=200,"Poor",$R474&lt;=300,"Very Poor",$R474&lt;=500,"Hazardous")</f>
        <v>Poor</v>
      </c>
      <c r="T474" t="s">
        <v>25</v>
      </c>
      <c r="X474" s="2"/>
      <c r="Y474" s="2"/>
    </row>
    <row r="475" spans="1:25" x14ac:dyDescent="0.3">
      <c r="A475" s="2">
        <v>45386</v>
      </c>
      <c r="B475" t="s">
        <v>23</v>
      </c>
      <c r="C475" s="4">
        <v>102.7</v>
      </c>
      <c r="D475" s="4">
        <v>114.5</v>
      </c>
      <c r="E475" s="4">
        <v>27.2</v>
      </c>
      <c r="F475" s="4">
        <v>12.99</v>
      </c>
      <c r="G475" s="4">
        <v>32.799999999999997</v>
      </c>
      <c r="H475" s="4">
        <v>1.66</v>
      </c>
      <c r="I475" s="4">
        <v>26</v>
      </c>
      <c r="J475" s="4">
        <v>48.9</v>
      </c>
      <c r="K475" s="4">
        <v>3.09</v>
      </c>
      <c r="L475" s="4">
        <v>171.16666666666671</v>
      </c>
      <c r="M475" s="4">
        <v>114.5</v>
      </c>
      <c r="N475" s="4">
        <v>34</v>
      </c>
      <c r="O475" s="4">
        <v>32.475000000000001</v>
      </c>
      <c r="P475" s="4">
        <v>81.999999999999986</v>
      </c>
      <c r="Q475" s="4">
        <v>82.999999999999986</v>
      </c>
      <c r="R475" s="4">
        <v>171</v>
      </c>
      <c r="S475" s="4" t="str" cm="1">
        <f t="array" ref="S475">_xlfn.IFS($R475&lt;=50,"Good",$R475&lt;=100,"Moderate",$R475&lt;=200,"Poor",$R475&lt;=300,"Very Poor",$R475&lt;=500,"Hazardous")</f>
        <v>Poor</v>
      </c>
      <c r="T475" t="s">
        <v>25</v>
      </c>
      <c r="X475" s="2"/>
      <c r="Y475" s="2"/>
    </row>
    <row r="476" spans="1:25" x14ac:dyDescent="0.3">
      <c r="A476" s="2">
        <v>45386</v>
      </c>
      <c r="B476" t="s">
        <v>24</v>
      </c>
      <c r="C476" s="4">
        <v>75.599999999999994</v>
      </c>
      <c r="D476" s="4">
        <v>5</v>
      </c>
      <c r="E476" s="4">
        <v>24.8</v>
      </c>
      <c r="F476" s="4">
        <v>13.91</v>
      </c>
      <c r="G476" s="4">
        <v>40.4</v>
      </c>
      <c r="H476" s="4">
        <v>0.97</v>
      </c>
      <c r="I476" s="4">
        <v>18.5</v>
      </c>
      <c r="J476" s="4">
        <v>30.6</v>
      </c>
      <c r="K476" s="4">
        <v>0.56999999999999995</v>
      </c>
      <c r="L476" s="4">
        <v>126</v>
      </c>
      <c r="M476" s="4">
        <v>5</v>
      </c>
      <c r="N476" s="4">
        <v>31</v>
      </c>
      <c r="O476" s="4">
        <v>34.774999999999999</v>
      </c>
      <c r="P476" s="4">
        <v>101</v>
      </c>
      <c r="Q476" s="4">
        <v>48.5</v>
      </c>
      <c r="R476" s="4">
        <v>126</v>
      </c>
      <c r="S476" s="4" t="str" cm="1">
        <f t="array" ref="S476">_xlfn.IFS($R476&lt;=50,"Good",$R476&lt;=100,"Moderate",$R476&lt;=200,"Poor",$R476&lt;=300,"Very Poor",$R476&lt;=500,"Hazardous")</f>
        <v>Poor</v>
      </c>
      <c r="T476" t="s">
        <v>25</v>
      </c>
      <c r="X476" s="2"/>
      <c r="Y476" s="2"/>
    </row>
    <row r="477" spans="1:25" x14ac:dyDescent="0.3">
      <c r="A477" s="2">
        <v>45387</v>
      </c>
      <c r="B477" t="s">
        <v>20</v>
      </c>
      <c r="C477" s="4">
        <v>65.5</v>
      </c>
      <c r="D477" s="4">
        <v>96.7</v>
      </c>
      <c r="E477" s="4">
        <v>29.5</v>
      </c>
      <c r="F477" s="4">
        <v>8.81</v>
      </c>
      <c r="G477" s="4">
        <v>56.5</v>
      </c>
      <c r="H477" s="4">
        <v>2.82</v>
      </c>
      <c r="I477" s="4">
        <v>17.399999999999999</v>
      </c>
      <c r="J477" s="4">
        <v>70.900000000000006</v>
      </c>
      <c r="K477" s="4">
        <v>3.67</v>
      </c>
      <c r="L477" s="4">
        <v>109.1666666666667</v>
      </c>
      <c r="M477" s="4">
        <v>96.7</v>
      </c>
      <c r="N477" s="4">
        <v>36.875</v>
      </c>
      <c r="O477" s="4">
        <v>22.024999999999999</v>
      </c>
      <c r="P477" s="4">
        <v>141.25</v>
      </c>
      <c r="Q477" s="4">
        <v>141</v>
      </c>
      <c r="R477" s="4">
        <v>141</v>
      </c>
      <c r="S477" s="4" t="str" cm="1">
        <f t="array" ref="S477">_xlfn.IFS($R477&lt;=50,"Good",$R477&lt;=100,"Moderate",$R477&lt;=200,"Poor",$R477&lt;=300,"Very Poor",$R477&lt;=500,"Hazardous")</f>
        <v>Poor</v>
      </c>
      <c r="T477" t="s">
        <v>27</v>
      </c>
      <c r="X477" s="2"/>
      <c r="Y477" s="2"/>
    </row>
    <row r="478" spans="1:25" x14ac:dyDescent="0.3">
      <c r="A478" s="2">
        <v>45387</v>
      </c>
      <c r="B478" t="s">
        <v>21</v>
      </c>
      <c r="C478" s="4">
        <v>45.8</v>
      </c>
      <c r="D478" s="4">
        <v>165.2</v>
      </c>
      <c r="E478" s="4">
        <v>44.8</v>
      </c>
      <c r="F478" s="4">
        <v>11.16</v>
      </c>
      <c r="G478" s="4">
        <v>97.2</v>
      </c>
      <c r="H478" s="4">
        <v>1.95</v>
      </c>
      <c r="I478" s="4">
        <v>31.6</v>
      </c>
      <c r="J478" s="4">
        <v>42.3</v>
      </c>
      <c r="K478" s="4">
        <v>0.72</v>
      </c>
      <c r="L478" s="4">
        <v>76.333333333333329</v>
      </c>
      <c r="M478" s="4">
        <v>165.2</v>
      </c>
      <c r="N478" s="4">
        <v>55.999999999999993</v>
      </c>
      <c r="O478" s="4">
        <v>27.9</v>
      </c>
      <c r="P478" s="4">
        <v>243</v>
      </c>
      <c r="Q478" s="4">
        <v>97.5</v>
      </c>
      <c r="R478" s="4">
        <v>243</v>
      </c>
      <c r="S478" s="4" t="str" cm="1">
        <f t="array" ref="S478">_xlfn.IFS($R478&lt;=50,"Good",$R478&lt;=100,"Moderate",$R478&lt;=200,"Poor",$R478&lt;=300,"Very Poor",$R478&lt;=500,"Hazardous")</f>
        <v>Very Poor</v>
      </c>
      <c r="T478" t="s">
        <v>27</v>
      </c>
      <c r="X478" s="2"/>
      <c r="Y478" s="2"/>
    </row>
    <row r="479" spans="1:25" x14ac:dyDescent="0.3">
      <c r="A479" s="2">
        <v>45387</v>
      </c>
      <c r="B479" t="s">
        <v>22</v>
      </c>
      <c r="C479" s="4">
        <v>51.1</v>
      </c>
      <c r="D479" s="4">
        <v>182.8</v>
      </c>
      <c r="E479" s="4">
        <v>13.7</v>
      </c>
      <c r="F479" s="4">
        <v>2.59</v>
      </c>
      <c r="G479" s="4">
        <v>41</v>
      </c>
      <c r="H479" s="4">
        <v>0.57999999999999996</v>
      </c>
      <c r="I479" s="4">
        <v>22.5</v>
      </c>
      <c r="J479" s="4">
        <v>42.4</v>
      </c>
      <c r="K479" s="4">
        <v>0.86</v>
      </c>
      <c r="L479" s="4">
        <v>85.166666666666671</v>
      </c>
      <c r="M479" s="4">
        <v>182.8</v>
      </c>
      <c r="N479" s="4">
        <v>17.125</v>
      </c>
      <c r="O479" s="4">
        <v>6.4749999999999996</v>
      </c>
      <c r="P479" s="4">
        <v>102.5</v>
      </c>
      <c r="Q479" s="4">
        <v>29</v>
      </c>
      <c r="R479" s="4">
        <v>183</v>
      </c>
      <c r="S479" s="4" t="str" cm="1">
        <f t="array" ref="S479">_xlfn.IFS($R479&lt;=50,"Good",$R479&lt;=100,"Moderate",$R479&lt;=200,"Poor",$R479&lt;=300,"Very Poor",$R479&lt;=500,"Hazardous")</f>
        <v>Poor</v>
      </c>
      <c r="T479" t="s">
        <v>28</v>
      </c>
      <c r="X479" s="2"/>
      <c r="Y479" s="2"/>
    </row>
    <row r="480" spans="1:25" x14ac:dyDescent="0.3">
      <c r="A480" s="2">
        <v>45387</v>
      </c>
      <c r="B480" t="s">
        <v>23</v>
      </c>
      <c r="C480" s="4">
        <v>30.8</v>
      </c>
      <c r="D480" s="4">
        <v>162.19999999999999</v>
      </c>
      <c r="E480" s="4">
        <v>18.899999999999999</v>
      </c>
      <c r="F480" s="4">
        <v>0.5</v>
      </c>
      <c r="G480" s="4">
        <v>24.2</v>
      </c>
      <c r="H480" s="4">
        <v>1.64</v>
      </c>
      <c r="I480" s="4">
        <v>26.6</v>
      </c>
      <c r="J480" s="4">
        <v>41.6</v>
      </c>
      <c r="K480" s="4">
        <v>2.5499999999999998</v>
      </c>
      <c r="L480" s="4">
        <v>51.333333333333343</v>
      </c>
      <c r="M480" s="4">
        <v>162.19999999999999</v>
      </c>
      <c r="N480" s="4">
        <v>23.625</v>
      </c>
      <c r="O480" s="4">
        <v>1.25</v>
      </c>
      <c r="P480" s="4">
        <v>60.5</v>
      </c>
      <c r="Q480" s="4">
        <v>81.999999999999986</v>
      </c>
      <c r="R480" s="4">
        <v>162</v>
      </c>
      <c r="S480" s="4" t="str" cm="1">
        <f t="array" ref="S480">_xlfn.IFS($R480&lt;=50,"Good",$R480&lt;=100,"Moderate",$R480&lt;=200,"Poor",$R480&lt;=300,"Very Poor",$R480&lt;=500,"Hazardous")</f>
        <v>Poor</v>
      </c>
      <c r="T480" t="s">
        <v>28</v>
      </c>
      <c r="X480" s="2"/>
      <c r="Y480" s="2"/>
    </row>
    <row r="481" spans="1:25" x14ac:dyDescent="0.3">
      <c r="A481" s="2">
        <v>45387</v>
      </c>
      <c r="B481" t="s">
        <v>24</v>
      </c>
      <c r="C481" s="4">
        <v>8.4</v>
      </c>
      <c r="D481" s="4">
        <v>164.7</v>
      </c>
      <c r="E481" s="4">
        <v>57.9</v>
      </c>
      <c r="F481" s="4">
        <v>6.55</v>
      </c>
      <c r="G481" s="4">
        <v>71.7</v>
      </c>
      <c r="H481" s="4">
        <v>0.57999999999999996</v>
      </c>
      <c r="I481" s="4">
        <v>35.9</v>
      </c>
      <c r="J481" s="4">
        <v>52.8</v>
      </c>
      <c r="K481" s="4">
        <v>2.6</v>
      </c>
      <c r="L481" s="4">
        <v>14</v>
      </c>
      <c r="M481" s="4">
        <v>164.7</v>
      </c>
      <c r="N481" s="4">
        <v>72.375</v>
      </c>
      <c r="O481" s="4">
        <v>16.375</v>
      </c>
      <c r="P481" s="4">
        <v>179.25</v>
      </c>
      <c r="Q481" s="4">
        <v>29</v>
      </c>
      <c r="R481" s="4">
        <v>179</v>
      </c>
      <c r="S481" s="4" t="str" cm="1">
        <f t="array" ref="S481">_xlfn.IFS($R481&lt;=50,"Good",$R481&lt;=100,"Moderate",$R481&lt;=200,"Poor",$R481&lt;=300,"Very Poor",$R481&lt;=500,"Hazardous")</f>
        <v>Poor</v>
      </c>
      <c r="T481" t="s">
        <v>27</v>
      </c>
      <c r="X481" s="2"/>
      <c r="Y481" s="2"/>
    </row>
    <row r="482" spans="1:25" x14ac:dyDescent="0.3">
      <c r="A482" s="2">
        <v>45388</v>
      </c>
      <c r="B482" t="s">
        <v>20</v>
      </c>
      <c r="C482" s="4">
        <v>68.3</v>
      </c>
      <c r="D482" s="4">
        <v>130.6</v>
      </c>
      <c r="E482" s="4">
        <v>79.8</v>
      </c>
      <c r="F482" s="4">
        <v>3.01</v>
      </c>
      <c r="G482" s="4">
        <v>24.1</v>
      </c>
      <c r="H482" s="4">
        <v>2.1</v>
      </c>
      <c r="I482" s="4">
        <v>23.8</v>
      </c>
      <c r="J482" s="4">
        <v>66.2</v>
      </c>
      <c r="K482" s="4">
        <v>4.54</v>
      </c>
      <c r="L482" s="4">
        <v>113.8333333333333</v>
      </c>
      <c r="M482" s="4">
        <v>130.6</v>
      </c>
      <c r="N482" s="4">
        <v>99.749999999999986</v>
      </c>
      <c r="O482" s="4">
        <v>7.5249999999999986</v>
      </c>
      <c r="P482" s="4">
        <v>60.250000000000007</v>
      </c>
      <c r="Q482" s="4">
        <v>105</v>
      </c>
      <c r="R482" s="4">
        <v>131</v>
      </c>
      <c r="S482" s="4" t="str" cm="1">
        <f t="array" ref="S482">_xlfn.IFS($R482&lt;=50,"Good",$R482&lt;=100,"Moderate",$R482&lt;=200,"Poor",$R482&lt;=300,"Very Poor",$R482&lt;=500,"Hazardous")</f>
        <v>Poor</v>
      </c>
      <c r="T482" t="s">
        <v>28</v>
      </c>
      <c r="X482" s="2"/>
      <c r="Y482" s="2"/>
    </row>
    <row r="483" spans="1:25" x14ac:dyDescent="0.3">
      <c r="A483" s="2">
        <v>45388</v>
      </c>
      <c r="B483" t="s">
        <v>21</v>
      </c>
      <c r="C483" s="4">
        <v>59.9</v>
      </c>
      <c r="D483" s="4">
        <v>201.1</v>
      </c>
      <c r="E483" s="4">
        <v>27.4</v>
      </c>
      <c r="F483" s="4">
        <v>14.72</v>
      </c>
      <c r="G483" s="4">
        <v>56.2</v>
      </c>
      <c r="H483" s="4">
        <v>1.85</v>
      </c>
      <c r="I483" s="4">
        <v>23.5</v>
      </c>
      <c r="J483" s="4">
        <v>20.100000000000001</v>
      </c>
      <c r="K483" s="4">
        <v>3.1</v>
      </c>
      <c r="L483" s="4">
        <v>99.833333333333329</v>
      </c>
      <c r="M483" s="4">
        <v>201.1</v>
      </c>
      <c r="N483" s="4">
        <v>34.249999999999993</v>
      </c>
      <c r="O483" s="4">
        <v>36.799999999999997</v>
      </c>
      <c r="P483" s="4">
        <v>140.5</v>
      </c>
      <c r="Q483" s="4">
        <v>92.5</v>
      </c>
      <c r="R483" s="4">
        <v>201</v>
      </c>
      <c r="S483" s="4" t="str" cm="1">
        <f t="array" ref="S483">_xlfn.IFS($R483&lt;=50,"Good",$R483&lt;=100,"Moderate",$R483&lt;=200,"Poor",$R483&lt;=300,"Very Poor",$R483&lt;=500,"Hazardous")</f>
        <v>Very Poor</v>
      </c>
      <c r="T483" t="s">
        <v>28</v>
      </c>
      <c r="X483" s="2"/>
      <c r="Y483" s="2"/>
    </row>
    <row r="484" spans="1:25" x14ac:dyDescent="0.3">
      <c r="A484" s="2">
        <v>45388</v>
      </c>
      <c r="B484" t="s">
        <v>22</v>
      </c>
      <c r="C484" s="4">
        <v>2</v>
      </c>
      <c r="D484" s="4">
        <v>95.9</v>
      </c>
      <c r="E484" s="4">
        <v>60.6</v>
      </c>
      <c r="F484" s="4">
        <v>8.51</v>
      </c>
      <c r="G484" s="4">
        <v>84.3</v>
      </c>
      <c r="H484" s="4">
        <v>1.72</v>
      </c>
      <c r="I484" s="4">
        <v>23.4</v>
      </c>
      <c r="J484" s="4">
        <v>50.5</v>
      </c>
      <c r="K484" s="4">
        <v>2.44</v>
      </c>
      <c r="L484" s="4">
        <v>3.333333333333333</v>
      </c>
      <c r="M484" s="4">
        <v>95.9</v>
      </c>
      <c r="N484" s="4">
        <v>75.75</v>
      </c>
      <c r="O484" s="4">
        <v>21.274999999999999</v>
      </c>
      <c r="P484" s="4">
        <v>210.75</v>
      </c>
      <c r="Q484" s="4">
        <v>86</v>
      </c>
      <c r="R484" s="4">
        <v>211</v>
      </c>
      <c r="S484" s="4" t="str" cm="1">
        <f t="array" ref="S484">_xlfn.IFS($R484&lt;=50,"Good",$R484&lt;=100,"Moderate",$R484&lt;=200,"Poor",$R484&lt;=300,"Very Poor",$R484&lt;=500,"Hazardous")</f>
        <v>Very Poor</v>
      </c>
      <c r="T484" t="s">
        <v>27</v>
      </c>
      <c r="X484" s="2"/>
      <c r="Y484" s="2"/>
    </row>
    <row r="485" spans="1:25" x14ac:dyDescent="0.3">
      <c r="A485" s="2">
        <v>45388</v>
      </c>
      <c r="B485" t="s">
        <v>23</v>
      </c>
      <c r="C485" s="4">
        <v>12.5</v>
      </c>
      <c r="D485" s="4">
        <v>63.6</v>
      </c>
      <c r="E485" s="4">
        <v>33.799999999999997</v>
      </c>
      <c r="F485" s="4">
        <v>0.5</v>
      </c>
      <c r="G485" s="4">
        <v>41.2</v>
      </c>
      <c r="H485" s="4">
        <v>1.05</v>
      </c>
      <c r="I485" s="4">
        <v>16.3</v>
      </c>
      <c r="J485" s="4">
        <v>57.3</v>
      </c>
      <c r="K485" s="4">
        <v>3.36</v>
      </c>
      <c r="L485" s="4">
        <v>20.833333333333329</v>
      </c>
      <c r="M485" s="4">
        <v>63.6</v>
      </c>
      <c r="N485" s="4">
        <v>42.249999999999993</v>
      </c>
      <c r="O485" s="4">
        <v>1.25</v>
      </c>
      <c r="P485" s="4">
        <v>103</v>
      </c>
      <c r="Q485" s="4">
        <v>52.500000000000007</v>
      </c>
      <c r="R485" s="4">
        <v>103</v>
      </c>
      <c r="S485" s="4" t="str" cm="1">
        <f t="array" ref="S485">_xlfn.IFS($R485&lt;=50,"Good",$R485&lt;=100,"Moderate",$R485&lt;=200,"Poor",$R485&lt;=300,"Very Poor",$R485&lt;=500,"Hazardous")</f>
        <v>Poor</v>
      </c>
      <c r="T485" t="s">
        <v>27</v>
      </c>
      <c r="X485" s="2"/>
      <c r="Y485" s="2"/>
    </row>
    <row r="486" spans="1:25" x14ac:dyDescent="0.3">
      <c r="A486" s="2">
        <v>45388</v>
      </c>
      <c r="B486" t="s">
        <v>24</v>
      </c>
      <c r="C486" s="4">
        <v>73.5</v>
      </c>
      <c r="D486" s="4">
        <v>110.6</v>
      </c>
      <c r="E486" s="4">
        <v>62.5</v>
      </c>
      <c r="F486" s="4">
        <v>12.54</v>
      </c>
      <c r="G486" s="4">
        <v>52.5</v>
      </c>
      <c r="H486" s="4">
        <v>0.78</v>
      </c>
      <c r="I486" s="4">
        <v>29.9</v>
      </c>
      <c r="J486" s="4">
        <v>71.5</v>
      </c>
      <c r="K486" s="4">
        <v>2.2799999999999998</v>
      </c>
      <c r="L486" s="4">
        <v>122.5</v>
      </c>
      <c r="M486" s="4">
        <v>110.6</v>
      </c>
      <c r="N486" s="4">
        <v>78.125</v>
      </c>
      <c r="O486" s="4">
        <v>31.349999999999991</v>
      </c>
      <c r="P486" s="4">
        <v>131.25</v>
      </c>
      <c r="Q486" s="4">
        <v>39</v>
      </c>
      <c r="R486" s="4">
        <v>131</v>
      </c>
      <c r="S486" s="4" t="str" cm="1">
        <f t="array" ref="S486">_xlfn.IFS($R486&lt;=50,"Good",$R486&lt;=100,"Moderate",$R486&lt;=200,"Poor",$R486&lt;=300,"Very Poor",$R486&lt;=500,"Hazardous")</f>
        <v>Poor</v>
      </c>
      <c r="T486" t="s">
        <v>27</v>
      </c>
      <c r="X486" s="2"/>
      <c r="Y486" s="2"/>
    </row>
    <row r="487" spans="1:25" x14ac:dyDescent="0.3">
      <c r="A487" s="2">
        <v>45389</v>
      </c>
      <c r="B487" t="s">
        <v>20</v>
      </c>
      <c r="C487" s="4">
        <v>141.4</v>
      </c>
      <c r="D487" s="4">
        <v>101.7</v>
      </c>
      <c r="E487" s="4">
        <v>52.5</v>
      </c>
      <c r="F487" s="4">
        <v>5.33</v>
      </c>
      <c r="G487" s="4">
        <v>52.4</v>
      </c>
      <c r="H487" s="4">
        <v>0.18</v>
      </c>
      <c r="I487" s="4">
        <v>24.2</v>
      </c>
      <c r="J487" s="4">
        <v>30.3</v>
      </c>
      <c r="K487" s="4">
        <v>2.66</v>
      </c>
      <c r="L487" s="4">
        <v>235.66666666666671</v>
      </c>
      <c r="M487" s="4">
        <v>101.7</v>
      </c>
      <c r="N487" s="4">
        <v>65.625</v>
      </c>
      <c r="O487" s="4">
        <v>13.324999999999999</v>
      </c>
      <c r="P487" s="4">
        <v>131</v>
      </c>
      <c r="Q487" s="4">
        <v>9</v>
      </c>
      <c r="R487" s="4">
        <v>236</v>
      </c>
      <c r="S487" s="4" t="str" cm="1">
        <f t="array" ref="S487">_xlfn.IFS($R487&lt;=50,"Good",$R487&lt;=100,"Moderate",$R487&lt;=200,"Poor",$R487&lt;=300,"Very Poor",$R487&lt;=500,"Hazardous")</f>
        <v>Very Poor</v>
      </c>
      <c r="T487" t="s">
        <v>25</v>
      </c>
      <c r="X487" s="2"/>
      <c r="Y487" s="2"/>
    </row>
    <row r="488" spans="1:25" x14ac:dyDescent="0.3">
      <c r="A488" s="2">
        <v>45389</v>
      </c>
      <c r="B488" t="s">
        <v>21</v>
      </c>
      <c r="C488" s="4">
        <v>112.3</v>
      </c>
      <c r="D488" s="4">
        <v>198.5</v>
      </c>
      <c r="E488" s="4">
        <v>2</v>
      </c>
      <c r="F488" s="4">
        <v>22.76</v>
      </c>
      <c r="G488" s="4">
        <v>59.2</v>
      </c>
      <c r="H488" s="4">
        <v>0.92</v>
      </c>
      <c r="I488" s="4">
        <v>29.1</v>
      </c>
      <c r="J488" s="4">
        <v>53.2</v>
      </c>
      <c r="K488" s="4">
        <v>1.7</v>
      </c>
      <c r="L488" s="4">
        <v>187.16666666666671</v>
      </c>
      <c r="M488" s="4">
        <v>198.5</v>
      </c>
      <c r="N488" s="4">
        <v>2.5</v>
      </c>
      <c r="O488" s="4">
        <v>56.900000000000013</v>
      </c>
      <c r="P488" s="4">
        <v>148</v>
      </c>
      <c r="Q488" s="4">
        <v>46</v>
      </c>
      <c r="R488" s="4">
        <v>198</v>
      </c>
      <c r="S488" s="4" t="str" cm="1">
        <f t="array" ref="S488">_xlfn.IFS($R488&lt;=50,"Good",$R488&lt;=100,"Moderate",$R488&lt;=200,"Poor",$R488&lt;=300,"Very Poor",$R488&lt;=500,"Hazardous")</f>
        <v>Poor</v>
      </c>
      <c r="T488" t="s">
        <v>28</v>
      </c>
      <c r="X488" s="2"/>
      <c r="Y488" s="2"/>
    </row>
    <row r="489" spans="1:25" x14ac:dyDescent="0.3">
      <c r="A489" s="2">
        <v>45389</v>
      </c>
      <c r="B489" t="s">
        <v>22</v>
      </c>
      <c r="C489" s="4">
        <v>62.6</v>
      </c>
      <c r="D489" s="4">
        <v>79.400000000000006</v>
      </c>
      <c r="E489" s="4">
        <v>35.1</v>
      </c>
      <c r="F489" s="4">
        <v>4.34</v>
      </c>
      <c r="G489" s="4">
        <v>4</v>
      </c>
      <c r="H489" s="4">
        <v>1.22</v>
      </c>
      <c r="I489" s="4">
        <v>32.1</v>
      </c>
      <c r="J489" s="4">
        <v>59.3</v>
      </c>
      <c r="K489" s="4">
        <v>3.48</v>
      </c>
      <c r="L489" s="4">
        <v>104.3333333333333</v>
      </c>
      <c r="M489" s="4">
        <v>79.400000000000006</v>
      </c>
      <c r="N489" s="4">
        <v>43.875000000000007</v>
      </c>
      <c r="O489" s="4">
        <v>10.85</v>
      </c>
      <c r="P489" s="4">
        <v>10</v>
      </c>
      <c r="Q489" s="4">
        <v>61</v>
      </c>
      <c r="R489" s="4">
        <v>104</v>
      </c>
      <c r="S489" s="4" t="str" cm="1">
        <f t="array" ref="S489">_xlfn.IFS($R489&lt;=50,"Good",$R489&lt;=100,"Moderate",$R489&lt;=200,"Poor",$R489&lt;=300,"Very Poor",$R489&lt;=500,"Hazardous")</f>
        <v>Poor</v>
      </c>
      <c r="T489" t="s">
        <v>25</v>
      </c>
      <c r="X489" s="2"/>
      <c r="Y489" s="2"/>
    </row>
    <row r="490" spans="1:25" x14ac:dyDescent="0.3">
      <c r="A490" s="2">
        <v>45389</v>
      </c>
      <c r="B490" t="s">
        <v>23</v>
      </c>
      <c r="C490" s="4">
        <v>69.7</v>
      </c>
      <c r="D490" s="4">
        <v>88</v>
      </c>
      <c r="E490" s="4">
        <v>61.8</v>
      </c>
      <c r="F490" s="4">
        <v>1.21</v>
      </c>
      <c r="G490" s="4">
        <v>17.5</v>
      </c>
      <c r="H490" s="4">
        <v>0.62</v>
      </c>
      <c r="I490" s="4">
        <v>35.6</v>
      </c>
      <c r="J490" s="4">
        <v>67</v>
      </c>
      <c r="K490" s="4">
        <v>3.08</v>
      </c>
      <c r="L490" s="4">
        <v>116.1666666666667</v>
      </c>
      <c r="M490" s="4">
        <v>88</v>
      </c>
      <c r="N490" s="4">
        <v>77.25</v>
      </c>
      <c r="O490" s="4">
        <v>3.0249999999999999</v>
      </c>
      <c r="P490" s="4">
        <v>43.75</v>
      </c>
      <c r="Q490" s="4">
        <v>31</v>
      </c>
      <c r="R490" s="4">
        <v>116</v>
      </c>
      <c r="S490" s="4" t="str" cm="1">
        <f t="array" ref="S490">_xlfn.IFS($R490&lt;=50,"Good",$R490&lt;=100,"Moderate",$R490&lt;=200,"Poor",$R490&lt;=300,"Very Poor",$R490&lt;=500,"Hazardous")</f>
        <v>Poor</v>
      </c>
      <c r="T490" t="s">
        <v>25</v>
      </c>
      <c r="X490" s="2"/>
      <c r="Y490" s="2"/>
    </row>
    <row r="491" spans="1:25" x14ac:dyDescent="0.3">
      <c r="A491" s="2">
        <v>45389</v>
      </c>
      <c r="B491" t="s">
        <v>24</v>
      </c>
      <c r="C491" s="4">
        <v>101.4</v>
      </c>
      <c r="D491" s="4">
        <v>74</v>
      </c>
      <c r="E491" s="4">
        <v>57.2</v>
      </c>
      <c r="F491" s="4">
        <v>8.11</v>
      </c>
      <c r="G491" s="4">
        <v>67.3</v>
      </c>
      <c r="H491" s="4">
        <v>1.24</v>
      </c>
      <c r="I491" s="4">
        <v>25.3</v>
      </c>
      <c r="J491" s="4">
        <v>59.7</v>
      </c>
      <c r="K491" s="4">
        <v>4.05</v>
      </c>
      <c r="L491" s="4">
        <v>169</v>
      </c>
      <c r="M491" s="4">
        <v>74</v>
      </c>
      <c r="N491" s="4">
        <v>71.500000000000014</v>
      </c>
      <c r="O491" s="4">
        <v>20.274999999999999</v>
      </c>
      <c r="P491" s="4">
        <v>168.25</v>
      </c>
      <c r="Q491" s="4">
        <v>62</v>
      </c>
      <c r="R491" s="4">
        <v>169</v>
      </c>
      <c r="S491" s="4" t="str" cm="1">
        <f t="array" ref="S491">_xlfn.IFS($R491&lt;=50,"Good",$R491&lt;=100,"Moderate",$R491&lt;=200,"Poor",$R491&lt;=300,"Very Poor",$R491&lt;=500,"Hazardous")</f>
        <v>Poor</v>
      </c>
      <c r="T491" t="s">
        <v>25</v>
      </c>
      <c r="X491" s="2"/>
      <c r="Y491" s="2"/>
    </row>
    <row r="492" spans="1:25" x14ac:dyDescent="0.3">
      <c r="A492" s="2">
        <v>45390</v>
      </c>
      <c r="B492" t="s">
        <v>20</v>
      </c>
      <c r="C492" s="4">
        <v>45.9</v>
      </c>
      <c r="D492" s="4">
        <v>133.80000000000001</v>
      </c>
      <c r="E492" s="4">
        <v>27.4</v>
      </c>
      <c r="F492" s="4">
        <v>0.5</v>
      </c>
      <c r="G492" s="4">
        <v>51.8</v>
      </c>
      <c r="H492" s="4">
        <v>1.8</v>
      </c>
      <c r="I492" s="4">
        <v>29.8</v>
      </c>
      <c r="J492" s="4">
        <v>14.9</v>
      </c>
      <c r="K492" s="4">
        <v>2.08</v>
      </c>
      <c r="L492" s="4">
        <v>76.5</v>
      </c>
      <c r="M492" s="4">
        <v>133.80000000000001</v>
      </c>
      <c r="N492" s="4">
        <v>34.249999999999993</v>
      </c>
      <c r="O492" s="4">
        <v>1.25</v>
      </c>
      <c r="P492" s="4">
        <v>129.5</v>
      </c>
      <c r="Q492" s="4">
        <v>90</v>
      </c>
      <c r="R492" s="4">
        <v>134</v>
      </c>
      <c r="S492" s="4" t="str" cm="1">
        <f t="array" ref="S492">_xlfn.IFS($R492&lt;=50,"Good",$R492&lt;=100,"Moderate",$R492&lt;=200,"Poor",$R492&lt;=300,"Very Poor",$R492&lt;=500,"Hazardous")</f>
        <v>Poor</v>
      </c>
      <c r="T492" t="s">
        <v>28</v>
      </c>
      <c r="X492" s="2"/>
      <c r="Y492" s="2"/>
    </row>
    <row r="493" spans="1:25" x14ac:dyDescent="0.3">
      <c r="A493" s="2">
        <v>45390</v>
      </c>
      <c r="B493" t="s">
        <v>21</v>
      </c>
      <c r="C493" s="4">
        <v>2</v>
      </c>
      <c r="D493" s="4">
        <v>252.7</v>
      </c>
      <c r="E493" s="4">
        <v>29.1</v>
      </c>
      <c r="F493" s="4">
        <v>17.850000000000001</v>
      </c>
      <c r="G493" s="4">
        <v>79.599999999999994</v>
      </c>
      <c r="H493" s="4">
        <v>0.82</v>
      </c>
      <c r="I493" s="4">
        <v>20.100000000000001</v>
      </c>
      <c r="J493" s="4">
        <v>56.3</v>
      </c>
      <c r="K493" s="4">
        <v>1.49</v>
      </c>
      <c r="L493" s="4">
        <v>3.333333333333333</v>
      </c>
      <c r="M493" s="4">
        <v>252.7</v>
      </c>
      <c r="N493" s="4">
        <v>36.375000000000007</v>
      </c>
      <c r="O493" s="4">
        <v>44.625000000000007</v>
      </c>
      <c r="P493" s="4">
        <v>199</v>
      </c>
      <c r="Q493" s="4">
        <v>40.999999999999993</v>
      </c>
      <c r="R493" s="4">
        <v>253</v>
      </c>
      <c r="S493" s="4" t="str" cm="1">
        <f t="array" ref="S493">_xlfn.IFS($R493&lt;=50,"Good",$R493&lt;=100,"Moderate",$R493&lt;=200,"Poor",$R493&lt;=300,"Very Poor",$R493&lt;=500,"Hazardous")</f>
        <v>Very Poor</v>
      </c>
      <c r="T493" t="s">
        <v>28</v>
      </c>
      <c r="X493" s="2"/>
      <c r="Y493" s="2"/>
    </row>
    <row r="494" spans="1:25" x14ac:dyDescent="0.3">
      <c r="A494" s="2">
        <v>45390</v>
      </c>
      <c r="B494" t="s">
        <v>22</v>
      </c>
      <c r="C494" s="4">
        <v>59.9</v>
      </c>
      <c r="D494" s="4">
        <v>86.5</v>
      </c>
      <c r="E494" s="4">
        <v>8.9</v>
      </c>
      <c r="F494" s="4">
        <v>0.5</v>
      </c>
      <c r="G494" s="4">
        <v>43.4</v>
      </c>
      <c r="H494" s="4">
        <v>0.82</v>
      </c>
      <c r="I494" s="4">
        <v>24.1</v>
      </c>
      <c r="J494" s="4">
        <v>62.5</v>
      </c>
      <c r="K494" s="4">
        <v>3.91</v>
      </c>
      <c r="L494" s="4">
        <v>99.833333333333329</v>
      </c>
      <c r="M494" s="4">
        <v>86.5</v>
      </c>
      <c r="N494" s="4">
        <v>11.125</v>
      </c>
      <c r="O494" s="4">
        <v>1.25</v>
      </c>
      <c r="P494" s="4">
        <v>108.5</v>
      </c>
      <c r="Q494" s="4">
        <v>40.999999999999993</v>
      </c>
      <c r="R494" s="4">
        <v>108</v>
      </c>
      <c r="S494" s="4" t="str" cm="1">
        <f t="array" ref="S494">_xlfn.IFS($R494&lt;=50,"Good",$R494&lt;=100,"Moderate",$R494&lt;=200,"Poor",$R494&lt;=300,"Very Poor",$R494&lt;=500,"Hazardous")</f>
        <v>Poor</v>
      </c>
      <c r="T494" t="s">
        <v>27</v>
      </c>
      <c r="X494" s="2"/>
      <c r="Y494" s="2"/>
    </row>
    <row r="495" spans="1:25" x14ac:dyDescent="0.3">
      <c r="A495" s="2">
        <v>45390</v>
      </c>
      <c r="B495" t="s">
        <v>23</v>
      </c>
      <c r="C495" s="4">
        <v>51.8</v>
      </c>
      <c r="D495" s="4">
        <v>99.6</v>
      </c>
      <c r="E495" s="4">
        <v>55</v>
      </c>
      <c r="F495" s="4">
        <v>1.22</v>
      </c>
      <c r="G495" s="4">
        <v>45.6</v>
      </c>
      <c r="H495" s="4">
        <v>1.53</v>
      </c>
      <c r="I495" s="4">
        <v>32.799999999999997</v>
      </c>
      <c r="J495" s="4">
        <v>15.1</v>
      </c>
      <c r="K495" s="4">
        <v>1.59</v>
      </c>
      <c r="L495" s="4">
        <v>86.333333333333329</v>
      </c>
      <c r="M495" s="4">
        <v>99.6</v>
      </c>
      <c r="N495" s="4">
        <v>68.75</v>
      </c>
      <c r="O495" s="4">
        <v>3.05</v>
      </c>
      <c r="P495" s="4">
        <v>114</v>
      </c>
      <c r="Q495" s="4">
        <v>76.5</v>
      </c>
      <c r="R495" s="4">
        <v>114</v>
      </c>
      <c r="S495" s="4" t="str" cm="1">
        <f t="array" ref="S495">_xlfn.IFS($R495&lt;=50,"Good",$R495&lt;=100,"Moderate",$R495&lt;=200,"Poor",$R495&lt;=300,"Very Poor",$R495&lt;=500,"Hazardous")</f>
        <v>Poor</v>
      </c>
      <c r="T495" t="s">
        <v>27</v>
      </c>
      <c r="X495" s="2"/>
      <c r="Y495" s="2"/>
    </row>
    <row r="496" spans="1:25" x14ac:dyDescent="0.3">
      <c r="A496" s="2">
        <v>45390</v>
      </c>
      <c r="B496" t="s">
        <v>24</v>
      </c>
      <c r="C496" s="4">
        <v>37</v>
      </c>
      <c r="D496" s="4">
        <v>138.6</v>
      </c>
      <c r="E496" s="4">
        <v>60.1</v>
      </c>
      <c r="F496" s="4">
        <v>17.03</v>
      </c>
      <c r="G496" s="4">
        <v>30.4</v>
      </c>
      <c r="H496" s="4">
        <v>0.99</v>
      </c>
      <c r="I496" s="4">
        <v>36</v>
      </c>
      <c r="J496" s="4">
        <v>55.3</v>
      </c>
      <c r="K496" s="4">
        <v>4.5199999999999996</v>
      </c>
      <c r="L496" s="4">
        <v>61.666666666666671</v>
      </c>
      <c r="M496" s="4">
        <v>138.6</v>
      </c>
      <c r="N496" s="4">
        <v>75.125</v>
      </c>
      <c r="O496" s="4">
        <v>42.575000000000003</v>
      </c>
      <c r="P496" s="4">
        <v>76</v>
      </c>
      <c r="Q496" s="4">
        <v>49.5</v>
      </c>
      <c r="R496" s="4">
        <v>139</v>
      </c>
      <c r="S496" s="4" t="str" cm="1">
        <f t="array" ref="S496">_xlfn.IFS($R496&lt;=50,"Good",$R496&lt;=100,"Moderate",$R496&lt;=200,"Poor",$R496&lt;=300,"Very Poor",$R496&lt;=500,"Hazardous")</f>
        <v>Poor</v>
      </c>
      <c r="T496" t="s">
        <v>28</v>
      </c>
      <c r="X496" s="2"/>
      <c r="Y496" s="2"/>
    </row>
    <row r="497" spans="1:25" x14ac:dyDescent="0.3">
      <c r="A497" s="2">
        <v>45391</v>
      </c>
      <c r="B497" t="s">
        <v>20</v>
      </c>
      <c r="C497" s="4">
        <v>79</v>
      </c>
      <c r="D497" s="4">
        <v>58.2</v>
      </c>
      <c r="E497" s="4">
        <v>21.1</v>
      </c>
      <c r="F497" s="4">
        <v>0.5</v>
      </c>
      <c r="G497" s="4">
        <v>65</v>
      </c>
      <c r="H497" s="4">
        <v>2.2000000000000002</v>
      </c>
      <c r="I497" s="4">
        <v>40.9</v>
      </c>
      <c r="J497" s="4">
        <v>65.2</v>
      </c>
      <c r="K497" s="4">
        <v>3.9</v>
      </c>
      <c r="L497" s="4">
        <v>131.66666666666671</v>
      </c>
      <c r="M497" s="4">
        <v>58.2</v>
      </c>
      <c r="N497" s="4">
        <v>26.375</v>
      </c>
      <c r="O497" s="4">
        <v>1.25</v>
      </c>
      <c r="P497" s="4">
        <v>162.5</v>
      </c>
      <c r="Q497" s="4">
        <v>110</v>
      </c>
      <c r="R497" s="4">
        <v>162</v>
      </c>
      <c r="S497" s="4" t="str" cm="1">
        <f t="array" ref="S497">_xlfn.IFS($R497&lt;=50,"Good",$R497&lt;=100,"Moderate",$R497&lt;=200,"Poor",$R497&lt;=300,"Very Poor",$R497&lt;=500,"Hazardous")</f>
        <v>Poor</v>
      </c>
      <c r="T497" t="s">
        <v>27</v>
      </c>
      <c r="X497" s="2"/>
      <c r="Y497" s="2"/>
    </row>
    <row r="498" spans="1:25" x14ac:dyDescent="0.3">
      <c r="A498" s="2">
        <v>45391</v>
      </c>
      <c r="B498" t="s">
        <v>21</v>
      </c>
      <c r="C498" s="4">
        <v>53.2</v>
      </c>
      <c r="D498" s="4">
        <v>63.3</v>
      </c>
      <c r="E498" s="4">
        <v>77.5</v>
      </c>
      <c r="F498" s="4">
        <v>12.61</v>
      </c>
      <c r="G498" s="4">
        <v>53.4</v>
      </c>
      <c r="H498" s="4">
        <v>1.79</v>
      </c>
      <c r="I498" s="4">
        <v>30.3</v>
      </c>
      <c r="J498" s="4">
        <v>73.099999999999994</v>
      </c>
      <c r="K498" s="4">
        <v>4.05</v>
      </c>
      <c r="L498" s="4">
        <v>88.666666666666671</v>
      </c>
      <c r="M498" s="4">
        <v>63.3</v>
      </c>
      <c r="N498" s="4">
        <v>96.875</v>
      </c>
      <c r="O498" s="4">
        <v>31.524999999999999</v>
      </c>
      <c r="P498" s="4">
        <v>133.5</v>
      </c>
      <c r="Q498" s="4">
        <v>89.5</v>
      </c>
      <c r="R498" s="4">
        <v>134</v>
      </c>
      <c r="S498" s="4" t="str" cm="1">
        <f t="array" ref="S498">_xlfn.IFS($R498&lt;=50,"Good",$R498&lt;=100,"Moderate",$R498&lt;=200,"Poor",$R498&lt;=300,"Very Poor",$R498&lt;=500,"Hazardous")</f>
        <v>Poor</v>
      </c>
      <c r="T498" t="s">
        <v>27</v>
      </c>
      <c r="X498" s="2"/>
      <c r="Y498" s="2"/>
    </row>
    <row r="499" spans="1:25" x14ac:dyDescent="0.3">
      <c r="A499" s="2">
        <v>45391</v>
      </c>
      <c r="B499" t="s">
        <v>22</v>
      </c>
      <c r="C499" s="4">
        <v>72.5</v>
      </c>
      <c r="D499" s="4">
        <v>162.19999999999999</v>
      </c>
      <c r="E499" s="4">
        <v>52.5</v>
      </c>
      <c r="F499" s="4">
        <v>5.41</v>
      </c>
      <c r="G499" s="4">
        <v>56</v>
      </c>
      <c r="H499" s="4">
        <v>0.35</v>
      </c>
      <c r="I499" s="4">
        <v>35.4</v>
      </c>
      <c r="J499" s="4">
        <v>28.5</v>
      </c>
      <c r="K499" s="4">
        <v>2.84</v>
      </c>
      <c r="L499" s="4">
        <v>120.8333333333333</v>
      </c>
      <c r="M499" s="4">
        <v>162.19999999999999</v>
      </c>
      <c r="N499" s="4">
        <v>65.625</v>
      </c>
      <c r="O499" s="4">
        <v>13.525</v>
      </c>
      <c r="P499" s="4">
        <v>140</v>
      </c>
      <c r="Q499" s="4">
        <v>17.5</v>
      </c>
      <c r="R499" s="4">
        <v>162</v>
      </c>
      <c r="S499" s="4" t="str" cm="1">
        <f t="array" ref="S499">_xlfn.IFS($R499&lt;=50,"Good",$R499&lt;=100,"Moderate",$R499&lt;=200,"Poor",$R499&lt;=300,"Very Poor",$R499&lt;=500,"Hazardous")</f>
        <v>Poor</v>
      </c>
      <c r="T499" t="s">
        <v>28</v>
      </c>
      <c r="X499" s="2"/>
      <c r="Y499" s="2"/>
    </row>
    <row r="500" spans="1:25" x14ac:dyDescent="0.3">
      <c r="A500" s="2">
        <v>45391</v>
      </c>
      <c r="B500" t="s">
        <v>23</v>
      </c>
      <c r="C500" s="4">
        <v>34.6</v>
      </c>
      <c r="D500" s="4">
        <v>153.19999999999999</v>
      </c>
      <c r="E500" s="4">
        <v>44.3</v>
      </c>
      <c r="F500" s="4">
        <v>0.5</v>
      </c>
      <c r="G500" s="4">
        <v>50.5</v>
      </c>
      <c r="H500" s="4">
        <v>0.85</v>
      </c>
      <c r="I500" s="4">
        <v>34.200000000000003</v>
      </c>
      <c r="J500" s="4">
        <v>50</v>
      </c>
      <c r="K500" s="4">
        <v>2.97</v>
      </c>
      <c r="L500" s="4">
        <v>57.666666666666671</v>
      </c>
      <c r="M500" s="4">
        <v>153.19999999999999</v>
      </c>
      <c r="N500" s="4">
        <v>55.374999999999993</v>
      </c>
      <c r="O500" s="4">
        <v>1.25</v>
      </c>
      <c r="P500" s="4">
        <v>126.25</v>
      </c>
      <c r="Q500" s="4">
        <v>42.499999999999993</v>
      </c>
      <c r="R500" s="4">
        <v>153</v>
      </c>
      <c r="S500" s="4" t="str" cm="1">
        <f t="array" ref="S500">_xlfn.IFS($R500&lt;=50,"Good",$R500&lt;=100,"Moderate",$R500&lt;=200,"Poor",$R500&lt;=300,"Very Poor",$R500&lt;=500,"Hazardous")</f>
        <v>Poor</v>
      </c>
      <c r="T500" t="s">
        <v>28</v>
      </c>
      <c r="X500" s="2"/>
      <c r="Y500" s="2"/>
    </row>
    <row r="501" spans="1:25" x14ac:dyDescent="0.3">
      <c r="A501" s="2">
        <v>45391</v>
      </c>
      <c r="B501" t="s">
        <v>24</v>
      </c>
      <c r="C501" s="4">
        <v>34.4</v>
      </c>
      <c r="D501" s="4">
        <v>93.1</v>
      </c>
      <c r="E501" s="4">
        <v>39.4</v>
      </c>
      <c r="F501" s="4">
        <v>13.51</v>
      </c>
      <c r="G501" s="4">
        <v>90.1</v>
      </c>
      <c r="H501" s="4">
        <v>0.79</v>
      </c>
      <c r="I501" s="4">
        <v>35.5</v>
      </c>
      <c r="J501" s="4">
        <v>10.9</v>
      </c>
      <c r="K501" s="4">
        <v>1.57</v>
      </c>
      <c r="L501" s="4">
        <v>57.333333333333343</v>
      </c>
      <c r="M501" s="4">
        <v>93.1</v>
      </c>
      <c r="N501" s="4">
        <v>49.249999999999993</v>
      </c>
      <c r="O501" s="4">
        <v>33.774999999999999</v>
      </c>
      <c r="P501" s="4">
        <v>225.25</v>
      </c>
      <c r="Q501" s="4">
        <v>39.5</v>
      </c>
      <c r="R501" s="4">
        <v>225</v>
      </c>
      <c r="S501" s="4" t="str" cm="1">
        <f t="array" ref="S501">_xlfn.IFS($R501&lt;=50,"Good",$R501&lt;=100,"Moderate",$R501&lt;=200,"Poor",$R501&lt;=300,"Very Poor",$R501&lt;=500,"Hazardous")</f>
        <v>Very Poor</v>
      </c>
      <c r="T501" t="s">
        <v>27</v>
      </c>
      <c r="X501" s="2"/>
      <c r="Y501" s="2"/>
    </row>
    <row r="502" spans="1:25" x14ac:dyDescent="0.3">
      <c r="A502" s="2">
        <v>45392</v>
      </c>
      <c r="B502" t="s">
        <v>20</v>
      </c>
      <c r="C502" s="4">
        <v>35.9</v>
      </c>
      <c r="D502" s="4">
        <v>44.7</v>
      </c>
      <c r="E502" s="4">
        <v>15.3</v>
      </c>
      <c r="F502" s="4">
        <v>11.57</v>
      </c>
      <c r="G502" s="4">
        <v>39.799999999999997</v>
      </c>
      <c r="H502" s="4">
        <v>1.64</v>
      </c>
      <c r="I502" s="4">
        <v>32.799999999999997</v>
      </c>
      <c r="J502" s="4">
        <v>54.8</v>
      </c>
      <c r="K502" s="4">
        <v>3.29</v>
      </c>
      <c r="L502" s="4">
        <v>59.833333333333329</v>
      </c>
      <c r="M502" s="4">
        <v>44.7</v>
      </c>
      <c r="N502" s="4">
        <v>19.125</v>
      </c>
      <c r="O502" s="4">
        <v>28.925000000000001</v>
      </c>
      <c r="P502" s="4">
        <v>99.499999999999986</v>
      </c>
      <c r="Q502" s="4">
        <v>81.999999999999986</v>
      </c>
      <c r="R502" s="4">
        <v>99</v>
      </c>
      <c r="S502" s="4" t="str" cm="1">
        <f t="array" ref="S502">_xlfn.IFS($R502&lt;=50,"Good",$R502&lt;=100,"Moderate",$R502&lt;=200,"Poor",$R502&lt;=300,"Very Poor",$R502&lt;=500,"Hazardous")</f>
        <v>Moderate</v>
      </c>
      <c r="T502" t="s">
        <v>27</v>
      </c>
      <c r="X502" s="2"/>
      <c r="Y502" s="2"/>
    </row>
    <row r="503" spans="1:25" x14ac:dyDescent="0.3">
      <c r="A503" s="2">
        <v>45392</v>
      </c>
      <c r="B503" t="s">
        <v>21</v>
      </c>
      <c r="C503" s="4">
        <v>72.400000000000006</v>
      </c>
      <c r="D503" s="4">
        <v>61</v>
      </c>
      <c r="E503" s="4">
        <v>82.7</v>
      </c>
      <c r="F503" s="4">
        <v>6.32</v>
      </c>
      <c r="G503" s="4">
        <v>20.8</v>
      </c>
      <c r="H503" s="4">
        <v>1.37</v>
      </c>
      <c r="I503" s="4">
        <v>21.6</v>
      </c>
      <c r="J503" s="4">
        <v>42.5</v>
      </c>
      <c r="K503" s="4">
        <v>2.91</v>
      </c>
      <c r="L503" s="4">
        <v>120.6666666666667</v>
      </c>
      <c r="M503" s="4">
        <v>61</v>
      </c>
      <c r="N503" s="4">
        <v>103.375</v>
      </c>
      <c r="O503" s="4">
        <v>15.8</v>
      </c>
      <c r="P503" s="4">
        <v>52.000000000000007</v>
      </c>
      <c r="Q503" s="4">
        <v>68.5</v>
      </c>
      <c r="R503" s="4">
        <v>121</v>
      </c>
      <c r="S503" s="4" t="str" cm="1">
        <f t="array" ref="S503">_xlfn.IFS($R503&lt;=50,"Good",$R503&lt;=100,"Moderate",$R503&lt;=200,"Poor",$R503&lt;=300,"Very Poor",$R503&lt;=500,"Hazardous")</f>
        <v>Poor</v>
      </c>
      <c r="T503" t="s">
        <v>25</v>
      </c>
      <c r="X503" s="2"/>
      <c r="Y503" s="2"/>
    </row>
    <row r="504" spans="1:25" x14ac:dyDescent="0.3">
      <c r="A504" s="2">
        <v>45392</v>
      </c>
      <c r="B504" t="s">
        <v>22</v>
      </c>
      <c r="C504" s="4">
        <v>66.900000000000006</v>
      </c>
      <c r="D504" s="4">
        <v>62.8</v>
      </c>
      <c r="E504" s="4">
        <v>33.5</v>
      </c>
      <c r="F504" s="4">
        <v>12.7</v>
      </c>
      <c r="G504" s="4">
        <v>49.8</v>
      </c>
      <c r="H504" s="4">
        <v>2.3199999999999998</v>
      </c>
      <c r="I504" s="4">
        <v>36.299999999999997</v>
      </c>
      <c r="J504" s="4">
        <v>70.599999999999994</v>
      </c>
      <c r="K504" s="4">
        <v>0.83</v>
      </c>
      <c r="L504" s="4">
        <v>111.5</v>
      </c>
      <c r="M504" s="4">
        <v>62.8</v>
      </c>
      <c r="N504" s="4">
        <v>41.875</v>
      </c>
      <c r="O504" s="4">
        <v>31.75</v>
      </c>
      <c r="P504" s="4">
        <v>124.5</v>
      </c>
      <c r="Q504" s="4">
        <v>116</v>
      </c>
      <c r="R504" s="4">
        <v>124</v>
      </c>
      <c r="S504" s="4" t="str" cm="1">
        <f t="array" ref="S504">_xlfn.IFS($R504&lt;=50,"Good",$R504&lt;=100,"Moderate",$R504&lt;=200,"Poor",$R504&lt;=300,"Very Poor",$R504&lt;=500,"Hazardous")</f>
        <v>Poor</v>
      </c>
      <c r="T504" t="s">
        <v>27</v>
      </c>
      <c r="X504" s="2"/>
      <c r="Y504" s="2"/>
    </row>
    <row r="505" spans="1:25" x14ac:dyDescent="0.3">
      <c r="A505" s="2">
        <v>45392</v>
      </c>
      <c r="B505" t="s">
        <v>23</v>
      </c>
      <c r="C505" s="4">
        <v>82.9</v>
      </c>
      <c r="D505" s="4">
        <v>116.8</v>
      </c>
      <c r="E505" s="4">
        <v>34</v>
      </c>
      <c r="F505" s="4">
        <v>8.84</v>
      </c>
      <c r="G505" s="4">
        <v>63.6</v>
      </c>
      <c r="H505" s="4">
        <v>1.5</v>
      </c>
      <c r="I505" s="4">
        <v>21.9</v>
      </c>
      <c r="J505" s="4">
        <v>63.4</v>
      </c>
      <c r="K505" s="4">
        <v>1.73</v>
      </c>
      <c r="L505" s="4">
        <v>138.16666666666671</v>
      </c>
      <c r="M505" s="4">
        <v>116.8</v>
      </c>
      <c r="N505" s="4">
        <v>42.5</v>
      </c>
      <c r="O505" s="4">
        <v>22.1</v>
      </c>
      <c r="P505" s="4">
        <v>159</v>
      </c>
      <c r="Q505" s="4">
        <v>75</v>
      </c>
      <c r="R505" s="4">
        <v>159</v>
      </c>
      <c r="S505" s="4" t="str" cm="1">
        <f t="array" ref="S505">_xlfn.IFS($R505&lt;=50,"Good",$R505&lt;=100,"Moderate",$R505&lt;=200,"Poor",$R505&lt;=300,"Very Poor",$R505&lt;=500,"Hazardous")</f>
        <v>Poor</v>
      </c>
      <c r="T505" t="s">
        <v>27</v>
      </c>
      <c r="X505" s="2"/>
      <c r="Y505" s="2"/>
    </row>
    <row r="506" spans="1:25" x14ac:dyDescent="0.3">
      <c r="A506" s="2">
        <v>45392</v>
      </c>
      <c r="B506" t="s">
        <v>24</v>
      </c>
      <c r="C506" s="4">
        <v>73.2</v>
      </c>
      <c r="D506" s="4">
        <v>112</v>
      </c>
      <c r="E506" s="4">
        <v>44.7</v>
      </c>
      <c r="F506" s="4">
        <v>13.01</v>
      </c>
      <c r="G506" s="4">
        <v>15.4</v>
      </c>
      <c r="H506" s="4">
        <v>2.6</v>
      </c>
      <c r="I506" s="4">
        <v>15.3</v>
      </c>
      <c r="J506" s="4">
        <v>39.200000000000003</v>
      </c>
      <c r="K506" s="4">
        <v>3.44</v>
      </c>
      <c r="L506" s="4">
        <v>122</v>
      </c>
      <c r="M506" s="4">
        <v>112</v>
      </c>
      <c r="N506" s="4">
        <v>55.875</v>
      </c>
      <c r="O506" s="4">
        <v>32.524999999999999</v>
      </c>
      <c r="P506" s="4">
        <v>38.5</v>
      </c>
      <c r="Q506" s="4">
        <v>130</v>
      </c>
      <c r="R506" s="4">
        <v>130</v>
      </c>
      <c r="S506" s="4" t="str" cm="1">
        <f t="array" ref="S506">_xlfn.IFS($R506&lt;=50,"Good",$R506&lt;=100,"Moderate",$R506&lt;=200,"Poor",$R506&lt;=300,"Very Poor",$R506&lt;=500,"Hazardous")</f>
        <v>Poor</v>
      </c>
      <c r="T506" t="s">
        <v>29</v>
      </c>
      <c r="X506" s="2"/>
      <c r="Y506" s="2"/>
    </row>
    <row r="507" spans="1:25" x14ac:dyDescent="0.3">
      <c r="A507" s="2">
        <v>45393</v>
      </c>
      <c r="B507" t="s">
        <v>20</v>
      </c>
      <c r="C507" s="4">
        <v>89.2</v>
      </c>
      <c r="D507" s="4">
        <v>131.1</v>
      </c>
      <c r="E507" s="4">
        <v>50.4</v>
      </c>
      <c r="F507" s="4">
        <v>11.56</v>
      </c>
      <c r="G507" s="4">
        <v>39.4</v>
      </c>
      <c r="H507" s="4">
        <v>2.34</v>
      </c>
      <c r="I507" s="4">
        <v>33.9</v>
      </c>
      <c r="J507" s="4">
        <v>65.7</v>
      </c>
      <c r="K507" s="4">
        <v>1.34</v>
      </c>
      <c r="L507" s="4">
        <v>148.66666666666671</v>
      </c>
      <c r="M507" s="4">
        <v>131.1</v>
      </c>
      <c r="N507" s="4">
        <v>63</v>
      </c>
      <c r="O507" s="4">
        <v>28.9</v>
      </c>
      <c r="P507" s="4">
        <v>98.499999999999986</v>
      </c>
      <c r="Q507" s="4">
        <v>117</v>
      </c>
      <c r="R507" s="4">
        <v>149</v>
      </c>
      <c r="S507" s="4" t="str" cm="1">
        <f t="array" ref="S507">_xlfn.IFS($R507&lt;=50,"Good",$R507&lt;=100,"Moderate",$R507&lt;=200,"Poor",$R507&lt;=300,"Very Poor",$R507&lt;=500,"Hazardous")</f>
        <v>Poor</v>
      </c>
      <c r="T507" t="s">
        <v>25</v>
      </c>
      <c r="X507" s="2"/>
      <c r="Y507" s="2"/>
    </row>
    <row r="508" spans="1:25" x14ac:dyDescent="0.3">
      <c r="A508" s="2">
        <v>45393</v>
      </c>
      <c r="B508" t="s">
        <v>21</v>
      </c>
      <c r="C508" s="4">
        <v>72</v>
      </c>
      <c r="D508" s="4">
        <v>127.5</v>
      </c>
      <c r="E508" s="4">
        <v>31.1</v>
      </c>
      <c r="F508" s="4">
        <v>12.25</v>
      </c>
      <c r="G508" s="4">
        <v>33.200000000000003</v>
      </c>
      <c r="H508" s="4">
        <v>1.99</v>
      </c>
      <c r="I508" s="4">
        <v>20.5</v>
      </c>
      <c r="J508" s="4">
        <v>80.900000000000006</v>
      </c>
      <c r="K508" s="4">
        <v>1.42</v>
      </c>
      <c r="L508" s="4">
        <v>120</v>
      </c>
      <c r="M508" s="4">
        <v>127.5</v>
      </c>
      <c r="N508" s="4">
        <v>38.875</v>
      </c>
      <c r="O508" s="4">
        <v>30.625</v>
      </c>
      <c r="P508" s="4">
        <v>83</v>
      </c>
      <c r="Q508" s="4">
        <v>99.5</v>
      </c>
      <c r="R508" s="4">
        <v>128</v>
      </c>
      <c r="S508" s="4" t="str" cm="1">
        <f t="array" ref="S508">_xlfn.IFS($R508&lt;=50,"Good",$R508&lt;=100,"Moderate",$R508&lt;=200,"Poor",$R508&lt;=300,"Very Poor",$R508&lt;=500,"Hazardous")</f>
        <v>Poor</v>
      </c>
      <c r="T508" t="s">
        <v>28</v>
      </c>
      <c r="X508" s="2"/>
      <c r="Y508" s="2"/>
    </row>
    <row r="509" spans="1:25" x14ac:dyDescent="0.3">
      <c r="A509" s="2">
        <v>45393</v>
      </c>
      <c r="B509" t="s">
        <v>22</v>
      </c>
      <c r="C509" s="4">
        <v>63.3</v>
      </c>
      <c r="D509" s="4">
        <v>159.1</v>
      </c>
      <c r="E509" s="4">
        <v>31.9</v>
      </c>
      <c r="F509" s="4">
        <v>11.65</v>
      </c>
      <c r="G509" s="4">
        <v>8.8000000000000007</v>
      </c>
      <c r="H509" s="4">
        <v>1.97</v>
      </c>
      <c r="I509" s="4">
        <v>28.1</v>
      </c>
      <c r="J509" s="4">
        <v>39.299999999999997</v>
      </c>
      <c r="K509" s="4">
        <v>2.14</v>
      </c>
      <c r="L509" s="4">
        <v>105.5</v>
      </c>
      <c r="M509" s="4">
        <v>159.1</v>
      </c>
      <c r="N509" s="4">
        <v>39.875</v>
      </c>
      <c r="O509" s="4">
        <v>29.125</v>
      </c>
      <c r="P509" s="4">
        <v>22</v>
      </c>
      <c r="Q509" s="4">
        <v>98.5</v>
      </c>
      <c r="R509" s="4">
        <v>159</v>
      </c>
      <c r="S509" s="4" t="str" cm="1">
        <f t="array" ref="S509">_xlfn.IFS($R509&lt;=50,"Good",$R509&lt;=100,"Moderate",$R509&lt;=200,"Poor",$R509&lt;=300,"Very Poor",$R509&lt;=500,"Hazardous")</f>
        <v>Poor</v>
      </c>
      <c r="T509" t="s">
        <v>28</v>
      </c>
      <c r="X509" s="2"/>
      <c r="Y509" s="2"/>
    </row>
    <row r="510" spans="1:25" x14ac:dyDescent="0.3">
      <c r="A510" s="2">
        <v>45393</v>
      </c>
      <c r="B510" t="s">
        <v>23</v>
      </c>
      <c r="C510" s="4">
        <v>84.3</v>
      </c>
      <c r="D510" s="4">
        <v>84.9</v>
      </c>
      <c r="E510" s="4">
        <v>30</v>
      </c>
      <c r="F510" s="4">
        <v>6.89</v>
      </c>
      <c r="G510" s="4">
        <v>10.6</v>
      </c>
      <c r="H510" s="4">
        <v>2.29</v>
      </c>
      <c r="I510" s="4">
        <v>24</v>
      </c>
      <c r="J510" s="4">
        <v>65</v>
      </c>
      <c r="K510" s="4">
        <v>2.75</v>
      </c>
      <c r="L510" s="4">
        <v>140.5</v>
      </c>
      <c r="M510" s="4">
        <v>84.9</v>
      </c>
      <c r="N510" s="4">
        <v>37.5</v>
      </c>
      <c r="O510" s="4">
        <v>17.225000000000001</v>
      </c>
      <c r="P510" s="4">
        <v>26.5</v>
      </c>
      <c r="Q510" s="4">
        <v>114.5</v>
      </c>
      <c r="R510" s="4">
        <v>140</v>
      </c>
      <c r="S510" s="4" t="str" cm="1">
        <f t="array" ref="S510">_xlfn.IFS($R510&lt;=50,"Good",$R510&lt;=100,"Moderate",$R510&lt;=200,"Poor",$R510&lt;=300,"Very Poor",$R510&lt;=500,"Hazardous")</f>
        <v>Poor</v>
      </c>
      <c r="T510" t="s">
        <v>25</v>
      </c>
      <c r="X510" s="2"/>
      <c r="Y510" s="2"/>
    </row>
    <row r="511" spans="1:25" x14ac:dyDescent="0.3">
      <c r="A511" s="2">
        <v>45393</v>
      </c>
      <c r="B511" t="s">
        <v>24</v>
      </c>
      <c r="C511" s="4">
        <v>33.5</v>
      </c>
      <c r="D511" s="4">
        <v>131.6</v>
      </c>
      <c r="E511" s="4">
        <v>66.7</v>
      </c>
      <c r="F511" s="4">
        <v>7.76</v>
      </c>
      <c r="G511" s="4">
        <v>76.8</v>
      </c>
      <c r="H511" s="4">
        <v>1.99</v>
      </c>
      <c r="I511" s="4">
        <v>34.4</v>
      </c>
      <c r="J511" s="4">
        <v>41.7</v>
      </c>
      <c r="K511" s="4">
        <v>1.7</v>
      </c>
      <c r="L511" s="4">
        <v>55.833333333333329</v>
      </c>
      <c r="M511" s="4">
        <v>131.6</v>
      </c>
      <c r="N511" s="4">
        <v>83.375</v>
      </c>
      <c r="O511" s="4">
        <v>19.399999999999999</v>
      </c>
      <c r="P511" s="4">
        <v>192</v>
      </c>
      <c r="Q511" s="4">
        <v>99.5</v>
      </c>
      <c r="R511" s="4">
        <v>192</v>
      </c>
      <c r="S511" s="4" t="str" cm="1">
        <f t="array" ref="S511">_xlfn.IFS($R511&lt;=50,"Good",$R511&lt;=100,"Moderate",$R511&lt;=200,"Poor",$R511&lt;=300,"Very Poor",$R511&lt;=500,"Hazardous")</f>
        <v>Poor</v>
      </c>
      <c r="T511" t="s">
        <v>27</v>
      </c>
      <c r="X511" s="2"/>
      <c r="Y511" s="2"/>
    </row>
    <row r="512" spans="1:25" x14ac:dyDescent="0.3">
      <c r="A512" s="2">
        <v>45394</v>
      </c>
      <c r="B512" t="s">
        <v>20</v>
      </c>
      <c r="C512" s="4">
        <v>47.8</v>
      </c>
      <c r="D512" s="4">
        <v>151.5</v>
      </c>
      <c r="E512" s="4">
        <v>64.3</v>
      </c>
      <c r="F512" s="4">
        <v>0.5</v>
      </c>
      <c r="G512" s="4">
        <v>45.8</v>
      </c>
      <c r="H512" s="4">
        <v>1.49</v>
      </c>
      <c r="I512" s="4">
        <v>26.1</v>
      </c>
      <c r="J512" s="4">
        <v>73.2</v>
      </c>
      <c r="K512" s="4">
        <v>3.01</v>
      </c>
      <c r="L512" s="4">
        <v>79.666666666666657</v>
      </c>
      <c r="M512" s="4">
        <v>151.5</v>
      </c>
      <c r="N512" s="4">
        <v>80.375</v>
      </c>
      <c r="O512" s="4">
        <v>1.25</v>
      </c>
      <c r="P512" s="4">
        <v>114.5</v>
      </c>
      <c r="Q512" s="4">
        <v>74.5</v>
      </c>
      <c r="R512" s="4">
        <v>152</v>
      </c>
      <c r="S512" s="4" t="str" cm="1">
        <f t="array" ref="S512">_xlfn.IFS($R512&lt;=50,"Good",$R512&lt;=100,"Moderate",$R512&lt;=200,"Poor",$R512&lt;=300,"Very Poor",$R512&lt;=500,"Hazardous")</f>
        <v>Poor</v>
      </c>
      <c r="T512" t="s">
        <v>28</v>
      </c>
      <c r="X512" s="2"/>
      <c r="Y512" s="2"/>
    </row>
    <row r="513" spans="1:25" x14ac:dyDescent="0.3">
      <c r="A513" s="2">
        <v>45394</v>
      </c>
      <c r="B513" t="s">
        <v>21</v>
      </c>
      <c r="C513" s="4">
        <v>124.1</v>
      </c>
      <c r="D513" s="4">
        <v>133.80000000000001</v>
      </c>
      <c r="E513" s="4">
        <v>79.7</v>
      </c>
      <c r="F513" s="4">
        <v>20.22</v>
      </c>
      <c r="G513" s="4">
        <v>91</v>
      </c>
      <c r="H513" s="4">
        <v>0.68</v>
      </c>
      <c r="I513" s="4">
        <v>26.2</v>
      </c>
      <c r="J513" s="4">
        <v>43.8</v>
      </c>
      <c r="K513" s="4">
        <v>3.09</v>
      </c>
      <c r="L513" s="4">
        <v>206.83333333333329</v>
      </c>
      <c r="M513" s="4">
        <v>133.80000000000001</v>
      </c>
      <c r="N513" s="4">
        <v>99.625</v>
      </c>
      <c r="O513" s="4">
        <v>50.55</v>
      </c>
      <c r="P513" s="4">
        <v>227.5</v>
      </c>
      <c r="Q513" s="4">
        <v>34</v>
      </c>
      <c r="R513" s="4">
        <v>228</v>
      </c>
      <c r="S513" s="4" t="str" cm="1">
        <f t="array" ref="S513">_xlfn.IFS($R513&lt;=50,"Good",$R513&lt;=100,"Moderate",$R513&lt;=200,"Poor",$R513&lt;=300,"Very Poor",$R513&lt;=500,"Hazardous")</f>
        <v>Very Poor</v>
      </c>
      <c r="T513" t="s">
        <v>27</v>
      </c>
      <c r="X513" s="2"/>
      <c r="Y513" s="2"/>
    </row>
    <row r="514" spans="1:25" x14ac:dyDescent="0.3">
      <c r="A514" s="2">
        <v>45394</v>
      </c>
      <c r="B514" t="s">
        <v>22</v>
      </c>
      <c r="C514" s="4">
        <v>76.599999999999994</v>
      </c>
      <c r="D514" s="4">
        <v>66.2</v>
      </c>
      <c r="E514" s="4">
        <v>44</v>
      </c>
      <c r="F514" s="4">
        <v>0.5</v>
      </c>
      <c r="G514" s="4">
        <v>72.2</v>
      </c>
      <c r="H514" s="4">
        <v>0.85</v>
      </c>
      <c r="I514" s="4">
        <v>28.4</v>
      </c>
      <c r="J514" s="4">
        <v>44.4</v>
      </c>
      <c r="K514" s="4">
        <v>3.88</v>
      </c>
      <c r="L514" s="4">
        <v>127.6666666666667</v>
      </c>
      <c r="M514" s="4">
        <v>66.2</v>
      </c>
      <c r="N514" s="4">
        <v>55</v>
      </c>
      <c r="O514" s="4">
        <v>1.25</v>
      </c>
      <c r="P514" s="4">
        <v>180.5</v>
      </c>
      <c r="Q514" s="4">
        <v>42.499999999999993</v>
      </c>
      <c r="R514" s="4">
        <v>180</v>
      </c>
      <c r="S514" s="4" t="str" cm="1">
        <f t="array" ref="S514">_xlfn.IFS($R514&lt;=50,"Good",$R514&lt;=100,"Moderate",$R514&lt;=200,"Poor",$R514&lt;=300,"Very Poor",$R514&lt;=500,"Hazardous")</f>
        <v>Poor</v>
      </c>
      <c r="T514" t="s">
        <v>27</v>
      </c>
      <c r="X514" s="2"/>
      <c r="Y514" s="2"/>
    </row>
    <row r="515" spans="1:25" x14ac:dyDescent="0.3">
      <c r="A515" s="2">
        <v>45394</v>
      </c>
      <c r="B515" t="s">
        <v>23</v>
      </c>
      <c r="C515" s="4">
        <v>2</v>
      </c>
      <c r="D515" s="4">
        <v>119</v>
      </c>
      <c r="E515" s="4">
        <v>42.9</v>
      </c>
      <c r="F515" s="4">
        <v>5.73</v>
      </c>
      <c r="G515" s="4">
        <v>83.2</v>
      </c>
      <c r="H515" s="4">
        <v>0.67</v>
      </c>
      <c r="I515" s="4">
        <v>33.4</v>
      </c>
      <c r="J515" s="4">
        <v>56.4</v>
      </c>
      <c r="K515" s="4">
        <v>4.01</v>
      </c>
      <c r="L515" s="4">
        <v>3.333333333333333</v>
      </c>
      <c r="M515" s="4">
        <v>119</v>
      </c>
      <c r="N515" s="4">
        <v>53.625</v>
      </c>
      <c r="O515" s="4">
        <v>14.324999999999999</v>
      </c>
      <c r="P515" s="4">
        <v>208</v>
      </c>
      <c r="Q515" s="4">
        <v>33.5</v>
      </c>
      <c r="R515" s="4">
        <v>208</v>
      </c>
      <c r="S515" s="4" t="str" cm="1">
        <f t="array" ref="S515">_xlfn.IFS($R515&lt;=50,"Good",$R515&lt;=100,"Moderate",$R515&lt;=200,"Poor",$R515&lt;=300,"Very Poor",$R515&lt;=500,"Hazardous")</f>
        <v>Very Poor</v>
      </c>
      <c r="T515" t="s">
        <v>27</v>
      </c>
      <c r="X515" s="2"/>
      <c r="Y515" s="2"/>
    </row>
    <row r="516" spans="1:25" x14ac:dyDescent="0.3">
      <c r="A516" s="2">
        <v>45394</v>
      </c>
      <c r="B516" t="s">
        <v>24</v>
      </c>
      <c r="C516" s="4">
        <v>44</v>
      </c>
      <c r="D516" s="4">
        <v>83.6</v>
      </c>
      <c r="E516" s="4">
        <v>73.599999999999994</v>
      </c>
      <c r="F516" s="4">
        <v>11.14</v>
      </c>
      <c r="G516" s="4">
        <v>1.5</v>
      </c>
      <c r="H516" s="4">
        <v>0.96</v>
      </c>
      <c r="I516" s="4">
        <v>30.7</v>
      </c>
      <c r="J516" s="4">
        <v>65.099999999999994</v>
      </c>
      <c r="K516" s="4">
        <v>2.1800000000000002</v>
      </c>
      <c r="L516" s="4">
        <v>73.333333333333329</v>
      </c>
      <c r="M516" s="4">
        <v>83.6</v>
      </c>
      <c r="N516" s="4">
        <v>92</v>
      </c>
      <c r="O516" s="4">
        <v>27.85</v>
      </c>
      <c r="P516" s="4">
        <v>3.75</v>
      </c>
      <c r="Q516" s="4">
        <v>48</v>
      </c>
      <c r="R516" s="4">
        <v>92</v>
      </c>
      <c r="S516" s="4" t="str" cm="1">
        <f t="array" ref="S516">_xlfn.IFS($R516&lt;=50,"Good",$R516&lt;=100,"Moderate",$R516&lt;=200,"Poor",$R516&lt;=300,"Very Poor",$R516&lt;=500,"Hazardous")</f>
        <v>Moderate</v>
      </c>
      <c r="T516" t="s">
        <v>26</v>
      </c>
      <c r="X516" s="2"/>
      <c r="Y516" s="2"/>
    </row>
    <row r="517" spans="1:25" x14ac:dyDescent="0.3">
      <c r="A517" s="2">
        <v>45395</v>
      </c>
      <c r="B517" t="s">
        <v>20</v>
      </c>
      <c r="C517" s="4">
        <v>2</v>
      </c>
      <c r="D517" s="4">
        <v>174.1</v>
      </c>
      <c r="E517" s="4">
        <v>23.7</v>
      </c>
      <c r="F517" s="4">
        <v>0.5</v>
      </c>
      <c r="G517" s="4">
        <v>1</v>
      </c>
      <c r="H517" s="4">
        <v>1.94</v>
      </c>
      <c r="I517" s="4">
        <v>28.9</v>
      </c>
      <c r="J517" s="4">
        <v>45.9</v>
      </c>
      <c r="K517" s="4">
        <v>4.17</v>
      </c>
      <c r="L517" s="4">
        <v>3.333333333333333</v>
      </c>
      <c r="M517" s="4">
        <v>174.1</v>
      </c>
      <c r="N517" s="4">
        <v>29.625</v>
      </c>
      <c r="O517" s="4">
        <v>1.25</v>
      </c>
      <c r="P517" s="4">
        <v>2.5</v>
      </c>
      <c r="Q517" s="4">
        <v>97</v>
      </c>
      <c r="R517" s="4">
        <v>174</v>
      </c>
      <c r="S517" s="4" t="str" cm="1">
        <f t="array" ref="S517">_xlfn.IFS($R517&lt;=50,"Good",$R517&lt;=100,"Moderate",$R517&lt;=200,"Poor",$R517&lt;=300,"Very Poor",$R517&lt;=500,"Hazardous")</f>
        <v>Poor</v>
      </c>
      <c r="T517" t="s">
        <v>28</v>
      </c>
      <c r="X517" s="2"/>
      <c r="Y517" s="2"/>
    </row>
    <row r="518" spans="1:25" x14ac:dyDescent="0.3">
      <c r="A518" s="2">
        <v>45395</v>
      </c>
      <c r="B518" t="s">
        <v>21</v>
      </c>
      <c r="C518" s="4">
        <v>98.9</v>
      </c>
      <c r="D518" s="4">
        <v>271.2</v>
      </c>
      <c r="E518" s="4">
        <v>21.4</v>
      </c>
      <c r="F518" s="4">
        <v>9.7799999999999994</v>
      </c>
      <c r="G518" s="4">
        <v>1</v>
      </c>
      <c r="H518" s="4">
        <v>1.33</v>
      </c>
      <c r="I518" s="4">
        <v>26.3</v>
      </c>
      <c r="J518" s="4">
        <v>61.3</v>
      </c>
      <c r="K518" s="4">
        <v>2.5499999999999998</v>
      </c>
      <c r="L518" s="4">
        <v>164.83333333333329</v>
      </c>
      <c r="M518" s="4">
        <v>271.2</v>
      </c>
      <c r="N518" s="4">
        <v>26.75</v>
      </c>
      <c r="O518" s="4">
        <v>24.45</v>
      </c>
      <c r="P518" s="4">
        <v>2.5</v>
      </c>
      <c r="Q518" s="4">
        <v>66.5</v>
      </c>
      <c r="R518" s="4">
        <v>271</v>
      </c>
      <c r="S518" s="4" t="str" cm="1">
        <f t="array" ref="S518">_xlfn.IFS($R518&lt;=50,"Good",$R518&lt;=100,"Moderate",$R518&lt;=200,"Poor",$R518&lt;=300,"Very Poor",$R518&lt;=500,"Hazardous")</f>
        <v>Very Poor</v>
      </c>
      <c r="T518" t="s">
        <v>28</v>
      </c>
      <c r="X518" s="2"/>
      <c r="Y518" s="2"/>
    </row>
    <row r="519" spans="1:25" x14ac:dyDescent="0.3">
      <c r="A519" s="2">
        <v>45395</v>
      </c>
      <c r="B519" t="s">
        <v>22</v>
      </c>
      <c r="C519" s="4">
        <v>74.8</v>
      </c>
      <c r="D519" s="4">
        <v>154.1</v>
      </c>
      <c r="E519" s="4">
        <v>83.7</v>
      </c>
      <c r="F519" s="4">
        <v>6.1</v>
      </c>
      <c r="G519" s="4">
        <v>15.7</v>
      </c>
      <c r="H519" s="4">
        <v>1.28</v>
      </c>
      <c r="I519" s="4">
        <v>22.4</v>
      </c>
      <c r="J519" s="4">
        <v>76.7</v>
      </c>
      <c r="K519" s="4">
        <v>2.16</v>
      </c>
      <c r="L519" s="4">
        <v>124.6666666666667</v>
      </c>
      <c r="M519" s="4">
        <v>154.1</v>
      </c>
      <c r="N519" s="4">
        <v>104.625</v>
      </c>
      <c r="O519" s="4">
        <v>15.25</v>
      </c>
      <c r="P519" s="4">
        <v>39.25</v>
      </c>
      <c r="Q519" s="4">
        <v>64</v>
      </c>
      <c r="R519" s="4">
        <v>154</v>
      </c>
      <c r="S519" s="4" t="str" cm="1">
        <f t="array" ref="S519">_xlfn.IFS($R519&lt;=50,"Good",$R519&lt;=100,"Moderate",$R519&lt;=200,"Poor",$R519&lt;=300,"Very Poor",$R519&lt;=500,"Hazardous")</f>
        <v>Poor</v>
      </c>
      <c r="T519" t="s">
        <v>28</v>
      </c>
      <c r="X519" s="2"/>
      <c r="Y519" s="2"/>
    </row>
    <row r="520" spans="1:25" x14ac:dyDescent="0.3">
      <c r="A520" s="2">
        <v>45395</v>
      </c>
      <c r="B520" t="s">
        <v>23</v>
      </c>
      <c r="C520" s="4">
        <v>43</v>
      </c>
      <c r="D520" s="4">
        <v>91.7</v>
      </c>
      <c r="E520" s="4">
        <v>59.4</v>
      </c>
      <c r="F520" s="4">
        <v>7.21</v>
      </c>
      <c r="G520" s="4">
        <v>24</v>
      </c>
      <c r="H520" s="4">
        <v>2.2000000000000002</v>
      </c>
      <c r="I520" s="4">
        <v>22</v>
      </c>
      <c r="J520" s="4">
        <v>50.6</v>
      </c>
      <c r="K520" s="4">
        <v>3.28</v>
      </c>
      <c r="L520" s="4">
        <v>71.666666666666671</v>
      </c>
      <c r="M520" s="4">
        <v>91.7</v>
      </c>
      <c r="N520" s="4">
        <v>74.25</v>
      </c>
      <c r="O520" s="4">
        <v>18.024999999999999</v>
      </c>
      <c r="P520" s="4">
        <v>60</v>
      </c>
      <c r="Q520" s="4">
        <v>110</v>
      </c>
      <c r="R520" s="4">
        <v>110</v>
      </c>
      <c r="S520" s="4" t="str" cm="1">
        <f t="array" ref="S520">_xlfn.IFS($R520&lt;=50,"Good",$R520&lt;=100,"Moderate",$R520&lt;=200,"Poor",$R520&lt;=300,"Very Poor",$R520&lt;=500,"Hazardous")</f>
        <v>Poor</v>
      </c>
      <c r="T520" t="s">
        <v>29</v>
      </c>
      <c r="X520" s="2"/>
      <c r="Y520" s="2"/>
    </row>
    <row r="521" spans="1:25" x14ac:dyDescent="0.3">
      <c r="A521" s="2">
        <v>45395</v>
      </c>
      <c r="B521" t="s">
        <v>24</v>
      </c>
      <c r="C521" s="4">
        <v>12.2</v>
      </c>
      <c r="D521" s="4">
        <v>163.69999999999999</v>
      </c>
      <c r="E521" s="4">
        <v>26.3</v>
      </c>
      <c r="F521" s="4">
        <v>13.33</v>
      </c>
      <c r="G521" s="4">
        <v>17.5</v>
      </c>
      <c r="H521" s="4">
        <v>1.78</v>
      </c>
      <c r="I521" s="4">
        <v>35.700000000000003</v>
      </c>
      <c r="J521" s="4">
        <v>65.5</v>
      </c>
      <c r="K521" s="4">
        <v>3.3</v>
      </c>
      <c r="L521" s="4">
        <v>20.333333333333329</v>
      </c>
      <c r="M521" s="4">
        <v>163.69999999999999</v>
      </c>
      <c r="N521" s="4">
        <v>32.875</v>
      </c>
      <c r="O521" s="4">
        <v>33.325000000000003</v>
      </c>
      <c r="P521" s="4">
        <v>43.75</v>
      </c>
      <c r="Q521" s="4">
        <v>89</v>
      </c>
      <c r="R521" s="4">
        <v>164</v>
      </c>
      <c r="S521" s="4" t="str" cm="1">
        <f t="array" ref="S521">_xlfn.IFS($R521&lt;=50,"Good",$R521&lt;=100,"Moderate",$R521&lt;=200,"Poor",$R521&lt;=300,"Very Poor",$R521&lt;=500,"Hazardous")</f>
        <v>Poor</v>
      </c>
      <c r="T521" t="s">
        <v>28</v>
      </c>
      <c r="X521" s="2"/>
      <c r="Y521" s="2"/>
    </row>
    <row r="522" spans="1:25" x14ac:dyDescent="0.3">
      <c r="A522" s="2">
        <v>45396</v>
      </c>
      <c r="B522" t="s">
        <v>20</v>
      </c>
      <c r="C522" s="4">
        <v>61</v>
      </c>
      <c r="D522" s="4">
        <v>98.2</v>
      </c>
      <c r="E522" s="4">
        <v>85.6</v>
      </c>
      <c r="F522" s="4">
        <v>5.18</v>
      </c>
      <c r="G522" s="4">
        <v>16.2</v>
      </c>
      <c r="H522" s="4">
        <v>1.84</v>
      </c>
      <c r="I522" s="4">
        <v>22.4</v>
      </c>
      <c r="J522" s="4">
        <v>32.9</v>
      </c>
      <c r="K522" s="4">
        <v>0.77</v>
      </c>
      <c r="L522" s="4">
        <v>101.6666666666667</v>
      </c>
      <c r="M522" s="4">
        <v>98.2</v>
      </c>
      <c r="N522" s="4">
        <v>107</v>
      </c>
      <c r="O522" s="4">
        <v>12.95</v>
      </c>
      <c r="P522" s="4">
        <v>40.5</v>
      </c>
      <c r="Q522" s="4">
        <v>92</v>
      </c>
      <c r="R522" s="4">
        <v>107</v>
      </c>
      <c r="S522" s="4" t="str" cm="1">
        <f t="array" ref="S522">_xlfn.IFS($R522&lt;=50,"Good",$R522&lt;=100,"Moderate",$R522&lt;=200,"Poor",$R522&lt;=300,"Very Poor",$R522&lt;=500,"Hazardous")</f>
        <v>Poor</v>
      </c>
      <c r="T522" t="s">
        <v>26</v>
      </c>
      <c r="X522" s="2"/>
      <c r="Y522" s="2"/>
    </row>
    <row r="523" spans="1:25" x14ac:dyDescent="0.3">
      <c r="A523" s="2">
        <v>45396</v>
      </c>
      <c r="B523" t="s">
        <v>21</v>
      </c>
      <c r="C523" s="4">
        <v>56.9</v>
      </c>
      <c r="D523" s="4">
        <v>143.80000000000001</v>
      </c>
      <c r="E523" s="4">
        <v>62.3</v>
      </c>
      <c r="F523" s="4">
        <v>15.95</v>
      </c>
      <c r="G523" s="4">
        <v>66.5</v>
      </c>
      <c r="H523" s="4">
        <v>1.36</v>
      </c>
      <c r="I523" s="4">
        <v>26.6</v>
      </c>
      <c r="J523" s="4">
        <v>59.2</v>
      </c>
      <c r="K523" s="4">
        <v>4.03</v>
      </c>
      <c r="L523" s="4">
        <v>94.833333333333329</v>
      </c>
      <c r="M523" s="4">
        <v>143.80000000000001</v>
      </c>
      <c r="N523" s="4">
        <v>77.875</v>
      </c>
      <c r="O523" s="4">
        <v>39.875</v>
      </c>
      <c r="P523" s="4">
        <v>166.25</v>
      </c>
      <c r="Q523" s="4">
        <v>68</v>
      </c>
      <c r="R523" s="4">
        <v>166</v>
      </c>
      <c r="S523" s="4" t="str" cm="1">
        <f t="array" ref="S523">_xlfn.IFS($R523&lt;=50,"Good",$R523&lt;=100,"Moderate",$R523&lt;=200,"Poor",$R523&lt;=300,"Very Poor",$R523&lt;=500,"Hazardous")</f>
        <v>Poor</v>
      </c>
      <c r="T523" t="s">
        <v>27</v>
      </c>
      <c r="X523" s="2"/>
      <c r="Y523" s="2"/>
    </row>
    <row r="524" spans="1:25" x14ac:dyDescent="0.3">
      <c r="A524" s="2">
        <v>45396</v>
      </c>
      <c r="B524" t="s">
        <v>22</v>
      </c>
      <c r="C524" s="4">
        <v>60.6</v>
      </c>
      <c r="D524" s="4">
        <v>87.3</v>
      </c>
      <c r="E524" s="4">
        <v>23.9</v>
      </c>
      <c r="F524" s="4">
        <v>0.74</v>
      </c>
      <c r="G524" s="4">
        <v>53.8</v>
      </c>
      <c r="H524" s="4">
        <v>1.47</v>
      </c>
      <c r="I524" s="4">
        <v>32</v>
      </c>
      <c r="J524" s="4">
        <v>47.7</v>
      </c>
      <c r="K524" s="4">
        <v>4.1900000000000004</v>
      </c>
      <c r="L524" s="4">
        <v>101</v>
      </c>
      <c r="M524" s="4">
        <v>87.3</v>
      </c>
      <c r="N524" s="4">
        <v>29.875</v>
      </c>
      <c r="O524" s="4">
        <v>1.85</v>
      </c>
      <c r="P524" s="4">
        <v>134.5</v>
      </c>
      <c r="Q524" s="4">
        <v>73.5</v>
      </c>
      <c r="R524" s="4">
        <v>134</v>
      </c>
      <c r="S524" s="4" t="str" cm="1">
        <f t="array" ref="S524">_xlfn.IFS($R524&lt;=50,"Good",$R524&lt;=100,"Moderate",$R524&lt;=200,"Poor",$R524&lt;=300,"Very Poor",$R524&lt;=500,"Hazardous")</f>
        <v>Poor</v>
      </c>
      <c r="T524" t="s">
        <v>27</v>
      </c>
      <c r="X524" s="2"/>
      <c r="Y524" s="2"/>
    </row>
    <row r="525" spans="1:25" x14ac:dyDescent="0.3">
      <c r="A525" s="2">
        <v>45396</v>
      </c>
      <c r="B525" t="s">
        <v>23</v>
      </c>
      <c r="C525" s="4">
        <v>45.5</v>
      </c>
      <c r="D525" s="4">
        <v>177.3</v>
      </c>
      <c r="E525" s="4">
        <v>44.2</v>
      </c>
      <c r="F525" s="4">
        <v>4.96</v>
      </c>
      <c r="G525" s="4">
        <v>54.8</v>
      </c>
      <c r="H525" s="4">
        <v>1.45</v>
      </c>
      <c r="I525" s="4">
        <v>30.5</v>
      </c>
      <c r="J525" s="4">
        <v>51.5</v>
      </c>
      <c r="K525" s="4">
        <v>2.4500000000000002</v>
      </c>
      <c r="L525" s="4">
        <v>75.833333333333343</v>
      </c>
      <c r="M525" s="4">
        <v>177.3</v>
      </c>
      <c r="N525" s="4">
        <v>55.25</v>
      </c>
      <c r="O525" s="4">
        <v>12.4</v>
      </c>
      <c r="P525" s="4">
        <v>137</v>
      </c>
      <c r="Q525" s="4">
        <v>72.5</v>
      </c>
      <c r="R525" s="4">
        <v>177</v>
      </c>
      <c r="S525" s="4" t="str" cm="1">
        <f t="array" ref="S525">_xlfn.IFS($R525&lt;=50,"Good",$R525&lt;=100,"Moderate",$R525&lt;=200,"Poor",$R525&lt;=300,"Very Poor",$R525&lt;=500,"Hazardous")</f>
        <v>Poor</v>
      </c>
      <c r="T525" t="s">
        <v>28</v>
      </c>
      <c r="X525" s="2"/>
      <c r="Y525" s="2"/>
    </row>
    <row r="526" spans="1:25" x14ac:dyDescent="0.3">
      <c r="A526" s="2">
        <v>45396</v>
      </c>
      <c r="B526" t="s">
        <v>24</v>
      </c>
      <c r="C526" s="4">
        <v>144.80000000000001</v>
      </c>
      <c r="D526" s="4">
        <v>210.2</v>
      </c>
      <c r="E526" s="4">
        <v>65.400000000000006</v>
      </c>
      <c r="F526" s="4">
        <v>9.41</v>
      </c>
      <c r="G526" s="4">
        <v>71.7</v>
      </c>
      <c r="H526" s="4">
        <v>1.66</v>
      </c>
      <c r="I526" s="4">
        <v>28.2</v>
      </c>
      <c r="J526" s="4">
        <v>44.5</v>
      </c>
      <c r="K526" s="4">
        <v>2.9</v>
      </c>
      <c r="L526" s="4">
        <v>241.33333333333329</v>
      </c>
      <c r="M526" s="4">
        <v>210.2</v>
      </c>
      <c r="N526" s="4">
        <v>81.75</v>
      </c>
      <c r="O526" s="4">
        <v>23.524999999999999</v>
      </c>
      <c r="P526" s="4">
        <v>179.25</v>
      </c>
      <c r="Q526" s="4">
        <v>82.999999999999986</v>
      </c>
      <c r="R526" s="4">
        <v>241</v>
      </c>
      <c r="S526" s="4" t="str" cm="1">
        <f t="array" ref="S526">_xlfn.IFS($R526&lt;=50,"Good",$R526&lt;=100,"Moderate",$R526&lt;=200,"Poor",$R526&lt;=300,"Very Poor",$R526&lt;=500,"Hazardous")</f>
        <v>Very Poor</v>
      </c>
      <c r="T526" t="s">
        <v>25</v>
      </c>
      <c r="X526" s="2"/>
      <c r="Y526" s="2"/>
    </row>
    <row r="527" spans="1:25" x14ac:dyDescent="0.3">
      <c r="A527" s="2">
        <v>45397</v>
      </c>
      <c r="B527" t="s">
        <v>20</v>
      </c>
      <c r="C527" s="4">
        <v>2</v>
      </c>
      <c r="D527" s="4">
        <v>152.5</v>
      </c>
      <c r="E527" s="4">
        <v>40.5</v>
      </c>
      <c r="F527" s="4">
        <v>18.36</v>
      </c>
      <c r="G527" s="4">
        <v>46.6</v>
      </c>
      <c r="H527" s="4">
        <v>0.56000000000000005</v>
      </c>
      <c r="I527" s="4">
        <v>27.7</v>
      </c>
      <c r="J527" s="4">
        <v>31.2</v>
      </c>
      <c r="K527" s="4">
        <v>3.07</v>
      </c>
      <c r="L527" s="4">
        <v>3.333333333333333</v>
      </c>
      <c r="M527" s="4">
        <v>152.5</v>
      </c>
      <c r="N527" s="4">
        <v>50.625</v>
      </c>
      <c r="O527" s="4">
        <v>45.9</v>
      </c>
      <c r="P527" s="4">
        <v>116.5</v>
      </c>
      <c r="Q527" s="4">
        <v>28</v>
      </c>
      <c r="R527" s="4">
        <v>152</v>
      </c>
      <c r="S527" s="4" t="str" cm="1">
        <f t="array" ref="S527">_xlfn.IFS($R527&lt;=50,"Good",$R527&lt;=100,"Moderate",$R527&lt;=200,"Poor",$R527&lt;=300,"Very Poor",$R527&lt;=500,"Hazardous")</f>
        <v>Poor</v>
      </c>
      <c r="T527" t="s">
        <v>28</v>
      </c>
      <c r="X527" s="2"/>
      <c r="Y527" s="2"/>
    </row>
    <row r="528" spans="1:25" x14ac:dyDescent="0.3">
      <c r="A528" s="2">
        <v>45397</v>
      </c>
      <c r="B528" t="s">
        <v>21</v>
      </c>
      <c r="C528" s="4">
        <v>85.9</v>
      </c>
      <c r="D528" s="4">
        <v>221.8</v>
      </c>
      <c r="E528" s="4">
        <v>36.5</v>
      </c>
      <c r="F528" s="4">
        <v>10.210000000000001</v>
      </c>
      <c r="G528" s="4">
        <v>7.3</v>
      </c>
      <c r="H528" s="4">
        <v>2.0299999999999998</v>
      </c>
      <c r="I528" s="4">
        <v>31.6</v>
      </c>
      <c r="J528" s="4">
        <v>58.9</v>
      </c>
      <c r="K528" s="4">
        <v>2.5</v>
      </c>
      <c r="L528" s="4">
        <v>143.16666666666671</v>
      </c>
      <c r="M528" s="4">
        <v>221.8</v>
      </c>
      <c r="N528" s="4">
        <v>45.625</v>
      </c>
      <c r="O528" s="4">
        <v>25.524999999999999</v>
      </c>
      <c r="P528" s="4">
        <v>18.25</v>
      </c>
      <c r="Q528" s="4">
        <v>101.5</v>
      </c>
      <c r="R528" s="4">
        <v>222</v>
      </c>
      <c r="S528" s="4" t="str" cm="1">
        <f t="array" ref="S528">_xlfn.IFS($R528&lt;=50,"Good",$R528&lt;=100,"Moderate",$R528&lt;=200,"Poor",$R528&lt;=300,"Very Poor",$R528&lt;=500,"Hazardous")</f>
        <v>Very Poor</v>
      </c>
      <c r="T528" t="s">
        <v>28</v>
      </c>
      <c r="X528" s="2"/>
      <c r="Y528" s="2"/>
    </row>
    <row r="529" spans="1:25" x14ac:dyDescent="0.3">
      <c r="A529" s="2">
        <v>45397</v>
      </c>
      <c r="B529" t="s">
        <v>22</v>
      </c>
      <c r="C529" s="4">
        <v>68.8</v>
      </c>
      <c r="D529" s="4">
        <v>205.4</v>
      </c>
      <c r="E529" s="4">
        <v>37.299999999999997</v>
      </c>
      <c r="F529" s="4">
        <v>8.26</v>
      </c>
      <c r="G529" s="4">
        <v>12.2</v>
      </c>
      <c r="H529" s="4">
        <v>0.65</v>
      </c>
      <c r="I529" s="4">
        <v>28.7</v>
      </c>
      <c r="J529" s="4">
        <v>69.900000000000006</v>
      </c>
      <c r="K529" s="4">
        <v>2.19</v>
      </c>
      <c r="L529" s="4">
        <v>114.6666666666667</v>
      </c>
      <c r="M529" s="4">
        <v>205.4</v>
      </c>
      <c r="N529" s="4">
        <v>46.625</v>
      </c>
      <c r="O529" s="4">
        <v>20.65</v>
      </c>
      <c r="P529" s="4">
        <v>30.5</v>
      </c>
      <c r="Q529" s="4">
        <v>32.5</v>
      </c>
      <c r="R529" s="4">
        <v>205</v>
      </c>
      <c r="S529" s="4" t="str" cm="1">
        <f t="array" ref="S529">_xlfn.IFS($R529&lt;=50,"Good",$R529&lt;=100,"Moderate",$R529&lt;=200,"Poor",$R529&lt;=300,"Very Poor",$R529&lt;=500,"Hazardous")</f>
        <v>Very Poor</v>
      </c>
      <c r="T529" t="s">
        <v>28</v>
      </c>
      <c r="X529" s="2"/>
      <c r="Y529" s="2"/>
    </row>
    <row r="530" spans="1:25" x14ac:dyDescent="0.3">
      <c r="A530" s="2">
        <v>45397</v>
      </c>
      <c r="B530" t="s">
        <v>23</v>
      </c>
      <c r="C530" s="4">
        <v>52.9</v>
      </c>
      <c r="D530" s="4">
        <v>95.6</v>
      </c>
      <c r="E530" s="4">
        <v>34.299999999999997</v>
      </c>
      <c r="F530" s="4">
        <v>9.4700000000000006</v>
      </c>
      <c r="G530" s="4">
        <v>2.6</v>
      </c>
      <c r="H530" s="4">
        <v>1.97</v>
      </c>
      <c r="I530" s="4">
        <v>23.3</v>
      </c>
      <c r="J530" s="4">
        <v>63</v>
      </c>
      <c r="K530" s="4">
        <v>0.98</v>
      </c>
      <c r="L530" s="4">
        <v>88.166666666666671</v>
      </c>
      <c r="M530" s="4">
        <v>95.6</v>
      </c>
      <c r="N530" s="4">
        <v>42.875</v>
      </c>
      <c r="O530" s="4">
        <v>23.675000000000001</v>
      </c>
      <c r="P530" s="4">
        <v>6.5000000000000009</v>
      </c>
      <c r="Q530" s="4">
        <v>98.5</v>
      </c>
      <c r="R530" s="4">
        <v>98</v>
      </c>
      <c r="S530" s="4" t="str" cm="1">
        <f t="array" ref="S530">_xlfn.IFS($R530&lt;=50,"Good",$R530&lt;=100,"Moderate",$R530&lt;=200,"Poor",$R530&lt;=300,"Very Poor",$R530&lt;=500,"Hazardous")</f>
        <v>Moderate</v>
      </c>
      <c r="T530" t="s">
        <v>29</v>
      </c>
      <c r="X530" s="2"/>
      <c r="Y530" s="2"/>
    </row>
    <row r="531" spans="1:25" x14ac:dyDescent="0.3">
      <c r="A531" s="2">
        <v>45397</v>
      </c>
      <c r="B531" t="s">
        <v>24</v>
      </c>
      <c r="C531" s="4">
        <v>88.1</v>
      </c>
      <c r="D531" s="4">
        <v>176.3</v>
      </c>
      <c r="E531" s="4">
        <v>58</v>
      </c>
      <c r="F531" s="4">
        <v>3.33</v>
      </c>
      <c r="G531" s="4">
        <v>50.9</v>
      </c>
      <c r="H531" s="4">
        <v>0.54</v>
      </c>
      <c r="I531" s="4">
        <v>26.2</v>
      </c>
      <c r="J531" s="4">
        <v>68.5</v>
      </c>
      <c r="K531" s="4">
        <v>3.96</v>
      </c>
      <c r="L531" s="4">
        <v>146.83333333333329</v>
      </c>
      <c r="M531" s="4">
        <v>176.3</v>
      </c>
      <c r="N531" s="4">
        <v>72.5</v>
      </c>
      <c r="O531" s="4">
        <v>8.3250000000000011</v>
      </c>
      <c r="P531" s="4">
        <v>127.25</v>
      </c>
      <c r="Q531" s="4">
        <v>27</v>
      </c>
      <c r="R531" s="4">
        <v>176</v>
      </c>
      <c r="S531" s="4" t="str" cm="1">
        <f t="array" ref="S531">_xlfn.IFS($R531&lt;=50,"Good",$R531&lt;=100,"Moderate",$R531&lt;=200,"Poor",$R531&lt;=300,"Very Poor",$R531&lt;=500,"Hazardous")</f>
        <v>Poor</v>
      </c>
      <c r="T531" t="s">
        <v>28</v>
      </c>
      <c r="X531" s="2"/>
      <c r="Y531" s="2"/>
    </row>
    <row r="532" spans="1:25" x14ac:dyDescent="0.3">
      <c r="A532" s="2">
        <v>45398</v>
      </c>
      <c r="B532" t="s">
        <v>20</v>
      </c>
      <c r="C532" s="4">
        <v>69.5</v>
      </c>
      <c r="D532" s="4">
        <v>70.7</v>
      </c>
      <c r="E532" s="4">
        <v>66.599999999999994</v>
      </c>
      <c r="F532" s="4">
        <v>9.31</v>
      </c>
      <c r="G532" s="4">
        <v>1</v>
      </c>
      <c r="H532" s="4">
        <v>1.92</v>
      </c>
      <c r="I532" s="4">
        <v>27.8</v>
      </c>
      <c r="J532" s="4">
        <v>71.599999999999994</v>
      </c>
      <c r="K532" s="4">
        <v>1.19</v>
      </c>
      <c r="L532" s="4">
        <v>115.8333333333333</v>
      </c>
      <c r="M532" s="4">
        <v>70.7</v>
      </c>
      <c r="N532" s="4">
        <v>83.249999999999986</v>
      </c>
      <c r="O532" s="4">
        <v>23.274999999999999</v>
      </c>
      <c r="P532" s="4">
        <v>2.5</v>
      </c>
      <c r="Q532" s="4">
        <v>96</v>
      </c>
      <c r="R532" s="4">
        <v>116</v>
      </c>
      <c r="S532" s="4" t="str" cm="1">
        <f t="array" ref="S532">_xlfn.IFS($R532&lt;=50,"Good",$R532&lt;=100,"Moderate",$R532&lt;=200,"Poor",$R532&lt;=300,"Very Poor",$R532&lt;=500,"Hazardous")</f>
        <v>Poor</v>
      </c>
      <c r="T532" t="s">
        <v>25</v>
      </c>
      <c r="X532" s="2"/>
      <c r="Y532" s="2"/>
    </row>
    <row r="533" spans="1:25" x14ac:dyDescent="0.3">
      <c r="A533" s="2">
        <v>45398</v>
      </c>
      <c r="B533" t="s">
        <v>21</v>
      </c>
      <c r="C533" s="4">
        <v>2</v>
      </c>
      <c r="D533" s="4">
        <v>170.9</v>
      </c>
      <c r="E533" s="4">
        <v>63.5</v>
      </c>
      <c r="F533" s="4">
        <v>0.5</v>
      </c>
      <c r="G533" s="4">
        <v>19.399999999999999</v>
      </c>
      <c r="H533" s="4">
        <v>3.57</v>
      </c>
      <c r="I533" s="4">
        <v>25.9</v>
      </c>
      <c r="J533" s="4">
        <v>63.2</v>
      </c>
      <c r="K533" s="4">
        <v>1.72</v>
      </c>
      <c r="L533" s="4">
        <v>3.333333333333333</v>
      </c>
      <c r="M533" s="4">
        <v>170.9</v>
      </c>
      <c r="N533" s="4">
        <v>79.375</v>
      </c>
      <c r="O533" s="4">
        <v>1.25</v>
      </c>
      <c r="P533" s="4">
        <v>48.499999999999993</v>
      </c>
      <c r="Q533" s="4">
        <v>178.5</v>
      </c>
      <c r="R533" s="4">
        <v>178</v>
      </c>
      <c r="S533" s="4" t="str" cm="1">
        <f t="array" ref="S533">_xlfn.IFS($R533&lt;=50,"Good",$R533&lt;=100,"Moderate",$R533&lt;=200,"Poor",$R533&lt;=300,"Very Poor",$R533&lt;=500,"Hazardous")</f>
        <v>Poor</v>
      </c>
      <c r="T533" t="s">
        <v>29</v>
      </c>
      <c r="X533" s="2"/>
      <c r="Y533" s="2"/>
    </row>
    <row r="534" spans="1:25" x14ac:dyDescent="0.3">
      <c r="A534" s="2">
        <v>45398</v>
      </c>
      <c r="B534" t="s">
        <v>22</v>
      </c>
      <c r="C534" s="4">
        <v>2</v>
      </c>
      <c r="D534" s="4">
        <v>104.3</v>
      </c>
      <c r="E534" s="4">
        <v>37.700000000000003</v>
      </c>
      <c r="F534" s="4">
        <v>5.7</v>
      </c>
      <c r="G534" s="4">
        <v>35.299999999999997</v>
      </c>
      <c r="H534" s="4">
        <v>1.29</v>
      </c>
      <c r="I534" s="4">
        <v>26.9</v>
      </c>
      <c r="J534" s="4">
        <v>27.2</v>
      </c>
      <c r="K534" s="4">
        <v>3.08</v>
      </c>
      <c r="L534" s="4">
        <v>3.333333333333333</v>
      </c>
      <c r="M534" s="4">
        <v>104.3</v>
      </c>
      <c r="N534" s="4">
        <v>47.125</v>
      </c>
      <c r="O534" s="4">
        <v>14.25</v>
      </c>
      <c r="P534" s="4">
        <v>88.25</v>
      </c>
      <c r="Q534" s="4">
        <v>64.5</v>
      </c>
      <c r="R534" s="4">
        <v>104</v>
      </c>
      <c r="S534" s="4" t="str" cm="1">
        <f t="array" ref="S534">_xlfn.IFS($R534&lt;=50,"Good",$R534&lt;=100,"Moderate",$R534&lt;=200,"Poor",$R534&lt;=300,"Very Poor",$R534&lt;=500,"Hazardous")</f>
        <v>Poor</v>
      </c>
      <c r="T534" t="s">
        <v>28</v>
      </c>
      <c r="X534" s="2"/>
      <c r="Y534" s="2"/>
    </row>
    <row r="535" spans="1:25" x14ac:dyDescent="0.3">
      <c r="A535" s="2">
        <v>45398</v>
      </c>
      <c r="B535" t="s">
        <v>23</v>
      </c>
      <c r="C535" s="4">
        <v>2</v>
      </c>
      <c r="D535" s="4">
        <v>5</v>
      </c>
      <c r="E535" s="4">
        <v>59.8</v>
      </c>
      <c r="F535" s="4">
        <v>10.54</v>
      </c>
      <c r="G535" s="4">
        <v>38.6</v>
      </c>
      <c r="H535" s="4">
        <v>0.36</v>
      </c>
      <c r="I535" s="4">
        <v>23</v>
      </c>
      <c r="J535" s="4">
        <v>45.3</v>
      </c>
      <c r="K535" s="4">
        <v>0.57999999999999996</v>
      </c>
      <c r="L535" s="4">
        <v>3.333333333333333</v>
      </c>
      <c r="M535" s="4">
        <v>5</v>
      </c>
      <c r="N535" s="4">
        <v>74.75</v>
      </c>
      <c r="O535" s="4">
        <v>26.35</v>
      </c>
      <c r="P535" s="4">
        <v>96.5</v>
      </c>
      <c r="Q535" s="4">
        <v>18</v>
      </c>
      <c r="R535" s="4">
        <v>96</v>
      </c>
      <c r="S535" s="4" t="str" cm="1">
        <f t="array" ref="S535">_xlfn.IFS($R535&lt;=50,"Good",$R535&lt;=100,"Moderate",$R535&lt;=200,"Poor",$R535&lt;=300,"Very Poor",$R535&lt;=500,"Hazardous")</f>
        <v>Moderate</v>
      </c>
      <c r="T535" t="s">
        <v>27</v>
      </c>
      <c r="X535" s="2"/>
      <c r="Y535" s="2"/>
    </row>
    <row r="536" spans="1:25" x14ac:dyDescent="0.3">
      <c r="A536" s="2">
        <v>45398</v>
      </c>
      <c r="B536" t="s">
        <v>24</v>
      </c>
      <c r="C536" s="4">
        <v>41.6</v>
      </c>
      <c r="D536" s="4">
        <v>175.1</v>
      </c>
      <c r="E536" s="4">
        <v>80.900000000000006</v>
      </c>
      <c r="F536" s="4">
        <v>6.49</v>
      </c>
      <c r="G536" s="4">
        <v>64.8</v>
      </c>
      <c r="H536" s="4">
        <v>0.06</v>
      </c>
      <c r="I536" s="4">
        <v>32.6</v>
      </c>
      <c r="J536" s="4">
        <v>35.5</v>
      </c>
      <c r="K536" s="4">
        <v>3.37</v>
      </c>
      <c r="L536" s="4">
        <v>69.333333333333329</v>
      </c>
      <c r="M536" s="4">
        <v>175.1</v>
      </c>
      <c r="N536" s="4">
        <v>101.125</v>
      </c>
      <c r="O536" s="4">
        <v>16.225000000000001</v>
      </c>
      <c r="P536" s="4">
        <v>162</v>
      </c>
      <c r="Q536" s="4">
        <v>3</v>
      </c>
      <c r="R536" s="4">
        <v>175</v>
      </c>
      <c r="S536" s="4" t="str" cm="1">
        <f t="array" ref="S536">_xlfn.IFS($R536&lt;=50,"Good",$R536&lt;=100,"Moderate",$R536&lt;=200,"Poor",$R536&lt;=300,"Very Poor",$R536&lt;=500,"Hazardous")</f>
        <v>Poor</v>
      </c>
      <c r="T536" t="s">
        <v>28</v>
      </c>
      <c r="X536" s="2"/>
      <c r="Y536" s="2"/>
    </row>
    <row r="537" spans="1:25" x14ac:dyDescent="0.3">
      <c r="A537" s="2">
        <v>45399</v>
      </c>
      <c r="B537" t="s">
        <v>20</v>
      </c>
      <c r="C537" s="4">
        <v>60.5</v>
      </c>
      <c r="D537" s="4">
        <v>229.1</v>
      </c>
      <c r="E537" s="4">
        <v>31.6</v>
      </c>
      <c r="F537" s="4">
        <v>12.81</v>
      </c>
      <c r="G537" s="4">
        <v>38</v>
      </c>
      <c r="H537" s="4">
        <v>1.27</v>
      </c>
      <c r="I537" s="4">
        <v>26.7</v>
      </c>
      <c r="J537" s="4">
        <v>34.799999999999997</v>
      </c>
      <c r="K537" s="4">
        <v>2.48</v>
      </c>
      <c r="L537" s="4">
        <v>100.8333333333333</v>
      </c>
      <c r="M537" s="4">
        <v>229.1</v>
      </c>
      <c r="N537" s="4">
        <v>39.5</v>
      </c>
      <c r="O537" s="4">
        <v>32.024999999999999</v>
      </c>
      <c r="P537" s="4">
        <v>95</v>
      </c>
      <c r="Q537" s="4">
        <v>63.5</v>
      </c>
      <c r="R537" s="4">
        <v>229</v>
      </c>
      <c r="S537" s="4" t="str" cm="1">
        <f t="array" ref="S537">_xlfn.IFS($R537&lt;=50,"Good",$R537&lt;=100,"Moderate",$R537&lt;=200,"Poor",$R537&lt;=300,"Very Poor",$R537&lt;=500,"Hazardous")</f>
        <v>Very Poor</v>
      </c>
      <c r="T537" t="s">
        <v>28</v>
      </c>
      <c r="X537" s="2"/>
      <c r="Y537" s="2"/>
    </row>
    <row r="538" spans="1:25" x14ac:dyDescent="0.3">
      <c r="A538" s="2">
        <v>45399</v>
      </c>
      <c r="B538" t="s">
        <v>21</v>
      </c>
      <c r="C538" s="4">
        <v>72.7</v>
      </c>
      <c r="D538" s="4">
        <v>168.1</v>
      </c>
      <c r="E538" s="4">
        <v>58.4</v>
      </c>
      <c r="F538" s="4">
        <v>14.99</v>
      </c>
      <c r="G538" s="4">
        <v>78.900000000000006</v>
      </c>
      <c r="H538" s="4">
        <v>0.71</v>
      </c>
      <c r="I538" s="4">
        <v>34.1</v>
      </c>
      <c r="J538" s="4">
        <v>28.6</v>
      </c>
      <c r="K538" s="4">
        <v>3.21</v>
      </c>
      <c r="L538" s="4">
        <v>121.1666666666667</v>
      </c>
      <c r="M538" s="4">
        <v>168.1</v>
      </c>
      <c r="N538" s="4">
        <v>73</v>
      </c>
      <c r="O538" s="4">
        <v>37.475000000000001</v>
      </c>
      <c r="P538" s="4">
        <v>197.25</v>
      </c>
      <c r="Q538" s="4">
        <v>35.5</v>
      </c>
      <c r="R538" s="4">
        <v>197</v>
      </c>
      <c r="S538" s="4" t="str" cm="1">
        <f t="array" ref="S538">_xlfn.IFS($R538&lt;=50,"Good",$R538&lt;=100,"Moderate",$R538&lt;=200,"Poor",$R538&lt;=300,"Very Poor",$R538&lt;=500,"Hazardous")</f>
        <v>Poor</v>
      </c>
      <c r="T538" t="s">
        <v>27</v>
      </c>
      <c r="X538" s="2"/>
      <c r="Y538" s="2"/>
    </row>
    <row r="539" spans="1:25" x14ac:dyDescent="0.3">
      <c r="A539" s="2">
        <v>45399</v>
      </c>
      <c r="B539" t="s">
        <v>22</v>
      </c>
      <c r="C539" s="4">
        <v>74.7</v>
      </c>
      <c r="D539" s="4">
        <v>5.0999999999999996</v>
      </c>
      <c r="E539" s="4">
        <v>44.5</v>
      </c>
      <c r="F539" s="4">
        <v>5.37</v>
      </c>
      <c r="G539" s="4">
        <v>20</v>
      </c>
      <c r="H539" s="4">
        <v>1.91</v>
      </c>
      <c r="I539" s="4">
        <v>23.4</v>
      </c>
      <c r="J539" s="4">
        <v>35.5</v>
      </c>
      <c r="K539" s="4">
        <v>2.59</v>
      </c>
      <c r="L539" s="4">
        <v>124.5</v>
      </c>
      <c r="M539" s="4">
        <v>5.0999999999999996</v>
      </c>
      <c r="N539" s="4">
        <v>55.625</v>
      </c>
      <c r="O539" s="4">
        <v>13.425000000000001</v>
      </c>
      <c r="P539" s="4">
        <v>50</v>
      </c>
      <c r="Q539" s="4">
        <v>95.5</v>
      </c>
      <c r="R539" s="4">
        <v>124</v>
      </c>
      <c r="S539" s="4" t="str" cm="1">
        <f t="array" ref="S539">_xlfn.IFS($R539&lt;=50,"Good",$R539&lt;=100,"Moderate",$R539&lt;=200,"Poor",$R539&lt;=300,"Very Poor",$R539&lt;=500,"Hazardous")</f>
        <v>Poor</v>
      </c>
      <c r="T539" t="s">
        <v>25</v>
      </c>
      <c r="X539" s="2"/>
      <c r="Y539" s="2"/>
    </row>
    <row r="540" spans="1:25" x14ac:dyDescent="0.3">
      <c r="A540" s="2">
        <v>45399</v>
      </c>
      <c r="B540" t="s">
        <v>23</v>
      </c>
      <c r="C540" s="4">
        <v>80.599999999999994</v>
      </c>
      <c r="D540" s="4">
        <v>111.5</v>
      </c>
      <c r="E540" s="4">
        <v>68.3</v>
      </c>
      <c r="F540" s="4">
        <v>10.65</v>
      </c>
      <c r="G540" s="4">
        <v>1</v>
      </c>
      <c r="H540" s="4">
        <v>0.88</v>
      </c>
      <c r="I540" s="4">
        <v>24.1</v>
      </c>
      <c r="J540" s="4">
        <v>58.6</v>
      </c>
      <c r="K540" s="4">
        <v>0.2</v>
      </c>
      <c r="L540" s="4">
        <v>134.33333333333329</v>
      </c>
      <c r="M540" s="4">
        <v>111.5</v>
      </c>
      <c r="N540" s="4">
        <v>85.374999999999986</v>
      </c>
      <c r="O540" s="4">
        <v>26.625</v>
      </c>
      <c r="P540" s="4">
        <v>2.5</v>
      </c>
      <c r="Q540" s="4">
        <v>44</v>
      </c>
      <c r="R540" s="4">
        <v>134</v>
      </c>
      <c r="S540" s="4" t="str" cm="1">
        <f t="array" ref="S540">_xlfn.IFS($R540&lt;=50,"Good",$R540&lt;=100,"Moderate",$R540&lt;=200,"Poor",$R540&lt;=300,"Very Poor",$R540&lt;=500,"Hazardous")</f>
        <v>Poor</v>
      </c>
      <c r="T540" t="s">
        <v>25</v>
      </c>
      <c r="X540" s="2"/>
      <c r="Y540" s="2"/>
    </row>
    <row r="541" spans="1:25" x14ac:dyDescent="0.3">
      <c r="A541" s="2">
        <v>45399</v>
      </c>
      <c r="B541" t="s">
        <v>24</v>
      </c>
      <c r="C541" s="4">
        <v>150.1</v>
      </c>
      <c r="D541" s="4">
        <v>167</v>
      </c>
      <c r="E541" s="4">
        <v>52.8</v>
      </c>
      <c r="F541" s="4">
        <v>15.3</v>
      </c>
      <c r="G541" s="4">
        <v>108.5</v>
      </c>
      <c r="H541" s="4">
        <v>1.89</v>
      </c>
      <c r="I541" s="4">
        <v>34.6</v>
      </c>
      <c r="J541" s="4">
        <v>52.4</v>
      </c>
      <c r="K541" s="4">
        <v>2.83</v>
      </c>
      <c r="L541" s="4">
        <v>250.16666666666671</v>
      </c>
      <c r="M541" s="4">
        <v>167</v>
      </c>
      <c r="N541" s="4">
        <v>66</v>
      </c>
      <c r="O541" s="4">
        <v>38.25</v>
      </c>
      <c r="P541" s="4">
        <v>271.25</v>
      </c>
      <c r="Q541" s="4">
        <v>94.5</v>
      </c>
      <c r="R541" s="4">
        <v>271</v>
      </c>
      <c r="S541" s="4" t="str" cm="1">
        <f t="array" ref="S541">_xlfn.IFS($R541&lt;=50,"Good",$R541&lt;=100,"Moderate",$R541&lt;=200,"Poor",$R541&lt;=300,"Very Poor",$R541&lt;=500,"Hazardous")</f>
        <v>Very Poor</v>
      </c>
      <c r="T541" t="s">
        <v>27</v>
      </c>
      <c r="X541" s="2"/>
      <c r="Y541" s="2"/>
    </row>
    <row r="542" spans="1:25" x14ac:dyDescent="0.3">
      <c r="A542" s="2">
        <v>45400</v>
      </c>
      <c r="B542" t="s">
        <v>20</v>
      </c>
      <c r="C542" s="4">
        <v>52.6</v>
      </c>
      <c r="D542" s="4">
        <v>81</v>
      </c>
      <c r="E542" s="4">
        <v>35.9</v>
      </c>
      <c r="F542" s="4">
        <v>1.43</v>
      </c>
      <c r="G542" s="4">
        <v>43.8</v>
      </c>
      <c r="H542" s="4">
        <v>0.22</v>
      </c>
      <c r="I542" s="4">
        <v>29.3</v>
      </c>
      <c r="J542" s="4">
        <v>49.3</v>
      </c>
      <c r="K542" s="4">
        <v>2.68</v>
      </c>
      <c r="L542" s="4">
        <v>87.666666666666671</v>
      </c>
      <c r="M542" s="4">
        <v>81</v>
      </c>
      <c r="N542" s="4">
        <v>44.875</v>
      </c>
      <c r="O542" s="4">
        <v>3.5750000000000002</v>
      </c>
      <c r="P542" s="4">
        <v>109.5</v>
      </c>
      <c r="Q542" s="4">
        <v>11</v>
      </c>
      <c r="R542" s="4">
        <v>109</v>
      </c>
      <c r="S542" s="4" t="str" cm="1">
        <f t="array" ref="S542">_xlfn.IFS($R542&lt;=50,"Good",$R542&lt;=100,"Moderate",$R542&lt;=200,"Poor",$R542&lt;=300,"Very Poor",$R542&lt;=500,"Hazardous")</f>
        <v>Poor</v>
      </c>
      <c r="T542" t="s">
        <v>27</v>
      </c>
      <c r="X542" s="2"/>
      <c r="Y542" s="2"/>
    </row>
    <row r="543" spans="1:25" x14ac:dyDescent="0.3">
      <c r="A543" s="2">
        <v>45400</v>
      </c>
      <c r="B543" t="s">
        <v>21</v>
      </c>
      <c r="C543" s="4">
        <v>55.4</v>
      </c>
      <c r="D543" s="4">
        <v>380.8</v>
      </c>
      <c r="E543" s="4">
        <v>90.3</v>
      </c>
      <c r="F543" s="4">
        <v>2.2200000000000002</v>
      </c>
      <c r="G543" s="4">
        <v>57.3</v>
      </c>
      <c r="H543" s="4">
        <v>1.04</v>
      </c>
      <c r="I543" s="4">
        <v>20.9</v>
      </c>
      <c r="J543" s="4">
        <v>25.9</v>
      </c>
      <c r="K543" s="4">
        <v>3.02</v>
      </c>
      <c r="L543" s="4">
        <v>92.333333333333343</v>
      </c>
      <c r="M543" s="4">
        <v>380.8</v>
      </c>
      <c r="N543" s="4">
        <v>112.875</v>
      </c>
      <c r="O543" s="4">
        <v>5.55</v>
      </c>
      <c r="P543" s="4">
        <v>143.25</v>
      </c>
      <c r="Q543" s="4">
        <v>52.000000000000007</v>
      </c>
      <c r="R543" s="4">
        <v>381</v>
      </c>
      <c r="S543" s="4" t="str" cm="1">
        <f t="array" ref="S543">_xlfn.IFS($R543&lt;=50,"Good",$R543&lt;=100,"Moderate",$R543&lt;=200,"Poor",$R543&lt;=300,"Very Poor",$R543&lt;=500,"Hazardous")</f>
        <v>Hazardous</v>
      </c>
      <c r="T543" t="s">
        <v>28</v>
      </c>
      <c r="X543" s="2"/>
      <c r="Y543" s="2"/>
    </row>
    <row r="544" spans="1:25" x14ac:dyDescent="0.3">
      <c r="A544" s="2">
        <v>45400</v>
      </c>
      <c r="B544" t="s">
        <v>22</v>
      </c>
      <c r="C544" s="4">
        <v>37.6</v>
      </c>
      <c r="D544" s="4">
        <v>169.2</v>
      </c>
      <c r="E544" s="4">
        <v>61.6</v>
      </c>
      <c r="F544" s="4">
        <v>14.13</v>
      </c>
      <c r="G544" s="4">
        <v>17.8</v>
      </c>
      <c r="H544" s="4">
        <v>1.41</v>
      </c>
      <c r="I544" s="4">
        <v>32.4</v>
      </c>
      <c r="J544" s="4">
        <v>41.5</v>
      </c>
      <c r="K544" s="4">
        <v>1.57</v>
      </c>
      <c r="L544" s="4">
        <v>62.666666666666657</v>
      </c>
      <c r="M544" s="4">
        <v>169.2</v>
      </c>
      <c r="N544" s="4">
        <v>77</v>
      </c>
      <c r="O544" s="4">
        <v>35.325000000000003</v>
      </c>
      <c r="P544" s="4">
        <v>44.500000000000007</v>
      </c>
      <c r="Q544" s="4">
        <v>70.5</v>
      </c>
      <c r="R544" s="4">
        <v>169</v>
      </c>
      <c r="S544" s="4" t="str" cm="1">
        <f t="array" ref="S544">_xlfn.IFS($R544&lt;=50,"Good",$R544&lt;=100,"Moderate",$R544&lt;=200,"Poor",$R544&lt;=300,"Very Poor",$R544&lt;=500,"Hazardous")</f>
        <v>Poor</v>
      </c>
      <c r="T544" t="s">
        <v>28</v>
      </c>
      <c r="X544" s="2"/>
      <c r="Y544" s="2"/>
    </row>
    <row r="545" spans="1:25" x14ac:dyDescent="0.3">
      <c r="A545" s="2">
        <v>45400</v>
      </c>
      <c r="B545" t="s">
        <v>23</v>
      </c>
      <c r="C545" s="4">
        <v>108.3</v>
      </c>
      <c r="D545" s="4">
        <v>133.6</v>
      </c>
      <c r="E545" s="4">
        <v>57.7</v>
      </c>
      <c r="F545" s="4">
        <v>3.89</v>
      </c>
      <c r="G545" s="4">
        <v>9.5</v>
      </c>
      <c r="H545" s="4">
        <v>0.86</v>
      </c>
      <c r="I545" s="4">
        <v>27.1</v>
      </c>
      <c r="J545" s="4">
        <v>30.8</v>
      </c>
      <c r="K545" s="4">
        <v>2.4900000000000002</v>
      </c>
      <c r="L545" s="4">
        <v>180.5</v>
      </c>
      <c r="M545" s="4">
        <v>133.6</v>
      </c>
      <c r="N545" s="4">
        <v>72.125000000000014</v>
      </c>
      <c r="O545" s="4">
        <v>9.7250000000000014</v>
      </c>
      <c r="P545" s="4">
        <v>23.75</v>
      </c>
      <c r="Q545" s="4">
        <v>43</v>
      </c>
      <c r="R545" s="4">
        <v>180</v>
      </c>
      <c r="S545" s="4" t="str" cm="1">
        <f t="array" ref="S545">_xlfn.IFS($R545&lt;=50,"Good",$R545&lt;=100,"Moderate",$R545&lt;=200,"Poor",$R545&lt;=300,"Very Poor",$R545&lt;=500,"Hazardous")</f>
        <v>Poor</v>
      </c>
      <c r="T545" t="s">
        <v>25</v>
      </c>
      <c r="X545" s="2"/>
      <c r="Y545" s="2"/>
    </row>
    <row r="546" spans="1:25" x14ac:dyDescent="0.3">
      <c r="A546" s="2">
        <v>45400</v>
      </c>
      <c r="B546" t="s">
        <v>24</v>
      </c>
      <c r="C546" s="4">
        <v>10.3</v>
      </c>
      <c r="D546" s="4">
        <v>58.1</v>
      </c>
      <c r="E546" s="4">
        <v>64.3</v>
      </c>
      <c r="F546" s="4">
        <v>12.12</v>
      </c>
      <c r="G546" s="4">
        <v>33.200000000000003</v>
      </c>
      <c r="H546" s="4">
        <v>0.65</v>
      </c>
      <c r="I546" s="4">
        <v>20.8</v>
      </c>
      <c r="J546" s="4">
        <v>43.3</v>
      </c>
      <c r="K546" s="4">
        <v>3.77</v>
      </c>
      <c r="L546" s="4">
        <v>17.166666666666671</v>
      </c>
      <c r="M546" s="4">
        <v>58.1</v>
      </c>
      <c r="N546" s="4">
        <v>80.375</v>
      </c>
      <c r="O546" s="4">
        <v>30.3</v>
      </c>
      <c r="P546" s="4">
        <v>83</v>
      </c>
      <c r="Q546" s="4">
        <v>32.5</v>
      </c>
      <c r="R546" s="4">
        <v>83</v>
      </c>
      <c r="S546" s="4" t="str" cm="1">
        <f t="array" ref="S546">_xlfn.IFS($R546&lt;=50,"Good",$R546&lt;=100,"Moderate",$R546&lt;=200,"Poor",$R546&lt;=300,"Very Poor",$R546&lt;=500,"Hazardous")</f>
        <v>Moderate</v>
      </c>
      <c r="T546" t="s">
        <v>27</v>
      </c>
      <c r="X546" s="2"/>
      <c r="Y546" s="2"/>
    </row>
    <row r="547" spans="1:25" x14ac:dyDescent="0.3">
      <c r="A547" s="2">
        <v>45401</v>
      </c>
      <c r="B547" t="s">
        <v>20</v>
      </c>
      <c r="C547" s="4">
        <v>101</v>
      </c>
      <c r="D547" s="4">
        <v>103.7</v>
      </c>
      <c r="E547" s="4">
        <v>25.2</v>
      </c>
      <c r="F547" s="4">
        <v>10.74</v>
      </c>
      <c r="G547" s="4">
        <v>22.3</v>
      </c>
      <c r="H547" s="4">
        <v>1.02</v>
      </c>
      <c r="I547" s="4">
        <v>37.299999999999997</v>
      </c>
      <c r="J547" s="4">
        <v>64.900000000000006</v>
      </c>
      <c r="K547" s="4">
        <v>2.69</v>
      </c>
      <c r="L547" s="4">
        <v>168.33333333333329</v>
      </c>
      <c r="M547" s="4">
        <v>103.7</v>
      </c>
      <c r="N547" s="4">
        <v>31.5</v>
      </c>
      <c r="O547" s="4">
        <v>26.85</v>
      </c>
      <c r="P547" s="4">
        <v>55.75</v>
      </c>
      <c r="Q547" s="4">
        <v>51.000000000000007</v>
      </c>
      <c r="R547" s="4">
        <v>168</v>
      </c>
      <c r="S547" s="4" t="str" cm="1">
        <f t="array" ref="S547">_xlfn.IFS($R547&lt;=50,"Good",$R547&lt;=100,"Moderate",$R547&lt;=200,"Poor",$R547&lt;=300,"Very Poor",$R547&lt;=500,"Hazardous")</f>
        <v>Poor</v>
      </c>
      <c r="T547" t="s">
        <v>25</v>
      </c>
      <c r="X547" s="2"/>
      <c r="Y547" s="2"/>
    </row>
    <row r="548" spans="1:25" x14ac:dyDescent="0.3">
      <c r="A548" s="2">
        <v>45401</v>
      </c>
      <c r="B548" t="s">
        <v>21</v>
      </c>
      <c r="C548" s="4">
        <v>27.3</v>
      </c>
      <c r="D548" s="4">
        <v>165.9</v>
      </c>
      <c r="E548" s="4">
        <v>82.8</v>
      </c>
      <c r="F548" s="4">
        <v>7.65</v>
      </c>
      <c r="G548" s="4">
        <v>92.2</v>
      </c>
      <c r="H548" s="4">
        <v>2.4700000000000002</v>
      </c>
      <c r="I548" s="4">
        <v>39.6</v>
      </c>
      <c r="J548" s="4">
        <v>55.5</v>
      </c>
      <c r="K548" s="4">
        <v>3.2</v>
      </c>
      <c r="L548" s="4">
        <v>45.5</v>
      </c>
      <c r="M548" s="4">
        <v>165.9</v>
      </c>
      <c r="N548" s="4">
        <v>103.5</v>
      </c>
      <c r="O548" s="4">
        <v>19.125</v>
      </c>
      <c r="P548" s="4">
        <v>230.5</v>
      </c>
      <c r="Q548" s="4">
        <v>123.5</v>
      </c>
      <c r="R548" s="4">
        <v>230</v>
      </c>
      <c r="S548" s="4" t="str" cm="1">
        <f t="array" ref="S548">_xlfn.IFS($R548&lt;=50,"Good",$R548&lt;=100,"Moderate",$R548&lt;=200,"Poor",$R548&lt;=300,"Very Poor",$R548&lt;=500,"Hazardous")</f>
        <v>Very Poor</v>
      </c>
      <c r="T548" t="s">
        <v>27</v>
      </c>
      <c r="X548" s="2"/>
      <c r="Y548" s="2"/>
    </row>
    <row r="549" spans="1:25" x14ac:dyDescent="0.3">
      <c r="A549" s="2">
        <v>45401</v>
      </c>
      <c r="B549" t="s">
        <v>22</v>
      </c>
      <c r="C549" s="4">
        <v>97.3</v>
      </c>
      <c r="D549" s="4">
        <v>139.5</v>
      </c>
      <c r="E549" s="4">
        <v>33.200000000000003</v>
      </c>
      <c r="F549" s="4">
        <v>5.47</v>
      </c>
      <c r="G549" s="4">
        <v>43.7</v>
      </c>
      <c r="H549" s="4">
        <v>0.4</v>
      </c>
      <c r="I549" s="4">
        <v>27</v>
      </c>
      <c r="J549" s="4">
        <v>69.7</v>
      </c>
      <c r="K549" s="4">
        <v>0.2</v>
      </c>
      <c r="L549" s="4">
        <v>162.16666666666671</v>
      </c>
      <c r="M549" s="4">
        <v>139.5</v>
      </c>
      <c r="N549" s="4">
        <v>41.5</v>
      </c>
      <c r="O549" s="4">
        <v>13.675000000000001</v>
      </c>
      <c r="P549" s="4">
        <v>109.25</v>
      </c>
      <c r="Q549" s="4">
        <v>20</v>
      </c>
      <c r="R549" s="4">
        <v>162</v>
      </c>
      <c r="S549" s="4" t="str" cm="1">
        <f t="array" ref="S549">_xlfn.IFS($R549&lt;=50,"Good",$R549&lt;=100,"Moderate",$R549&lt;=200,"Poor",$R549&lt;=300,"Very Poor",$R549&lt;=500,"Hazardous")</f>
        <v>Poor</v>
      </c>
      <c r="T549" t="s">
        <v>25</v>
      </c>
      <c r="X549" s="2"/>
      <c r="Y549" s="2"/>
    </row>
    <row r="550" spans="1:25" x14ac:dyDescent="0.3">
      <c r="A550" s="2">
        <v>45401</v>
      </c>
      <c r="B550" t="s">
        <v>23</v>
      </c>
      <c r="C550" s="4">
        <v>106</v>
      </c>
      <c r="D550" s="4">
        <v>187.3</v>
      </c>
      <c r="E550" s="4">
        <v>35.799999999999997</v>
      </c>
      <c r="F550" s="4">
        <v>10.72</v>
      </c>
      <c r="G550" s="4">
        <v>40.1</v>
      </c>
      <c r="H550" s="4">
        <v>1.94</v>
      </c>
      <c r="I550" s="4">
        <v>34.9</v>
      </c>
      <c r="J550" s="4">
        <v>24.8</v>
      </c>
      <c r="K550" s="4">
        <v>3.2</v>
      </c>
      <c r="L550" s="4">
        <v>176.66666666666671</v>
      </c>
      <c r="M550" s="4">
        <v>187.3</v>
      </c>
      <c r="N550" s="4">
        <v>44.75</v>
      </c>
      <c r="O550" s="4">
        <v>26.8</v>
      </c>
      <c r="P550" s="4">
        <v>100.25</v>
      </c>
      <c r="Q550" s="4">
        <v>97</v>
      </c>
      <c r="R550" s="4">
        <v>187</v>
      </c>
      <c r="S550" s="4" t="str" cm="1">
        <f t="array" ref="S550">_xlfn.IFS($R550&lt;=50,"Good",$R550&lt;=100,"Moderate",$R550&lt;=200,"Poor",$R550&lt;=300,"Very Poor",$R550&lt;=500,"Hazardous")</f>
        <v>Poor</v>
      </c>
      <c r="T550" t="s">
        <v>28</v>
      </c>
      <c r="X550" s="2"/>
      <c r="Y550" s="2"/>
    </row>
    <row r="551" spans="1:25" x14ac:dyDescent="0.3">
      <c r="A551" s="2">
        <v>45401</v>
      </c>
      <c r="B551" t="s">
        <v>24</v>
      </c>
      <c r="C551" s="4">
        <v>59.2</v>
      </c>
      <c r="D551" s="4">
        <v>137.5</v>
      </c>
      <c r="E551" s="4">
        <v>33.5</v>
      </c>
      <c r="F551" s="4">
        <v>18.41</v>
      </c>
      <c r="G551" s="4">
        <v>72.599999999999994</v>
      </c>
      <c r="H551" s="4">
        <v>0.83</v>
      </c>
      <c r="I551" s="4">
        <v>18.7</v>
      </c>
      <c r="J551" s="4">
        <v>43.1</v>
      </c>
      <c r="K551" s="4">
        <v>3.52</v>
      </c>
      <c r="L551" s="4">
        <v>98.666666666666671</v>
      </c>
      <c r="M551" s="4">
        <v>137.5</v>
      </c>
      <c r="N551" s="4">
        <v>41.875</v>
      </c>
      <c r="O551" s="4">
        <v>46.025000000000013</v>
      </c>
      <c r="P551" s="4">
        <v>181.5</v>
      </c>
      <c r="Q551" s="4">
        <v>41.499999999999993</v>
      </c>
      <c r="R551" s="4">
        <v>182</v>
      </c>
      <c r="S551" s="4" t="str" cm="1">
        <f t="array" ref="S551">_xlfn.IFS($R551&lt;=50,"Good",$R551&lt;=100,"Moderate",$R551&lt;=200,"Poor",$R551&lt;=300,"Very Poor",$R551&lt;=500,"Hazardous")</f>
        <v>Poor</v>
      </c>
      <c r="T551" t="s">
        <v>27</v>
      </c>
      <c r="X551" s="2"/>
      <c r="Y551" s="2"/>
    </row>
    <row r="552" spans="1:25" x14ac:dyDescent="0.3">
      <c r="A552" s="2">
        <v>45402</v>
      </c>
      <c r="B552" t="s">
        <v>20</v>
      </c>
      <c r="C552" s="4">
        <v>77.3</v>
      </c>
      <c r="D552" s="4">
        <v>224.5</v>
      </c>
      <c r="E552" s="4">
        <v>69.900000000000006</v>
      </c>
      <c r="F552" s="4">
        <v>14.78</v>
      </c>
      <c r="G552" s="4">
        <v>55.4</v>
      </c>
      <c r="H552" s="4">
        <v>0.42</v>
      </c>
      <c r="I552" s="4">
        <v>26.6</v>
      </c>
      <c r="J552" s="4">
        <v>69.099999999999994</v>
      </c>
      <c r="K552" s="4">
        <v>2.44</v>
      </c>
      <c r="L552" s="4">
        <v>128.83333333333329</v>
      </c>
      <c r="M552" s="4">
        <v>224.5</v>
      </c>
      <c r="N552" s="4">
        <v>87.375000000000014</v>
      </c>
      <c r="O552" s="4">
        <v>36.950000000000003</v>
      </c>
      <c r="P552" s="4">
        <v>138.5</v>
      </c>
      <c r="Q552" s="4">
        <v>21</v>
      </c>
      <c r="R552" s="4">
        <v>224</v>
      </c>
      <c r="S552" s="4" t="str" cm="1">
        <f t="array" ref="S552">_xlfn.IFS($R552&lt;=50,"Good",$R552&lt;=100,"Moderate",$R552&lt;=200,"Poor",$R552&lt;=300,"Very Poor",$R552&lt;=500,"Hazardous")</f>
        <v>Very Poor</v>
      </c>
      <c r="T552" t="s">
        <v>28</v>
      </c>
      <c r="X552" s="2"/>
      <c r="Y552" s="2"/>
    </row>
    <row r="553" spans="1:25" x14ac:dyDescent="0.3">
      <c r="A553" s="2">
        <v>45402</v>
      </c>
      <c r="B553" t="s">
        <v>21</v>
      </c>
      <c r="C553" s="4">
        <v>93.9</v>
      </c>
      <c r="D553" s="4">
        <v>126.1</v>
      </c>
      <c r="E553" s="4">
        <v>30.5</v>
      </c>
      <c r="F553" s="4">
        <v>9.23</v>
      </c>
      <c r="G553" s="4">
        <v>59.7</v>
      </c>
      <c r="H553" s="4">
        <v>1.01</v>
      </c>
      <c r="I553" s="4">
        <v>26.4</v>
      </c>
      <c r="J553" s="4">
        <v>33.1</v>
      </c>
      <c r="K553" s="4">
        <v>3.84</v>
      </c>
      <c r="L553" s="4">
        <v>156.5</v>
      </c>
      <c r="M553" s="4">
        <v>126.1</v>
      </c>
      <c r="N553" s="4">
        <v>38.125</v>
      </c>
      <c r="O553" s="4">
        <v>23.074999999999999</v>
      </c>
      <c r="P553" s="4">
        <v>149.25</v>
      </c>
      <c r="Q553" s="4">
        <v>50.5</v>
      </c>
      <c r="R553" s="4">
        <v>156</v>
      </c>
      <c r="S553" s="4" t="str" cm="1">
        <f t="array" ref="S553">_xlfn.IFS($R553&lt;=50,"Good",$R553&lt;=100,"Moderate",$R553&lt;=200,"Poor",$R553&lt;=300,"Very Poor",$R553&lt;=500,"Hazardous")</f>
        <v>Poor</v>
      </c>
      <c r="T553" t="s">
        <v>25</v>
      </c>
      <c r="X553" s="2"/>
      <c r="Y553" s="2"/>
    </row>
    <row r="554" spans="1:25" x14ac:dyDescent="0.3">
      <c r="A554" s="2">
        <v>45402</v>
      </c>
      <c r="B554" t="s">
        <v>22</v>
      </c>
      <c r="C554" s="4">
        <v>48.6</v>
      </c>
      <c r="D554" s="4">
        <v>196.8</v>
      </c>
      <c r="E554" s="4">
        <v>71.8</v>
      </c>
      <c r="F554" s="4">
        <v>7.22</v>
      </c>
      <c r="G554" s="4">
        <v>14</v>
      </c>
      <c r="H554" s="4">
        <v>0.05</v>
      </c>
      <c r="I554" s="4">
        <v>17.7</v>
      </c>
      <c r="J554" s="4">
        <v>25.3</v>
      </c>
      <c r="K554" s="4">
        <v>4.1500000000000004</v>
      </c>
      <c r="L554" s="4">
        <v>81</v>
      </c>
      <c r="M554" s="4">
        <v>196.8</v>
      </c>
      <c r="N554" s="4">
        <v>89.75</v>
      </c>
      <c r="O554" s="4">
        <v>18.05</v>
      </c>
      <c r="P554" s="4">
        <v>35</v>
      </c>
      <c r="Q554" s="4">
        <v>2.5</v>
      </c>
      <c r="R554" s="4">
        <v>197</v>
      </c>
      <c r="S554" s="4" t="str" cm="1">
        <f t="array" ref="S554">_xlfn.IFS($R554&lt;=50,"Good",$R554&lt;=100,"Moderate",$R554&lt;=200,"Poor",$R554&lt;=300,"Very Poor",$R554&lt;=500,"Hazardous")</f>
        <v>Poor</v>
      </c>
      <c r="T554" t="s">
        <v>28</v>
      </c>
      <c r="X554" s="2"/>
      <c r="Y554" s="2"/>
    </row>
    <row r="555" spans="1:25" x14ac:dyDescent="0.3">
      <c r="A555" s="2">
        <v>45402</v>
      </c>
      <c r="B555" t="s">
        <v>23</v>
      </c>
      <c r="C555" s="4">
        <v>63.5</v>
      </c>
      <c r="D555" s="4">
        <v>143.4</v>
      </c>
      <c r="E555" s="4">
        <v>2</v>
      </c>
      <c r="F555" s="4">
        <v>2.0099999999999998</v>
      </c>
      <c r="G555" s="4">
        <v>62.2</v>
      </c>
      <c r="H555" s="4">
        <v>1.37</v>
      </c>
      <c r="I555" s="4">
        <v>27</v>
      </c>
      <c r="J555" s="4">
        <v>60.2</v>
      </c>
      <c r="K555" s="4">
        <v>4.46</v>
      </c>
      <c r="L555" s="4">
        <v>105.8333333333333</v>
      </c>
      <c r="M555" s="4">
        <v>143.4</v>
      </c>
      <c r="N555" s="4">
        <v>2.5</v>
      </c>
      <c r="O555" s="4">
        <v>5.0249999999999986</v>
      </c>
      <c r="P555" s="4">
        <v>155.5</v>
      </c>
      <c r="Q555" s="4">
        <v>68.5</v>
      </c>
      <c r="R555" s="4">
        <v>156</v>
      </c>
      <c r="S555" s="4" t="str" cm="1">
        <f t="array" ref="S555">_xlfn.IFS($R555&lt;=50,"Good",$R555&lt;=100,"Moderate",$R555&lt;=200,"Poor",$R555&lt;=300,"Very Poor",$R555&lt;=500,"Hazardous")</f>
        <v>Poor</v>
      </c>
      <c r="T555" t="s">
        <v>27</v>
      </c>
      <c r="X555" s="2"/>
      <c r="Y555" s="2"/>
    </row>
    <row r="556" spans="1:25" x14ac:dyDescent="0.3">
      <c r="A556" s="2">
        <v>45402</v>
      </c>
      <c r="B556" t="s">
        <v>24</v>
      </c>
      <c r="C556" s="4">
        <v>58.7</v>
      </c>
      <c r="D556" s="4">
        <v>136.6</v>
      </c>
      <c r="E556" s="4">
        <v>53.7</v>
      </c>
      <c r="F556" s="4">
        <v>21.96</v>
      </c>
      <c r="G556" s="4">
        <v>1</v>
      </c>
      <c r="H556" s="4">
        <v>1.77</v>
      </c>
      <c r="I556" s="4">
        <v>27.2</v>
      </c>
      <c r="J556" s="4">
        <v>60.2</v>
      </c>
      <c r="K556" s="4">
        <v>2.21</v>
      </c>
      <c r="L556" s="4">
        <v>97.833333333333343</v>
      </c>
      <c r="M556" s="4">
        <v>136.6</v>
      </c>
      <c r="N556" s="4">
        <v>67.125</v>
      </c>
      <c r="O556" s="4">
        <v>54.900000000000013</v>
      </c>
      <c r="P556" s="4">
        <v>2.5</v>
      </c>
      <c r="Q556" s="4">
        <v>88.5</v>
      </c>
      <c r="R556" s="4">
        <v>137</v>
      </c>
      <c r="S556" s="4" t="str" cm="1">
        <f t="array" ref="S556">_xlfn.IFS($R556&lt;=50,"Good",$R556&lt;=100,"Moderate",$R556&lt;=200,"Poor",$R556&lt;=300,"Very Poor",$R556&lt;=500,"Hazardous")</f>
        <v>Poor</v>
      </c>
      <c r="T556" t="s">
        <v>28</v>
      </c>
      <c r="X556" s="2"/>
      <c r="Y556" s="2"/>
    </row>
    <row r="557" spans="1:25" x14ac:dyDescent="0.3">
      <c r="A557" s="2">
        <v>45403</v>
      </c>
      <c r="B557" t="s">
        <v>20</v>
      </c>
      <c r="C557" s="4">
        <v>67.3</v>
      </c>
      <c r="D557" s="4">
        <v>187.1</v>
      </c>
      <c r="E557" s="4">
        <v>123.3</v>
      </c>
      <c r="F557" s="4">
        <v>13.85</v>
      </c>
      <c r="G557" s="4">
        <v>21.6</v>
      </c>
      <c r="H557" s="4">
        <v>1.0900000000000001</v>
      </c>
      <c r="I557" s="4">
        <v>24.8</v>
      </c>
      <c r="J557" s="4">
        <v>17.7</v>
      </c>
      <c r="K557" s="4">
        <v>2.1</v>
      </c>
      <c r="L557" s="4">
        <v>112.1666666666667</v>
      </c>
      <c r="M557" s="4">
        <v>187.1</v>
      </c>
      <c r="N557" s="4">
        <v>154.125</v>
      </c>
      <c r="O557" s="4">
        <v>34.624999999999993</v>
      </c>
      <c r="P557" s="4">
        <v>54.000000000000007</v>
      </c>
      <c r="Q557" s="4">
        <v>54.500000000000007</v>
      </c>
      <c r="R557" s="4">
        <v>187</v>
      </c>
      <c r="S557" s="4" t="str" cm="1">
        <f t="array" ref="S557">_xlfn.IFS($R557&lt;=50,"Good",$R557&lt;=100,"Moderate",$R557&lt;=200,"Poor",$R557&lt;=300,"Very Poor",$R557&lt;=500,"Hazardous")</f>
        <v>Poor</v>
      </c>
      <c r="T557" t="s">
        <v>28</v>
      </c>
      <c r="X557" s="2"/>
      <c r="Y557" s="2"/>
    </row>
    <row r="558" spans="1:25" x14ac:dyDescent="0.3">
      <c r="A558" s="2">
        <v>45403</v>
      </c>
      <c r="B558" t="s">
        <v>21</v>
      </c>
      <c r="C558" s="4">
        <v>102.5</v>
      </c>
      <c r="D558" s="4">
        <v>54.4</v>
      </c>
      <c r="E558" s="4">
        <v>82.5</v>
      </c>
      <c r="F558" s="4">
        <v>13.05</v>
      </c>
      <c r="G558" s="4">
        <v>27.1</v>
      </c>
      <c r="H558" s="4">
        <v>1.39</v>
      </c>
      <c r="I558" s="4">
        <v>39.200000000000003</v>
      </c>
      <c r="J558" s="4">
        <v>63.2</v>
      </c>
      <c r="K558" s="4">
        <v>2.5099999999999998</v>
      </c>
      <c r="L558" s="4">
        <v>170.83333333333329</v>
      </c>
      <c r="M558" s="4">
        <v>54.4</v>
      </c>
      <c r="N558" s="4">
        <v>103.125</v>
      </c>
      <c r="O558" s="4">
        <v>32.625</v>
      </c>
      <c r="P558" s="4">
        <v>67.75</v>
      </c>
      <c r="Q558" s="4">
        <v>69.499999999999986</v>
      </c>
      <c r="R558" s="4">
        <v>171</v>
      </c>
      <c r="S558" s="4" t="str" cm="1">
        <f t="array" ref="S558">_xlfn.IFS($R558&lt;=50,"Good",$R558&lt;=100,"Moderate",$R558&lt;=200,"Poor",$R558&lt;=300,"Very Poor",$R558&lt;=500,"Hazardous")</f>
        <v>Poor</v>
      </c>
      <c r="T558" t="s">
        <v>25</v>
      </c>
      <c r="X558" s="2"/>
      <c r="Y558" s="2"/>
    </row>
    <row r="559" spans="1:25" x14ac:dyDescent="0.3">
      <c r="A559" s="2">
        <v>45403</v>
      </c>
      <c r="B559" t="s">
        <v>22</v>
      </c>
      <c r="C559" s="4">
        <v>50.2</v>
      </c>
      <c r="D559" s="4">
        <v>118.4</v>
      </c>
      <c r="E559" s="4">
        <v>33</v>
      </c>
      <c r="F559" s="4">
        <v>0.5</v>
      </c>
      <c r="G559" s="4">
        <v>86.5</v>
      </c>
      <c r="H559" s="4">
        <v>1.23</v>
      </c>
      <c r="I559" s="4">
        <v>30.8</v>
      </c>
      <c r="J559" s="4">
        <v>49</v>
      </c>
      <c r="K559" s="4">
        <v>1.62</v>
      </c>
      <c r="L559" s="4">
        <v>83.666666666666671</v>
      </c>
      <c r="M559" s="4">
        <v>118.4</v>
      </c>
      <c r="N559" s="4">
        <v>41.25</v>
      </c>
      <c r="O559" s="4">
        <v>1.25</v>
      </c>
      <c r="P559" s="4">
        <v>216.25</v>
      </c>
      <c r="Q559" s="4">
        <v>61.5</v>
      </c>
      <c r="R559" s="4">
        <v>216</v>
      </c>
      <c r="S559" s="4" t="str" cm="1">
        <f t="array" ref="S559">_xlfn.IFS($R559&lt;=50,"Good",$R559&lt;=100,"Moderate",$R559&lt;=200,"Poor",$R559&lt;=300,"Very Poor",$R559&lt;=500,"Hazardous")</f>
        <v>Very Poor</v>
      </c>
      <c r="T559" t="s">
        <v>27</v>
      </c>
      <c r="X559" s="2"/>
      <c r="Y559" s="2"/>
    </row>
    <row r="560" spans="1:25" x14ac:dyDescent="0.3">
      <c r="A560" s="2">
        <v>45403</v>
      </c>
      <c r="B560" t="s">
        <v>23</v>
      </c>
      <c r="C560" s="4">
        <v>54.4</v>
      </c>
      <c r="D560" s="4">
        <v>24</v>
      </c>
      <c r="E560" s="4">
        <v>90.5</v>
      </c>
      <c r="F560" s="4">
        <v>1.83</v>
      </c>
      <c r="G560" s="4">
        <v>14.2</v>
      </c>
      <c r="H560" s="4">
        <v>0.94</v>
      </c>
      <c r="I560" s="4">
        <v>37</v>
      </c>
      <c r="J560" s="4">
        <v>50.3</v>
      </c>
      <c r="K560" s="4">
        <v>1.02</v>
      </c>
      <c r="L560" s="4">
        <v>90.666666666666657</v>
      </c>
      <c r="M560" s="4">
        <v>24</v>
      </c>
      <c r="N560" s="4">
        <v>113.125</v>
      </c>
      <c r="O560" s="4">
        <v>4.5750000000000002</v>
      </c>
      <c r="P560" s="4">
        <v>35.5</v>
      </c>
      <c r="Q560" s="4">
        <v>47</v>
      </c>
      <c r="R560" s="4">
        <v>113</v>
      </c>
      <c r="S560" s="4" t="str" cm="1">
        <f t="array" ref="S560">_xlfn.IFS($R560&lt;=50,"Good",$R560&lt;=100,"Moderate",$R560&lt;=200,"Poor",$R560&lt;=300,"Very Poor",$R560&lt;=500,"Hazardous")</f>
        <v>Poor</v>
      </c>
      <c r="T560" t="s">
        <v>26</v>
      </c>
      <c r="X560" s="2"/>
      <c r="Y560" s="2"/>
    </row>
    <row r="561" spans="1:25" x14ac:dyDescent="0.3">
      <c r="A561" s="2">
        <v>45403</v>
      </c>
      <c r="B561" t="s">
        <v>24</v>
      </c>
      <c r="C561" s="4">
        <v>107.4</v>
      </c>
      <c r="D561" s="4">
        <v>180.2</v>
      </c>
      <c r="E561" s="4">
        <v>61.3</v>
      </c>
      <c r="F561" s="4">
        <v>12.74</v>
      </c>
      <c r="G561" s="4">
        <v>109.8</v>
      </c>
      <c r="H561" s="4">
        <v>2.76</v>
      </c>
      <c r="I561" s="4">
        <v>23.2</v>
      </c>
      <c r="J561" s="4">
        <v>79.2</v>
      </c>
      <c r="K561" s="4">
        <v>3.46</v>
      </c>
      <c r="L561" s="4">
        <v>179</v>
      </c>
      <c r="M561" s="4">
        <v>180.2</v>
      </c>
      <c r="N561" s="4">
        <v>76.625</v>
      </c>
      <c r="O561" s="4">
        <v>31.85</v>
      </c>
      <c r="P561" s="4">
        <v>274.49999999999989</v>
      </c>
      <c r="Q561" s="4">
        <v>138</v>
      </c>
      <c r="R561" s="4">
        <v>274</v>
      </c>
      <c r="S561" s="4" t="str" cm="1">
        <f t="array" ref="S561">_xlfn.IFS($R561&lt;=50,"Good",$R561&lt;=100,"Moderate",$R561&lt;=200,"Poor",$R561&lt;=300,"Very Poor",$R561&lt;=500,"Hazardous")</f>
        <v>Very Poor</v>
      </c>
      <c r="T561" t="s">
        <v>27</v>
      </c>
      <c r="X561" s="2"/>
      <c r="Y561" s="2"/>
    </row>
    <row r="562" spans="1:25" x14ac:dyDescent="0.3">
      <c r="A562" s="2">
        <v>45404</v>
      </c>
      <c r="B562" t="s">
        <v>20</v>
      </c>
      <c r="C562" s="4">
        <v>86.2</v>
      </c>
      <c r="D562" s="4">
        <v>21.2</v>
      </c>
      <c r="E562" s="4">
        <v>47.8</v>
      </c>
      <c r="F562" s="4">
        <v>4.53</v>
      </c>
      <c r="G562" s="4">
        <v>69.8</v>
      </c>
      <c r="H562" s="4">
        <v>2.12</v>
      </c>
      <c r="I562" s="4">
        <v>13.5</v>
      </c>
      <c r="J562" s="4">
        <v>49.6</v>
      </c>
      <c r="K562" s="4">
        <v>3.85</v>
      </c>
      <c r="L562" s="4">
        <v>143.66666666666671</v>
      </c>
      <c r="M562" s="4">
        <v>21.2</v>
      </c>
      <c r="N562" s="4">
        <v>59.75</v>
      </c>
      <c r="O562" s="4">
        <v>11.324999999999999</v>
      </c>
      <c r="P562" s="4">
        <v>174.5</v>
      </c>
      <c r="Q562" s="4">
        <v>106</v>
      </c>
      <c r="R562" s="4">
        <v>174</v>
      </c>
      <c r="S562" s="4" t="str" cm="1">
        <f t="array" ref="S562">_xlfn.IFS($R562&lt;=50,"Good",$R562&lt;=100,"Moderate",$R562&lt;=200,"Poor",$R562&lt;=300,"Very Poor",$R562&lt;=500,"Hazardous")</f>
        <v>Poor</v>
      </c>
      <c r="T562" t="s">
        <v>27</v>
      </c>
      <c r="X562" s="2"/>
      <c r="Y562" s="2"/>
    </row>
    <row r="563" spans="1:25" x14ac:dyDescent="0.3">
      <c r="A563" s="2">
        <v>45404</v>
      </c>
      <c r="B563" t="s">
        <v>21</v>
      </c>
      <c r="C563" s="4">
        <v>68</v>
      </c>
      <c r="D563" s="4">
        <v>204.7</v>
      </c>
      <c r="E563" s="4">
        <v>65</v>
      </c>
      <c r="F563" s="4">
        <v>12.14</v>
      </c>
      <c r="G563" s="4">
        <v>41.5</v>
      </c>
      <c r="H563" s="4">
        <v>0.59</v>
      </c>
      <c r="I563" s="4">
        <v>20.100000000000001</v>
      </c>
      <c r="J563" s="4">
        <v>62.8</v>
      </c>
      <c r="K563" s="4">
        <v>2.52</v>
      </c>
      <c r="L563" s="4">
        <v>113.3333333333333</v>
      </c>
      <c r="M563" s="4">
        <v>204.7</v>
      </c>
      <c r="N563" s="4">
        <v>81.25</v>
      </c>
      <c r="O563" s="4">
        <v>30.35</v>
      </c>
      <c r="P563" s="4">
        <v>103.75</v>
      </c>
      <c r="Q563" s="4">
        <v>29.5</v>
      </c>
      <c r="R563" s="4">
        <v>205</v>
      </c>
      <c r="S563" s="4" t="str" cm="1">
        <f t="array" ref="S563">_xlfn.IFS($R563&lt;=50,"Good",$R563&lt;=100,"Moderate",$R563&lt;=200,"Poor",$R563&lt;=300,"Very Poor",$R563&lt;=500,"Hazardous")</f>
        <v>Very Poor</v>
      </c>
      <c r="T563" t="s">
        <v>28</v>
      </c>
      <c r="X563" s="2"/>
      <c r="Y563" s="2"/>
    </row>
    <row r="564" spans="1:25" x14ac:dyDescent="0.3">
      <c r="A564" s="2">
        <v>45404</v>
      </c>
      <c r="B564" t="s">
        <v>22</v>
      </c>
      <c r="C564" s="4">
        <v>53.1</v>
      </c>
      <c r="D564" s="4">
        <v>89.8</v>
      </c>
      <c r="E564" s="4">
        <v>37</v>
      </c>
      <c r="F564" s="4">
        <v>12.57</v>
      </c>
      <c r="G564" s="4">
        <v>30</v>
      </c>
      <c r="H564" s="4">
        <v>0.38</v>
      </c>
      <c r="I564" s="4">
        <v>33.200000000000003</v>
      </c>
      <c r="J564" s="4">
        <v>46.3</v>
      </c>
      <c r="K564" s="4">
        <v>2.54</v>
      </c>
      <c r="L564" s="4">
        <v>88.500000000000014</v>
      </c>
      <c r="M564" s="4">
        <v>89.8</v>
      </c>
      <c r="N564" s="4">
        <v>46.25</v>
      </c>
      <c r="O564" s="4">
        <v>31.425000000000001</v>
      </c>
      <c r="P564" s="4">
        <v>75</v>
      </c>
      <c r="Q564" s="4">
        <v>19</v>
      </c>
      <c r="R564" s="4">
        <v>90</v>
      </c>
      <c r="S564" s="4" t="str" cm="1">
        <f t="array" ref="S564">_xlfn.IFS($R564&lt;=50,"Good",$R564&lt;=100,"Moderate",$R564&lt;=200,"Poor",$R564&lt;=300,"Very Poor",$R564&lt;=500,"Hazardous")</f>
        <v>Moderate</v>
      </c>
      <c r="T564" t="s">
        <v>28</v>
      </c>
      <c r="X564" s="2"/>
      <c r="Y564" s="2"/>
    </row>
    <row r="565" spans="1:25" x14ac:dyDescent="0.3">
      <c r="A565" s="2">
        <v>45404</v>
      </c>
      <c r="B565" t="s">
        <v>23</v>
      </c>
      <c r="C565" s="4">
        <v>108.2</v>
      </c>
      <c r="D565" s="4">
        <v>118.8</v>
      </c>
      <c r="E565" s="4">
        <v>50.8</v>
      </c>
      <c r="F565" s="4">
        <v>2.11</v>
      </c>
      <c r="G565" s="4">
        <v>34.5</v>
      </c>
      <c r="H565" s="4">
        <v>1.57</v>
      </c>
      <c r="I565" s="4">
        <v>17.100000000000001</v>
      </c>
      <c r="J565" s="4">
        <v>53.6</v>
      </c>
      <c r="K565" s="4">
        <v>2.62</v>
      </c>
      <c r="L565" s="4">
        <v>180.33333333333329</v>
      </c>
      <c r="M565" s="4">
        <v>118.8</v>
      </c>
      <c r="N565" s="4">
        <v>63.5</v>
      </c>
      <c r="O565" s="4">
        <v>5.2749999999999986</v>
      </c>
      <c r="P565" s="4">
        <v>86.25</v>
      </c>
      <c r="Q565" s="4">
        <v>78.5</v>
      </c>
      <c r="R565" s="4">
        <v>180</v>
      </c>
      <c r="S565" s="4" t="str" cm="1">
        <f t="array" ref="S565">_xlfn.IFS($R565&lt;=50,"Good",$R565&lt;=100,"Moderate",$R565&lt;=200,"Poor",$R565&lt;=300,"Very Poor",$R565&lt;=500,"Hazardous")</f>
        <v>Poor</v>
      </c>
      <c r="T565" t="s">
        <v>25</v>
      </c>
      <c r="X565" s="2"/>
      <c r="Y565" s="2"/>
    </row>
    <row r="566" spans="1:25" x14ac:dyDescent="0.3">
      <c r="A566" s="2">
        <v>45404</v>
      </c>
      <c r="B566" t="s">
        <v>24</v>
      </c>
      <c r="C566" s="4">
        <v>67.400000000000006</v>
      </c>
      <c r="D566" s="4">
        <v>200.5</v>
      </c>
      <c r="E566" s="4">
        <v>56.9</v>
      </c>
      <c r="F566" s="4">
        <v>16.93</v>
      </c>
      <c r="G566" s="4">
        <v>16.7</v>
      </c>
      <c r="H566" s="4">
        <v>1.41</v>
      </c>
      <c r="I566" s="4">
        <v>28.6</v>
      </c>
      <c r="J566" s="4">
        <v>30.8</v>
      </c>
      <c r="K566" s="4">
        <v>4.1500000000000004</v>
      </c>
      <c r="L566" s="4">
        <v>112.3333333333333</v>
      </c>
      <c r="M566" s="4">
        <v>200.5</v>
      </c>
      <c r="N566" s="4">
        <v>71.125</v>
      </c>
      <c r="O566" s="4">
        <v>42.325000000000003</v>
      </c>
      <c r="P566" s="4">
        <v>41.749999999999993</v>
      </c>
      <c r="Q566" s="4">
        <v>70.5</v>
      </c>
      <c r="R566" s="4">
        <v>200</v>
      </c>
      <c r="S566" s="4" t="str" cm="1">
        <f t="array" ref="S566">_xlfn.IFS($R566&lt;=50,"Good",$R566&lt;=100,"Moderate",$R566&lt;=200,"Poor",$R566&lt;=300,"Very Poor",$R566&lt;=500,"Hazardous")</f>
        <v>Poor</v>
      </c>
      <c r="T566" t="s">
        <v>28</v>
      </c>
      <c r="X566" s="2"/>
      <c r="Y566" s="2"/>
    </row>
    <row r="567" spans="1:25" x14ac:dyDescent="0.3">
      <c r="A567" s="2">
        <v>45405</v>
      </c>
      <c r="B567" t="s">
        <v>20</v>
      </c>
      <c r="C567" s="4">
        <v>149.19999999999999</v>
      </c>
      <c r="D567" s="4">
        <v>136.80000000000001</v>
      </c>
      <c r="E567" s="4">
        <v>63.4</v>
      </c>
      <c r="F567" s="4">
        <v>9.69</v>
      </c>
      <c r="G567" s="4">
        <v>25.5</v>
      </c>
      <c r="H567" s="4">
        <v>0.12</v>
      </c>
      <c r="I567" s="4">
        <v>23.1</v>
      </c>
      <c r="J567" s="4">
        <v>24.9</v>
      </c>
      <c r="K567" s="4">
        <v>4.54</v>
      </c>
      <c r="L567" s="4">
        <v>248.66666666666671</v>
      </c>
      <c r="M567" s="4">
        <v>136.80000000000001</v>
      </c>
      <c r="N567" s="4">
        <v>79.25</v>
      </c>
      <c r="O567" s="4">
        <v>24.225000000000001</v>
      </c>
      <c r="P567" s="4">
        <v>63.75</v>
      </c>
      <c r="Q567" s="4">
        <v>6</v>
      </c>
      <c r="R567" s="4">
        <v>249</v>
      </c>
      <c r="S567" s="4" t="str" cm="1">
        <f t="array" ref="S567">_xlfn.IFS($R567&lt;=50,"Good",$R567&lt;=100,"Moderate",$R567&lt;=200,"Poor",$R567&lt;=300,"Very Poor",$R567&lt;=500,"Hazardous")</f>
        <v>Very Poor</v>
      </c>
      <c r="T567" t="s">
        <v>25</v>
      </c>
      <c r="X567" s="2"/>
      <c r="Y567" s="2"/>
    </row>
    <row r="568" spans="1:25" x14ac:dyDescent="0.3">
      <c r="A568" s="2">
        <v>45405</v>
      </c>
      <c r="B568" t="s">
        <v>21</v>
      </c>
      <c r="C568" s="4">
        <v>70.7</v>
      </c>
      <c r="D568" s="4">
        <v>124.1</v>
      </c>
      <c r="E568" s="4">
        <v>78.5</v>
      </c>
      <c r="F568" s="4">
        <v>2.99</v>
      </c>
      <c r="G568" s="4">
        <v>26</v>
      </c>
      <c r="H568" s="4">
        <v>1.55</v>
      </c>
      <c r="I568" s="4">
        <v>35.200000000000003</v>
      </c>
      <c r="J568" s="4">
        <v>59</v>
      </c>
      <c r="K568" s="4">
        <v>2.8</v>
      </c>
      <c r="L568" s="4">
        <v>117.8333333333333</v>
      </c>
      <c r="M568" s="4">
        <v>124.1</v>
      </c>
      <c r="N568" s="4">
        <v>98.125</v>
      </c>
      <c r="O568" s="4">
        <v>7.4750000000000014</v>
      </c>
      <c r="P568" s="4">
        <v>65</v>
      </c>
      <c r="Q568" s="4">
        <v>77.5</v>
      </c>
      <c r="R568" s="4">
        <v>124</v>
      </c>
      <c r="S568" s="4" t="str" cm="1">
        <f t="array" ref="S568">_xlfn.IFS($R568&lt;=50,"Good",$R568&lt;=100,"Moderate",$R568&lt;=200,"Poor",$R568&lt;=300,"Very Poor",$R568&lt;=500,"Hazardous")</f>
        <v>Poor</v>
      </c>
      <c r="T568" t="s">
        <v>28</v>
      </c>
      <c r="X568" s="2"/>
      <c r="Y568" s="2"/>
    </row>
    <row r="569" spans="1:25" x14ac:dyDescent="0.3">
      <c r="A569" s="2">
        <v>45405</v>
      </c>
      <c r="B569" t="s">
        <v>22</v>
      </c>
      <c r="C569" s="4">
        <v>59.2</v>
      </c>
      <c r="D569" s="4">
        <v>136.80000000000001</v>
      </c>
      <c r="E569" s="4">
        <v>46.6</v>
      </c>
      <c r="F569" s="4">
        <v>2.71</v>
      </c>
      <c r="G569" s="4">
        <v>39.1</v>
      </c>
      <c r="H569" s="4">
        <v>0.53</v>
      </c>
      <c r="I569" s="4">
        <v>28.6</v>
      </c>
      <c r="J569" s="4">
        <v>41.3</v>
      </c>
      <c r="K569" s="4">
        <v>5.55</v>
      </c>
      <c r="L569" s="4">
        <v>98.666666666666671</v>
      </c>
      <c r="M569" s="4">
        <v>136.80000000000001</v>
      </c>
      <c r="N569" s="4">
        <v>58.25</v>
      </c>
      <c r="O569" s="4">
        <v>6.7749999999999986</v>
      </c>
      <c r="P569" s="4">
        <v>97.75</v>
      </c>
      <c r="Q569" s="4">
        <v>26.5</v>
      </c>
      <c r="R569" s="4">
        <v>137</v>
      </c>
      <c r="S569" s="4" t="str" cm="1">
        <f t="array" ref="S569">_xlfn.IFS($R569&lt;=50,"Good",$R569&lt;=100,"Moderate",$R569&lt;=200,"Poor",$R569&lt;=300,"Very Poor",$R569&lt;=500,"Hazardous")</f>
        <v>Poor</v>
      </c>
      <c r="T569" t="s">
        <v>28</v>
      </c>
      <c r="X569" s="2"/>
      <c r="Y569" s="2"/>
    </row>
    <row r="570" spans="1:25" x14ac:dyDescent="0.3">
      <c r="A570" s="2">
        <v>45405</v>
      </c>
      <c r="B570" t="s">
        <v>23</v>
      </c>
      <c r="C570" s="4">
        <v>58.8</v>
      </c>
      <c r="D570" s="4">
        <v>35.700000000000003</v>
      </c>
      <c r="E570" s="4">
        <v>42.3</v>
      </c>
      <c r="F570" s="4">
        <v>10.6</v>
      </c>
      <c r="G570" s="4">
        <v>81.8</v>
      </c>
      <c r="H570" s="4">
        <v>0.85</v>
      </c>
      <c r="I570" s="4">
        <v>16.899999999999999</v>
      </c>
      <c r="J570" s="4">
        <v>64.7</v>
      </c>
      <c r="K570" s="4">
        <v>0.84</v>
      </c>
      <c r="L570" s="4">
        <v>97.999999999999986</v>
      </c>
      <c r="M570" s="4">
        <v>35.700000000000003</v>
      </c>
      <c r="N570" s="4">
        <v>52.875</v>
      </c>
      <c r="O570" s="4">
        <v>26.5</v>
      </c>
      <c r="P570" s="4">
        <v>204.5</v>
      </c>
      <c r="Q570" s="4">
        <v>42.499999999999993</v>
      </c>
      <c r="R570" s="4">
        <v>204</v>
      </c>
      <c r="S570" s="4" t="str" cm="1">
        <f t="array" ref="S570">_xlfn.IFS($R570&lt;=50,"Good",$R570&lt;=100,"Moderate",$R570&lt;=200,"Poor",$R570&lt;=300,"Very Poor",$R570&lt;=500,"Hazardous")</f>
        <v>Very Poor</v>
      </c>
      <c r="T570" t="s">
        <v>27</v>
      </c>
      <c r="X570" s="2"/>
      <c r="Y570" s="2"/>
    </row>
    <row r="571" spans="1:25" x14ac:dyDescent="0.3">
      <c r="A571" s="2">
        <v>45405</v>
      </c>
      <c r="B571" t="s">
        <v>24</v>
      </c>
      <c r="C571" s="4">
        <v>51.6</v>
      </c>
      <c r="D571" s="4">
        <v>115</v>
      </c>
      <c r="E571" s="4">
        <v>48</v>
      </c>
      <c r="F571" s="4">
        <v>12.59</v>
      </c>
      <c r="G571" s="4">
        <v>25.2</v>
      </c>
      <c r="H571" s="4">
        <v>1.1399999999999999</v>
      </c>
      <c r="I571" s="4">
        <v>27.9</v>
      </c>
      <c r="J571" s="4">
        <v>52.7</v>
      </c>
      <c r="K571" s="4">
        <v>3.12</v>
      </c>
      <c r="L571" s="4">
        <v>86</v>
      </c>
      <c r="M571" s="4">
        <v>115</v>
      </c>
      <c r="N571" s="4">
        <v>60</v>
      </c>
      <c r="O571" s="4">
        <v>31.475000000000001</v>
      </c>
      <c r="P571" s="4">
        <v>63</v>
      </c>
      <c r="Q571" s="4">
        <v>56.999999999999993</v>
      </c>
      <c r="R571" s="4">
        <v>115</v>
      </c>
      <c r="S571" s="4" t="str" cm="1">
        <f t="array" ref="S571">_xlfn.IFS($R571&lt;=50,"Good",$R571&lt;=100,"Moderate",$R571&lt;=200,"Poor",$R571&lt;=300,"Very Poor",$R571&lt;=500,"Hazardous")</f>
        <v>Poor</v>
      </c>
      <c r="T571" t="s">
        <v>28</v>
      </c>
      <c r="X571" s="2"/>
      <c r="Y571" s="2"/>
    </row>
    <row r="572" spans="1:25" x14ac:dyDescent="0.3">
      <c r="A572" s="2">
        <v>45406</v>
      </c>
      <c r="B572" t="s">
        <v>20</v>
      </c>
      <c r="C572" s="4">
        <v>84</v>
      </c>
      <c r="D572" s="4">
        <v>196.2</v>
      </c>
      <c r="E572" s="4">
        <v>60.8</v>
      </c>
      <c r="F572" s="4">
        <v>11.81</v>
      </c>
      <c r="G572" s="4">
        <v>1</v>
      </c>
      <c r="H572" s="4">
        <v>1.41</v>
      </c>
      <c r="I572" s="4">
        <v>31.4</v>
      </c>
      <c r="J572" s="4">
        <v>63.1</v>
      </c>
      <c r="K572" s="4">
        <v>1.67</v>
      </c>
      <c r="L572" s="4">
        <v>140</v>
      </c>
      <c r="M572" s="4">
        <v>196.2</v>
      </c>
      <c r="N572" s="4">
        <v>76</v>
      </c>
      <c r="O572" s="4">
        <v>29.524999999999999</v>
      </c>
      <c r="P572" s="4">
        <v>2.5</v>
      </c>
      <c r="Q572" s="4">
        <v>70.5</v>
      </c>
      <c r="R572" s="4">
        <v>196</v>
      </c>
      <c r="S572" s="4" t="str" cm="1">
        <f t="array" ref="S572">_xlfn.IFS($R572&lt;=50,"Good",$R572&lt;=100,"Moderate",$R572&lt;=200,"Poor",$R572&lt;=300,"Very Poor",$R572&lt;=500,"Hazardous")</f>
        <v>Poor</v>
      </c>
      <c r="T572" t="s">
        <v>28</v>
      </c>
      <c r="X572" s="2"/>
      <c r="Y572" s="2"/>
    </row>
    <row r="573" spans="1:25" x14ac:dyDescent="0.3">
      <c r="A573" s="2">
        <v>45406</v>
      </c>
      <c r="B573" t="s">
        <v>21</v>
      </c>
      <c r="C573" s="4">
        <v>50.3</v>
      </c>
      <c r="D573" s="4">
        <v>106.9</v>
      </c>
      <c r="E573" s="4">
        <v>69.7</v>
      </c>
      <c r="F573" s="4">
        <v>16.46</v>
      </c>
      <c r="G573" s="4">
        <v>37.299999999999997</v>
      </c>
      <c r="H573" s="4">
        <v>2.1800000000000002</v>
      </c>
      <c r="I573" s="4">
        <v>28.9</v>
      </c>
      <c r="J573" s="4">
        <v>47.8</v>
      </c>
      <c r="K573" s="4">
        <v>2.25</v>
      </c>
      <c r="L573" s="4">
        <v>83.833333333333329</v>
      </c>
      <c r="M573" s="4">
        <v>106.9</v>
      </c>
      <c r="N573" s="4">
        <v>87.125000000000014</v>
      </c>
      <c r="O573" s="4">
        <v>41.15</v>
      </c>
      <c r="P573" s="4">
        <v>93.25</v>
      </c>
      <c r="Q573" s="4">
        <v>109</v>
      </c>
      <c r="R573" s="4">
        <v>109</v>
      </c>
      <c r="S573" s="4" t="str" cm="1">
        <f t="array" ref="S573">_xlfn.IFS($R573&lt;=50,"Good",$R573&lt;=100,"Moderate",$R573&lt;=200,"Poor",$R573&lt;=300,"Very Poor",$R573&lt;=500,"Hazardous")</f>
        <v>Poor</v>
      </c>
      <c r="T573" t="s">
        <v>29</v>
      </c>
      <c r="X573" s="2"/>
      <c r="Y573" s="2"/>
    </row>
    <row r="574" spans="1:25" x14ac:dyDescent="0.3">
      <c r="A574" s="2">
        <v>45406</v>
      </c>
      <c r="B574" t="s">
        <v>22</v>
      </c>
      <c r="C574" s="4">
        <v>78.3</v>
      </c>
      <c r="D574" s="4">
        <v>132.6</v>
      </c>
      <c r="E574" s="4">
        <v>86</v>
      </c>
      <c r="F574" s="4">
        <v>3.55</v>
      </c>
      <c r="G574" s="4">
        <v>50.3</v>
      </c>
      <c r="H574" s="4">
        <v>0.84</v>
      </c>
      <c r="I574" s="4">
        <v>21.9</v>
      </c>
      <c r="J574" s="4">
        <v>49.8</v>
      </c>
      <c r="K574" s="4">
        <v>2.66</v>
      </c>
      <c r="L574" s="4">
        <v>130.5</v>
      </c>
      <c r="M574" s="4">
        <v>132.6</v>
      </c>
      <c r="N574" s="4">
        <v>107.5</v>
      </c>
      <c r="O574" s="4">
        <v>8.875</v>
      </c>
      <c r="P574" s="4">
        <v>125.75</v>
      </c>
      <c r="Q574" s="4">
        <v>41.999999999999993</v>
      </c>
      <c r="R574" s="4">
        <v>133</v>
      </c>
      <c r="S574" s="4" t="str" cm="1">
        <f t="array" ref="S574">_xlfn.IFS($R574&lt;=50,"Good",$R574&lt;=100,"Moderate",$R574&lt;=200,"Poor",$R574&lt;=300,"Very Poor",$R574&lt;=500,"Hazardous")</f>
        <v>Poor</v>
      </c>
      <c r="T574" t="s">
        <v>28</v>
      </c>
      <c r="X574" s="2"/>
      <c r="Y574" s="2"/>
    </row>
    <row r="575" spans="1:25" x14ac:dyDescent="0.3">
      <c r="A575" s="2">
        <v>45406</v>
      </c>
      <c r="B575" t="s">
        <v>23</v>
      </c>
      <c r="C575" s="4">
        <v>147.5</v>
      </c>
      <c r="D575" s="4">
        <v>109</v>
      </c>
      <c r="E575" s="4">
        <v>22.4</v>
      </c>
      <c r="F575" s="4">
        <v>9.3699999999999992</v>
      </c>
      <c r="G575" s="4">
        <v>1</v>
      </c>
      <c r="H575" s="4">
        <v>1.1399999999999999</v>
      </c>
      <c r="I575" s="4">
        <v>28.1</v>
      </c>
      <c r="J575" s="4">
        <v>64.3</v>
      </c>
      <c r="K575" s="4">
        <v>3.67</v>
      </c>
      <c r="L575" s="4">
        <v>245.83333333333329</v>
      </c>
      <c r="M575" s="4">
        <v>109</v>
      </c>
      <c r="N575" s="4">
        <v>28</v>
      </c>
      <c r="O575" s="4">
        <v>23.425000000000001</v>
      </c>
      <c r="P575" s="4">
        <v>2.5</v>
      </c>
      <c r="Q575" s="4">
        <v>56.999999999999993</v>
      </c>
      <c r="R575" s="4">
        <v>246</v>
      </c>
      <c r="S575" s="4" t="str" cm="1">
        <f t="array" ref="S575">_xlfn.IFS($R575&lt;=50,"Good",$R575&lt;=100,"Moderate",$R575&lt;=200,"Poor",$R575&lt;=300,"Very Poor",$R575&lt;=500,"Hazardous")</f>
        <v>Very Poor</v>
      </c>
      <c r="T575" t="s">
        <v>25</v>
      </c>
      <c r="X575" s="2"/>
      <c r="Y575" s="2"/>
    </row>
    <row r="576" spans="1:25" x14ac:dyDescent="0.3">
      <c r="A576" s="2">
        <v>45406</v>
      </c>
      <c r="B576" t="s">
        <v>24</v>
      </c>
      <c r="C576" s="4">
        <v>49.4</v>
      </c>
      <c r="D576" s="4">
        <v>122.1</v>
      </c>
      <c r="E576" s="4">
        <v>32.6</v>
      </c>
      <c r="F576" s="4">
        <v>2.6</v>
      </c>
      <c r="G576" s="4">
        <v>52.5</v>
      </c>
      <c r="H576" s="4">
        <v>0.48</v>
      </c>
      <c r="I576" s="4">
        <v>25.1</v>
      </c>
      <c r="J576" s="4">
        <v>32.1</v>
      </c>
      <c r="K576" s="4">
        <v>3.66</v>
      </c>
      <c r="L576" s="4">
        <v>82.333333333333329</v>
      </c>
      <c r="M576" s="4">
        <v>122.1</v>
      </c>
      <c r="N576" s="4">
        <v>40.75</v>
      </c>
      <c r="O576" s="4">
        <v>6.5000000000000009</v>
      </c>
      <c r="P576" s="4">
        <v>131.25</v>
      </c>
      <c r="Q576" s="4">
        <v>24</v>
      </c>
      <c r="R576" s="4">
        <v>131</v>
      </c>
      <c r="S576" s="4" t="str" cm="1">
        <f t="array" ref="S576">_xlfn.IFS($R576&lt;=50,"Good",$R576&lt;=100,"Moderate",$R576&lt;=200,"Poor",$R576&lt;=300,"Very Poor",$R576&lt;=500,"Hazardous")</f>
        <v>Poor</v>
      </c>
      <c r="T576" t="s">
        <v>27</v>
      </c>
      <c r="X576" s="2"/>
      <c r="Y576" s="2"/>
    </row>
    <row r="577" spans="1:25" x14ac:dyDescent="0.3">
      <c r="A577" s="2">
        <v>45407</v>
      </c>
      <c r="B577" t="s">
        <v>20</v>
      </c>
      <c r="C577" s="4">
        <v>131.1</v>
      </c>
      <c r="D577" s="4">
        <v>48.2</v>
      </c>
      <c r="E577" s="4">
        <v>9.1</v>
      </c>
      <c r="F577" s="4">
        <v>8.48</v>
      </c>
      <c r="G577" s="4">
        <v>46.5</v>
      </c>
      <c r="H577" s="4">
        <v>1.53</v>
      </c>
      <c r="I577" s="4">
        <v>24.9</v>
      </c>
      <c r="J577" s="4">
        <v>46.4</v>
      </c>
      <c r="K577" s="4">
        <v>2.94</v>
      </c>
      <c r="L577" s="4">
        <v>218.5</v>
      </c>
      <c r="M577" s="4">
        <v>48.2</v>
      </c>
      <c r="N577" s="4">
        <v>11.375</v>
      </c>
      <c r="O577" s="4">
        <v>21.2</v>
      </c>
      <c r="P577" s="4">
        <v>116.25</v>
      </c>
      <c r="Q577" s="4">
        <v>76.5</v>
      </c>
      <c r="R577" s="4">
        <v>218</v>
      </c>
      <c r="S577" s="4" t="str" cm="1">
        <f t="array" ref="S577">_xlfn.IFS($R577&lt;=50,"Good",$R577&lt;=100,"Moderate",$R577&lt;=200,"Poor",$R577&lt;=300,"Very Poor",$R577&lt;=500,"Hazardous")</f>
        <v>Very Poor</v>
      </c>
      <c r="T577" t="s">
        <v>25</v>
      </c>
      <c r="X577" s="2"/>
      <c r="Y577" s="2"/>
    </row>
    <row r="578" spans="1:25" x14ac:dyDescent="0.3">
      <c r="A578" s="2">
        <v>45407</v>
      </c>
      <c r="B578" t="s">
        <v>21</v>
      </c>
      <c r="C578" s="4">
        <v>114</v>
      </c>
      <c r="D578" s="4">
        <v>5</v>
      </c>
      <c r="E578" s="4">
        <v>47</v>
      </c>
      <c r="F578" s="4">
        <v>11.34</v>
      </c>
      <c r="G578" s="4">
        <v>21.3</v>
      </c>
      <c r="H578" s="4">
        <v>2.8</v>
      </c>
      <c r="I578" s="4">
        <v>23.6</v>
      </c>
      <c r="J578" s="4">
        <v>49.3</v>
      </c>
      <c r="K578" s="4">
        <v>3.17</v>
      </c>
      <c r="L578" s="4">
        <v>190</v>
      </c>
      <c r="M578" s="4">
        <v>5</v>
      </c>
      <c r="N578" s="4">
        <v>58.75</v>
      </c>
      <c r="O578" s="4">
        <v>28.35</v>
      </c>
      <c r="P578" s="4">
        <v>53.25</v>
      </c>
      <c r="Q578" s="4">
        <v>140</v>
      </c>
      <c r="R578" s="4">
        <v>190</v>
      </c>
      <c r="S578" s="4" t="str" cm="1">
        <f t="array" ref="S578">_xlfn.IFS($R578&lt;=50,"Good",$R578&lt;=100,"Moderate",$R578&lt;=200,"Poor",$R578&lt;=300,"Very Poor",$R578&lt;=500,"Hazardous")</f>
        <v>Poor</v>
      </c>
      <c r="T578" t="s">
        <v>25</v>
      </c>
      <c r="X578" s="2"/>
      <c r="Y578" s="2"/>
    </row>
    <row r="579" spans="1:25" x14ac:dyDescent="0.3">
      <c r="A579" s="2">
        <v>45407</v>
      </c>
      <c r="B579" t="s">
        <v>22</v>
      </c>
      <c r="C579" s="4">
        <v>40.1</v>
      </c>
      <c r="D579" s="4">
        <v>8.6999999999999993</v>
      </c>
      <c r="E579" s="4">
        <v>34.6</v>
      </c>
      <c r="F579" s="4">
        <v>12.49</v>
      </c>
      <c r="G579" s="4">
        <v>30</v>
      </c>
      <c r="H579" s="4">
        <v>0.66</v>
      </c>
      <c r="I579" s="4">
        <v>34.5</v>
      </c>
      <c r="J579" s="4">
        <v>44</v>
      </c>
      <c r="K579" s="4">
        <v>1.89</v>
      </c>
      <c r="L579" s="4">
        <v>66.833333333333343</v>
      </c>
      <c r="M579" s="4">
        <v>8.6999999999999993</v>
      </c>
      <c r="N579" s="4">
        <v>43.250000000000007</v>
      </c>
      <c r="O579" s="4">
        <v>31.225000000000001</v>
      </c>
      <c r="P579" s="4">
        <v>75</v>
      </c>
      <c r="Q579" s="4">
        <v>33</v>
      </c>
      <c r="R579" s="4">
        <v>75</v>
      </c>
      <c r="S579" s="4" t="str" cm="1">
        <f t="array" ref="S579">_xlfn.IFS($R579&lt;=50,"Good",$R579&lt;=100,"Moderate",$R579&lt;=200,"Poor",$R579&lt;=300,"Very Poor",$R579&lt;=500,"Hazardous")</f>
        <v>Moderate</v>
      </c>
      <c r="T579" t="s">
        <v>27</v>
      </c>
      <c r="X579" s="2"/>
      <c r="Y579" s="2"/>
    </row>
    <row r="580" spans="1:25" x14ac:dyDescent="0.3">
      <c r="A580" s="2">
        <v>45407</v>
      </c>
      <c r="B580" t="s">
        <v>23</v>
      </c>
      <c r="C580" s="4">
        <v>64.5</v>
      </c>
      <c r="D580" s="4">
        <v>166.2</v>
      </c>
      <c r="E580" s="4">
        <v>92.6</v>
      </c>
      <c r="F580" s="4">
        <v>12.14</v>
      </c>
      <c r="G580" s="4">
        <v>69</v>
      </c>
      <c r="H580" s="4">
        <v>0.9</v>
      </c>
      <c r="I580" s="4">
        <v>20.8</v>
      </c>
      <c r="J580" s="4">
        <v>51.1</v>
      </c>
      <c r="K580" s="4">
        <v>2.63</v>
      </c>
      <c r="L580" s="4">
        <v>107.5</v>
      </c>
      <c r="M580" s="4">
        <v>166.2</v>
      </c>
      <c r="N580" s="4">
        <v>115.75</v>
      </c>
      <c r="O580" s="4">
        <v>30.35</v>
      </c>
      <c r="P580" s="4">
        <v>172.5</v>
      </c>
      <c r="Q580" s="4">
        <v>45</v>
      </c>
      <c r="R580" s="4">
        <v>172</v>
      </c>
      <c r="S580" s="4" t="str" cm="1">
        <f t="array" ref="S580">_xlfn.IFS($R580&lt;=50,"Good",$R580&lt;=100,"Moderate",$R580&lt;=200,"Poor",$R580&lt;=300,"Very Poor",$R580&lt;=500,"Hazardous")</f>
        <v>Poor</v>
      </c>
      <c r="T580" t="s">
        <v>27</v>
      </c>
      <c r="X580" s="2"/>
      <c r="Y580" s="2"/>
    </row>
    <row r="581" spans="1:25" x14ac:dyDescent="0.3">
      <c r="A581" s="2">
        <v>45407</v>
      </c>
      <c r="B581" t="s">
        <v>24</v>
      </c>
      <c r="C581" s="4">
        <v>30.4</v>
      </c>
      <c r="D581" s="4">
        <v>120.4</v>
      </c>
      <c r="E581" s="4">
        <v>58.3</v>
      </c>
      <c r="F581" s="4">
        <v>10.78</v>
      </c>
      <c r="G581" s="4">
        <v>57.9</v>
      </c>
      <c r="H581" s="4">
        <v>1.51</v>
      </c>
      <c r="I581" s="4">
        <v>24.5</v>
      </c>
      <c r="J581" s="4">
        <v>40.700000000000003</v>
      </c>
      <c r="K581" s="4">
        <v>1.56</v>
      </c>
      <c r="L581" s="4">
        <v>50.666666666666657</v>
      </c>
      <c r="M581" s="4">
        <v>120.4</v>
      </c>
      <c r="N581" s="4">
        <v>72.875</v>
      </c>
      <c r="O581" s="4">
        <v>26.95</v>
      </c>
      <c r="P581" s="4">
        <v>144.75</v>
      </c>
      <c r="Q581" s="4">
        <v>75.5</v>
      </c>
      <c r="R581" s="4">
        <v>145</v>
      </c>
      <c r="S581" s="4" t="str" cm="1">
        <f t="array" ref="S581">_xlfn.IFS($R581&lt;=50,"Good",$R581&lt;=100,"Moderate",$R581&lt;=200,"Poor",$R581&lt;=300,"Very Poor",$R581&lt;=500,"Hazardous")</f>
        <v>Poor</v>
      </c>
      <c r="T581" t="s">
        <v>27</v>
      </c>
      <c r="X581" s="2"/>
      <c r="Y581" s="2"/>
    </row>
    <row r="582" spans="1:25" x14ac:dyDescent="0.3">
      <c r="A582" s="2">
        <v>45408</v>
      </c>
      <c r="B582" t="s">
        <v>20</v>
      </c>
      <c r="C582" s="4">
        <v>130.6</v>
      </c>
      <c r="D582" s="4">
        <v>138.9</v>
      </c>
      <c r="E582" s="4">
        <v>46.6</v>
      </c>
      <c r="F582" s="4">
        <v>3.86</v>
      </c>
      <c r="G582" s="4">
        <v>130.4</v>
      </c>
      <c r="H582" s="4">
        <v>0.64</v>
      </c>
      <c r="I582" s="4">
        <v>25</v>
      </c>
      <c r="J582" s="4">
        <v>57.5</v>
      </c>
      <c r="K582" s="4">
        <v>3.22</v>
      </c>
      <c r="L582" s="4">
        <v>217.66666666666671</v>
      </c>
      <c r="M582" s="4">
        <v>138.9</v>
      </c>
      <c r="N582" s="4">
        <v>58.25</v>
      </c>
      <c r="O582" s="4">
        <v>9.6499999999999986</v>
      </c>
      <c r="P582" s="4">
        <v>326</v>
      </c>
      <c r="Q582" s="4">
        <v>32</v>
      </c>
      <c r="R582" s="4">
        <v>326</v>
      </c>
      <c r="S582" s="4" t="str" cm="1">
        <f t="array" ref="S582">_xlfn.IFS($R582&lt;=50,"Good",$R582&lt;=100,"Moderate",$R582&lt;=200,"Poor",$R582&lt;=300,"Very Poor",$R582&lt;=500,"Hazardous")</f>
        <v>Hazardous</v>
      </c>
      <c r="T582" t="s">
        <v>27</v>
      </c>
      <c r="X582" s="2"/>
      <c r="Y582" s="2"/>
    </row>
    <row r="583" spans="1:25" x14ac:dyDescent="0.3">
      <c r="A583" s="2">
        <v>45408</v>
      </c>
      <c r="B583" t="s">
        <v>21</v>
      </c>
      <c r="C583" s="4">
        <v>110.9</v>
      </c>
      <c r="D583" s="4">
        <v>285.60000000000002</v>
      </c>
      <c r="E583" s="4">
        <v>68.900000000000006</v>
      </c>
      <c r="F583" s="4">
        <v>3.4</v>
      </c>
      <c r="G583" s="4">
        <v>42</v>
      </c>
      <c r="H583" s="4">
        <v>1.73</v>
      </c>
      <c r="I583" s="4">
        <v>42.5</v>
      </c>
      <c r="J583" s="4">
        <v>24.8</v>
      </c>
      <c r="K583" s="4">
        <v>3.94</v>
      </c>
      <c r="L583" s="4">
        <v>184.83333333333329</v>
      </c>
      <c r="M583" s="4">
        <v>285.60000000000002</v>
      </c>
      <c r="N583" s="4">
        <v>86.125</v>
      </c>
      <c r="O583" s="4">
        <v>8.5</v>
      </c>
      <c r="P583" s="4">
        <v>105</v>
      </c>
      <c r="Q583" s="4">
        <v>86.5</v>
      </c>
      <c r="R583" s="4">
        <v>286</v>
      </c>
      <c r="S583" s="4" t="str" cm="1">
        <f t="array" ref="S583">_xlfn.IFS($R583&lt;=50,"Good",$R583&lt;=100,"Moderate",$R583&lt;=200,"Poor",$R583&lt;=300,"Very Poor",$R583&lt;=500,"Hazardous")</f>
        <v>Very Poor</v>
      </c>
      <c r="T583" t="s">
        <v>28</v>
      </c>
      <c r="X583" s="2"/>
      <c r="Y583" s="2"/>
    </row>
    <row r="584" spans="1:25" x14ac:dyDescent="0.3">
      <c r="A584" s="2">
        <v>45408</v>
      </c>
      <c r="B584" t="s">
        <v>22</v>
      </c>
      <c r="C584" s="4">
        <v>62.1</v>
      </c>
      <c r="D584" s="4">
        <v>161.80000000000001</v>
      </c>
      <c r="E584" s="4">
        <v>40.799999999999997</v>
      </c>
      <c r="F584" s="4">
        <v>3.6</v>
      </c>
      <c r="G584" s="4">
        <v>55.8</v>
      </c>
      <c r="H584" s="4">
        <v>1.51</v>
      </c>
      <c r="I584" s="4">
        <v>34.799999999999997</v>
      </c>
      <c r="J584" s="4">
        <v>49.8</v>
      </c>
      <c r="K584" s="4">
        <v>1.78</v>
      </c>
      <c r="L584" s="4">
        <v>103.5</v>
      </c>
      <c r="M584" s="4">
        <v>161.80000000000001</v>
      </c>
      <c r="N584" s="4">
        <v>51</v>
      </c>
      <c r="O584" s="4">
        <v>9.0000000000000018</v>
      </c>
      <c r="P584" s="4">
        <v>139.5</v>
      </c>
      <c r="Q584" s="4">
        <v>75.5</v>
      </c>
      <c r="R584" s="4">
        <v>162</v>
      </c>
      <c r="S584" s="4" t="str" cm="1">
        <f t="array" ref="S584">_xlfn.IFS($R584&lt;=50,"Good",$R584&lt;=100,"Moderate",$R584&lt;=200,"Poor",$R584&lt;=300,"Very Poor",$R584&lt;=500,"Hazardous")</f>
        <v>Poor</v>
      </c>
      <c r="T584" t="s">
        <v>28</v>
      </c>
      <c r="X584" s="2"/>
      <c r="Y584" s="2"/>
    </row>
    <row r="585" spans="1:25" x14ac:dyDescent="0.3">
      <c r="A585" s="2">
        <v>45408</v>
      </c>
      <c r="B585" t="s">
        <v>23</v>
      </c>
      <c r="C585" s="4">
        <v>13.2</v>
      </c>
      <c r="D585" s="4">
        <v>169.2</v>
      </c>
      <c r="E585" s="4">
        <v>53.5</v>
      </c>
      <c r="F585" s="4">
        <v>3.17</v>
      </c>
      <c r="G585" s="4">
        <v>26.5</v>
      </c>
      <c r="H585" s="4">
        <v>0.92</v>
      </c>
      <c r="I585" s="4">
        <v>17.600000000000001</v>
      </c>
      <c r="J585" s="4">
        <v>35.299999999999997</v>
      </c>
      <c r="K585" s="4">
        <v>1.1399999999999999</v>
      </c>
      <c r="L585" s="4">
        <v>22</v>
      </c>
      <c r="M585" s="4">
        <v>169.2</v>
      </c>
      <c r="N585" s="4">
        <v>66.875</v>
      </c>
      <c r="O585" s="4">
        <v>7.9249999999999998</v>
      </c>
      <c r="P585" s="4">
        <v>66.25</v>
      </c>
      <c r="Q585" s="4">
        <v>46</v>
      </c>
      <c r="R585" s="4">
        <v>169</v>
      </c>
      <c r="S585" s="4" t="str" cm="1">
        <f t="array" ref="S585">_xlfn.IFS($R585&lt;=50,"Good",$R585&lt;=100,"Moderate",$R585&lt;=200,"Poor",$R585&lt;=300,"Very Poor",$R585&lt;=500,"Hazardous")</f>
        <v>Poor</v>
      </c>
      <c r="T585" t="s">
        <v>28</v>
      </c>
      <c r="X585" s="2"/>
      <c r="Y585" s="2"/>
    </row>
    <row r="586" spans="1:25" x14ac:dyDescent="0.3">
      <c r="A586" s="2">
        <v>45408</v>
      </c>
      <c r="B586" t="s">
        <v>24</v>
      </c>
      <c r="C586" s="4">
        <v>52.4</v>
      </c>
      <c r="D586" s="4">
        <v>83.2</v>
      </c>
      <c r="E586" s="4">
        <v>13.7</v>
      </c>
      <c r="F586" s="4">
        <v>19.920000000000002</v>
      </c>
      <c r="G586" s="4">
        <v>78.400000000000006</v>
      </c>
      <c r="H586" s="4">
        <v>0.81</v>
      </c>
      <c r="I586" s="4">
        <v>29.9</v>
      </c>
      <c r="J586" s="4">
        <v>57.5</v>
      </c>
      <c r="K586" s="4">
        <v>4.43</v>
      </c>
      <c r="L586" s="4">
        <v>87.333333333333329</v>
      </c>
      <c r="M586" s="4">
        <v>83.2</v>
      </c>
      <c r="N586" s="4">
        <v>17.125</v>
      </c>
      <c r="O586" s="4">
        <v>49.8</v>
      </c>
      <c r="P586" s="4">
        <v>196</v>
      </c>
      <c r="Q586" s="4">
        <v>40.5</v>
      </c>
      <c r="R586" s="4">
        <v>196</v>
      </c>
      <c r="S586" s="4" t="str" cm="1">
        <f t="array" ref="S586">_xlfn.IFS($R586&lt;=50,"Good",$R586&lt;=100,"Moderate",$R586&lt;=200,"Poor",$R586&lt;=300,"Very Poor",$R586&lt;=500,"Hazardous")</f>
        <v>Poor</v>
      </c>
      <c r="T586" t="s">
        <v>27</v>
      </c>
      <c r="X586" s="2"/>
      <c r="Y586" s="2"/>
    </row>
    <row r="587" spans="1:25" x14ac:dyDescent="0.3">
      <c r="A587" s="2">
        <v>45409</v>
      </c>
      <c r="B587" t="s">
        <v>20</v>
      </c>
      <c r="C587" s="4">
        <v>40.799999999999997</v>
      </c>
      <c r="D587" s="4">
        <v>213.4</v>
      </c>
      <c r="E587" s="4">
        <v>39.1</v>
      </c>
      <c r="F587" s="4">
        <v>1.52</v>
      </c>
      <c r="G587" s="4">
        <v>66.8</v>
      </c>
      <c r="H587" s="4">
        <v>2.27</v>
      </c>
      <c r="I587" s="4">
        <v>46.1</v>
      </c>
      <c r="J587" s="4">
        <v>28.4</v>
      </c>
      <c r="K587" s="4">
        <v>3.34</v>
      </c>
      <c r="L587" s="4">
        <v>67.999999999999986</v>
      </c>
      <c r="M587" s="4">
        <v>213.4</v>
      </c>
      <c r="N587" s="4">
        <v>48.875</v>
      </c>
      <c r="O587" s="4">
        <v>3.8</v>
      </c>
      <c r="P587" s="4">
        <v>167</v>
      </c>
      <c r="Q587" s="4">
        <v>113.5</v>
      </c>
      <c r="R587" s="4">
        <v>213</v>
      </c>
      <c r="S587" s="4" t="str" cm="1">
        <f t="array" ref="S587">_xlfn.IFS($R587&lt;=50,"Good",$R587&lt;=100,"Moderate",$R587&lt;=200,"Poor",$R587&lt;=300,"Very Poor",$R587&lt;=500,"Hazardous")</f>
        <v>Very Poor</v>
      </c>
      <c r="T587" t="s">
        <v>28</v>
      </c>
      <c r="X587" s="2"/>
      <c r="Y587" s="2"/>
    </row>
    <row r="588" spans="1:25" x14ac:dyDescent="0.3">
      <c r="A588" s="2">
        <v>45409</v>
      </c>
      <c r="B588" t="s">
        <v>21</v>
      </c>
      <c r="C588" s="4">
        <v>59.6</v>
      </c>
      <c r="D588" s="4">
        <v>208.8</v>
      </c>
      <c r="E588" s="4">
        <v>19.5</v>
      </c>
      <c r="F588" s="4">
        <v>2.11</v>
      </c>
      <c r="G588" s="4">
        <v>25.8</v>
      </c>
      <c r="H588" s="4">
        <v>1.56</v>
      </c>
      <c r="I588" s="4">
        <v>23.5</v>
      </c>
      <c r="J588" s="4">
        <v>61.9</v>
      </c>
      <c r="K588" s="4">
        <v>3.73</v>
      </c>
      <c r="L588" s="4">
        <v>99.333333333333329</v>
      </c>
      <c r="M588" s="4">
        <v>208.8</v>
      </c>
      <c r="N588" s="4">
        <v>24.375</v>
      </c>
      <c r="O588" s="4">
        <v>5.2749999999999986</v>
      </c>
      <c r="P588" s="4">
        <v>64.5</v>
      </c>
      <c r="Q588" s="4">
        <v>78</v>
      </c>
      <c r="R588" s="4">
        <v>209</v>
      </c>
      <c r="S588" s="4" t="str" cm="1">
        <f t="array" ref="S588">_xlfn.IFS($R588&lt;=50,"Good",$R588&lt;=100,"Moderate",$R588&lt;=200,"Poor",$R588&lt;=300,"Very Poor",$R588&lt;=500,"Hazardous")</f>
        <v>Very Poor</v>
      </c>
      <c r="T588" t="s">
        <v>28</v>
      </c>
      <c r="X588" s="2"/>
      <c r="Y588" s="2"/>
    </row>
    <row r="589" spans="1:25" x14ac:dyDescent="0.3">
      <c r="A589" s="2">
        <v>45409</v>
      </c>
      <c r="B589" t="s">
        <v>22</v>
      </c>
      <c r="C589" s="4">
        <v>74.099999999999994</v>
      </c>
      <c r="D589" s="4">
        <v>206.3</v>
      </c>
      <c r="E589" s="4">
        <v>50.7</v>
      </c>
      <c r="F589" s="4">
        <v>1.82</v>
      </c>
      <c r="G589" s="4">
        <v>70.400000000000006</v>
      </c>
      <c r="H589" s="4">
        <v>0.8</v>
      </c>
      <c r="I589" s="4">
        <v>34.4</v>
      </c>
      <c r="J589" s="4">
        <v>78.3</v>
      </c>
      <c r="K589" s="4">
        <v>3.05</v>
      </c>
      <c r="L589" s="4">
        <v>123.5</v>
      </c>
      <c r="M589" s="4">
        <v>206.3</v>
      </c>
      <c r="N589" s="4">
        <v>63.375</v>
      </c>
      <c r="O589" s="4">
        <v>4.55</v>
      </c>
      <c r="P589" s="4">
        <v>176</v>
      </c>
      <c r="Q589" s="4">
        <v>40</v>
      </c>
      <c r="R589" s="4">
        <v>206</v>
      </c>
      <c r="S589" s="4" t="str" cm="1">
        <f t="array" ref="S589">_xlfn.IFS($R589&lt;=50,"Good",$R589&lt;=100,"Moderate",$R589&lt;=200,"Poor",$R589&lt;=300,"Very Poor",$R589&lt;=500,"Hazardous")</f>
        <v>Very Poor</v>
      </c>
      <c r="T589" t="s">
        <v>28</v>
      </c>
      <c r="X589" s="2"/>
      <c r="Y589" s="2"/>
    </row>
    <row r="590" spans="1:25" x14ac:dyDescent="0.3">
      <c r="A590" s="2">
        <v>45409</v>
      </c>
      <c r="B590" t="s">
        <v>23</v>
      </c>
      <c r="C590" s="4">
        <v>15.1</v>
      </c>
      <c r="D590" s="4">
        <v>64.900000000000006</v>
      </c>
      <c r="E590" s="4">
        <v>71.5</v>
      </c>
      <c r="F590" s="4">
        <v>7.15</v>
      </c>
      <c r="G590" s="4">
        <v>42</v>
      </c>
      <c r="H590" s="4">
        <v>1.66</v>
      </c>
      <c r="I590" s="4">
        <v>32.9</v>
      </c>
      <c r="J590" s="4">
        <v>55</v>
      </c>
      <c r="K590" s="4">
        <v>2.25</v>
      </c>
      <c r="L590" s="4">
        <v>25.166666666666671</v>
      </c>
      <c r="M590" s="4">
        <v>64.900000000000006</v>
      </c>
      <c r="N590" s="4">
        <v>89.375</v>
      </c>
      <c r="O590" s="4">
        <v>17.875</v>
      </c>
      <c r="P590" s="4">
        <v>105</v>
      </c>
      <c r="Q590" s="4">
        <v>82.999999999999986</v>
      </c>
      <c r="R590" s="4">
        <v>105</v>
      </c>
      <c r="S590" s="4" t="str" cm="1">
        <f t="array" ref="S590">_xlfn.IFS($R590&lt;=50,"Good",$R590&lt;=100,"Moderate",$R590&lt;=200,"Poor",$R590&lt;=300,"Very Poor",$R590&lt;=500,"Hazardous")</f>
        <v>Poor</v>
      </c>
      <c r="T590" t="s">
        <v>27</v>
      </c>
      <c r="X590" s="2"/>
      <c r="Y590" s="2"/>
    </row>
    <row r="591" spans="1:25" x14ac:dyDescent="0.3">
      <c r="A591" s="2">
        <v>45409</v>
      </c>
      <c r="B591" t="s">
        <v>24</v>
      </c>
      <c r="C591" s="4">
        <v>55.7</v>
      </c>
      <c r="D591" s="4">
        <v>188.6</v>
      </c>
      <c r="E591" s="4">
        <v>61.7</v>
      </c>
      <c r="F591" s="4">
        <v>7.38</v>
      </c>
      <c r="G591" s="4">
        <v>73.8</v>
      </c>
      <c r="H591" s="4">
        <v>1.23</v>
      </c>
      <c r="I591" s="4">
        <v>22</v>
      </c>
      <c r="J591" s="4">
        <v>36.299999999999997</v>
      </c>
      <c r="K591" s="4">
        <v>1.83</v>
      </c>
      <c r="L591" s="4">
        <v>92.833333333333343</v>
      </c>
      <c r="M591" s="4">
        <v>188.6</v>
      </c>
      <c r="N591" s="4">
        <v>77.125</v>
      </c>
      <c r="O591" s="4">
        <v>18.45</v>
      </c>
      <c r="P591" s="4">
        <v>184.5</v>
      </c>
      <c r="Q591" s="4">
        <v>61.5</v>
      </c>
      <c r="R591" s="4">
        <v>189</v>
      </c>
      <c r="S591" s="4" t="str" cm="1">
        <f t="array" ref="S591">_xlfn.IFS($R591&lt;=50,"Good",$R591&lt;=100,"Moderate",$R591&lt;=200,"Poor",$R591&lt;=300,"Very Poor",$R591&lt;=500,"Hazardous")</f>
        <v>Poor</v>
      </c>
      <c r="T591" t="s">
        <v>28</v>
      </c>
      <c r="X591" s="2"/>
      <c r="Y591" s="2"/>
    </row>
    <row r="592" spans="1:25" x14ac:dyDescent="0.3">
      <c r="A592" s="2">
        <v>45410</v>
      </c>
      <c r="B592" t="s">
        <v>20</v>
      </c>
      <c r="C592" s="4">
        <v>59.6</v>
      </c>
      <c r="D592" s="4">
        <v>223.1</v>
      </c>
      <c r="E592" s="4">
        <v>33.200000000000003</v>
      </c>
      <c r="F592" s="4">
        <v>10.28</v>
      </c>
      <c r="G592" s="4">
        <v>27.1</v>
      </c>
      <c r="H592" s="4">
        <v>1.2</v>
      </c>
      <c r="I592" s="4">
        <v>17.399999999999999</v>
      </c>
      <c r="J592" s="4">
        <v>46</v>
      </c>
      <c r="K592" s="4">
        <v>2.27</v>
      </c>
      <c r="L592" s="4">
        <v>99.333333333333329</v>
      </c>
      <c r="M592" s="4">
        <v>223.1</v>
      </c>
      <c r="N592" s="4">
        <v>41.5</v>
      </c>
      <c r="O592" s="4">
        <v>25.7</v>
      </c>
      <c r="P592" s="4">
        <v>67.75</v>
      </c>
      <c r="Q592" s="4">
        <v>60</v>
      </c>
      <c r="R592" s="4">
        <v>223</v>
      </c>
      <c r="S592" s="4" t="str" cm="1">
        <f t="array" ref="S592">_xlfn.IFS($R592&lt;=50,"Good",$R592&lt;=100,"Moderate",$R592&lt;=200,"Poor",$R592&lt;=300,"Very Poor",$R592&lt;=500,"Hazardous")</f>
        <v>Very Poor</v>
      </c>
      <c r="T592" t="s">
        <v>28</v>
      </c>
      <c r="X592" s="2"/>
      <c r="Y592" s="2"/>
    </row>
    <row r="593" spans="1:25" x14ac:dyDescent="0.3">
      <c r="A593" s="2">
        <v>45410</v>
      </c>
      <c r="B593" t="s">
        <v>21</v>
      </c>
      <c r="C593" s="4">
        <v>95.3</v>
      </c>
      <c r="D593" s="4">
        <v>166.7</v>
      </c>
      <c r="E593" s="4">
        <v>26.3</v>
      </c>
      <c r="F593" s="4">
        <v>16.78</v>
      </c>
      <c r="G593" s="4">
        <v>56.6</v>
      </c>
      <c r="H593" s="4">
        <v>1.65</v>
      </c>
      <c r="I593" s="4">
        <v>27.9</v>
      </c>
      <c r="J593" s="4">
        <v>40.700000000000003</v>
      </c>
      <c r="K593" s="4">
        <v>2.76</v>
      </c>
      <c r="L593" s="4">
        <v>158.83333333333329</v>
      </c>
      <c r="M593" s="4">
        <v>166.7</v>
      </c>
      <c r="N593" s="4">
        <v>32.875</v>
      </c>
      <c r="O593" s="4">
        <v>41.95</v>
      </c>
      <c r="P593" s="4">
        <v>141.5</v>
      </c>
      <c r="Q593" s="4">
        <v>82.499999999999986</v>
      </c>
      <c r="R593" s="4">
        <v>167</v>
      </c>
      <c r="S593" s="4" t="str" cm="1">
        <f t="array" ref="S593">_xlfn.IFS($R593&lt;=50,"Good",$R593&lt;=100,"Moderate",$R593&lt;=200,"Poor",$R593&lt;=300,"Very Poor",$R593&lt;=500,"Hazardous")</f>
        <v>Poor</v>
      </c>
      <c r="T593" t="s">
        <v>28</v>
      </c>
      <c r="X593" s="2"/>
      <c r="Y593" s="2"/>
    </row>
    <row r="594" spans="1:25" x14ac:dyDescent="0.3">
      <c r="A594" s="2">
        <v>45410</v>
      </c>
      <c r="B594" t="s">
        <v>22</v>
      </c>
      <c r="C594" s="4">
        <v>70.599999999999994</v>
      </c>
      <c r="D594" s="4">
        <v>14.4</v>
      </c>
      <c r="E594" s="4">
        <v>32.5</v>
      </c>
      <c r="F594" s="4">
        <v>6.39</v>
      </c>
      <c r="G594" s="4">
        <v>44.1</v>
      </c>
      <c r="H594" s="4">
        <v>1.82</v>
      </c>
      <c r="I594" s="4">
        <v>22.6</v>
      </c>
      <c r="J594" s="4">
        <v>41</v>
      </c>
      <c r="K594" s="4">
        <v>1.88</v>
      </c>
      <c r="L594" s="4">
        <v>117.6666666666667</v>
      </c>
      <c r="M594" s="4">
        <v>14.4</v>
      </c>
      <c r="N594" s="4">
        <v>40.625</v>
      </c>
      <c r="O594" s="4">
        <v>15.975</v>
      </c>
      <c r="P594" s="4">
        <v>110.25</v>
      </c>
      <c r="Q594" s="4">
        <v>91</v>
      </c>
      <c r="R594" s="4">
        <v>118</v>
      </c>
      <c r="S594" s="4" t="str" cm="1">
        <f t="array" ref="S594">_xlfn.IFS($R594&lt;=50,"Good",$R594&lt;=100,"Moderate",$R594&lt;=200,"Poor",$R594&lt;=300,"Very Poor",$R594&lt;=500,"Hazardous")</f>
        <v>Poor</v>
      </c>
      <c r="T594" t="s">
        <v>25</v>
      </c>
      <c r="X594" s="2"/>
      <c r="Y594" s="2"/>
    </row>
    <row r="595" spans="1:25" x14ac:dyDescent="0.3">
      <c r="A595" s="2">
        <v>45410</v>
      </c>
      <c r="B595" t="s">
        <v>23</v>
      </c>
      <c r="C595" s="4">
        <v>36</v>
      </c>
      <c r="D595" s="4">
        <v>99.2</v>
      </c>
      <c r="E595" s="4">
        <v>60.4</v>
      </c>
      <c r="F595" s="4">
        <v>2.73</v>
      </c>
      <c r="G595" s="4">
        <v>50.7</v>
      </c>
      <c r="H595" s="4">
        <v>0.18</v>
      </c>
      <c r="I595" s="4">
        <v>24.1</v>
      </c>
      <c r="J595" s="4">
        <v>44.1</v>
      </c>
      <c r="K595" s="4">
        <v>4.51</v>
      </c>
      <c r="L595" s="4">
        <v>60</v>
      </c>
      <c r="M595" s="4">
        <v>99.2</v>
      </c>
      <c r="N595" s="4">
        <v>75.5</v>
      </c>
      <c r="O595" s="4">
        <v>6.8250000000000002</v>
      </c>
      <c r="P595" s="4">
        <v>126.75</v>
      </c>
      <c r="Q595" s="4">
        <v>9</v>
      </c>
      <c r="R595" s="4">
        <v>127</v>
      </c>
      <c r="S595" s="4" t="str" cm="1">
        <f t="array" ref="S595">_xlfn.IFS($R595&lt;=50,"Good",$R595&lt;=100,"Moderate",$R595&lt;=200,"Poor",$R595&lt;=300,"Very Poor",$R595&lt;=500,"Hazardous")</f>
        <v>Poor</v>
      </c>
      <c r="T595" t="s">
        <v>27</v>
      </c>
      <c r="X595" s="2"/>
      <c r="Y595" s="2"/>
    </row>
    <row r="596" spans="1:25" x14ac:dyDescent="0.3">
      <c r="A596" s="2">
        <v>45410</v>
      </c>
      <c r="B596" t="s">
        <v>24</v>
      </c>
      <c r="C596" s="4">
        <v>56.9</v>
      </c>
      <c r="D596" s="4">
        <v>5</v>
      </c>
      <c r="E596" s="4">
        <v>5.5</v>
      </c>
      <c r="F596" s="4">
        <v>8.99</v>
      </c>
      <c r="G596" s="4">
        <v>60.9</v>
      </c>
      <c r="H596" s="4">
        <v>1.57</v>
      </c>
      <c r="I596" s="4">
        <v>29.2</v>
      </c>
      <c r="J596" s="4">
        <v>70.900000000000006</v>
      </c>
      <c r="K596" s="4">
        <v>2.35</v>
      </c>
      <c r="L596" s="4">
        <v>94.833333333333329</v>
      </c>
      <c r="M596" s="4">
        <v>5</v>
      </c>
      <c r="N596" s="4">
        <v>6.875</v>
      </c>
      <c r="O596" s="4">
        <v>22.475000000000001</v>
      </c>
      <c r="P596" s="4">
        <v>152.25</v>
      </c>
      <c r="Q596" s="4">
        <v>78.5</v>
      </c>
      <c r="R596" s="4">
        <v>152</v>
      </c>
      <c r="S596" s="4" t="str" cm="1">
        <f t="array" ref="S596">_xlfn.IFS($R596&lt;=50,"Good",$R596&lt;=100,"Moderate",$R596&lt;=200,"Poor",$R596&lt;=300,"Very Poor",$R596&lt;=500,"Hazardous")</f>
        <v>Poor</v>
      </c>
      <c r="T596" t="s">
        <v>27</v>
      </c>
      <c r="X596" s="2"/>
      <c r="Y596" s="2"/>
    </row>
    <row r="597" spans="1:25" x14ac:dyDescent="0.3">
      <c r="A597" s="2">
        <v>45411</v>
      </c>
      <c r="B597" t="s">
        <v>20</v>
      </c>
      <c r="C597" s="4">
        <v>99.9</v>
      </c>
      <c r="D597" s="4">
        <v>25.4</v>
      </c>
      <c r="E597" s="4">
        <v>30.9</v>
      </c>
      <c r="F597" s="4">
        <v>0.5</v>
      </c>
      <c r="G597" s="4">
        <v>38.1</v>
      </c>
      <c r="H597" s="4">
        <v>1.35</v>
      </c>
      <c r="I597" s="4">
        <v>28.8</v>
      </c>
      <c r="J597" s="4">
        <v>51.1</v>
      </c>
      <c r="K597" s="4">
        <v>1.39</v>
      </c>
      <c r="L597" s="4">
        <v>166.5</v>
      </c>
      <c r="M597" s="4">
        <v>25.4</v>
      </c>
      <c r="N597" s="4">
        <v>38.625</v>
      </c>
      <c r="O597" s="4">
        <v>1.25</v>
      </c>
      <c r="P597" s="4">
        <v>95.25</v>
      </c>
      <c r="Q597" s="4">
        <v>67.5</v>
      </c>
      <c r="R597" s="4">
        <v>166</v>
      </c>
      <c r="S597" s="4" t="str" cm="1">
        <f t="array" ref="S597">_xlfn.IFS($R597&lt;=50,"Good",$R597&lt;=100,"Moderate",$R597&lt;=200,"Poor",$R597&lt;=300,"Very Poor",$R597&lt;=500,"Hazardous")</f>
        <v>Poor</v>
      </c>
      <c r="T597" t="s">
        <v>25</v>
      </c>
      <c r="X597" s="2"/>
      <c r="Y597" s="2"/>
    </row>
    <row r="598" spans="1:25" x14ac:dyDescent="0.3">
      <c r="A598" s="2">
        <v>45411</v>
      </c>
      <c r="B598" t="s">
        <v>21</v>
      </c>
      <c r="C598" s="4">
        <v>67.900000000000006</v>
      </c>
      <c r="D598" s="4">
        <v>37.700000000000003</v>
      </c>
      <c r="E598" s="4">
        <v>90.3</v>
      </c>
      <c r="F598" s="4">
        <v>8.1</v>
      </c>
      <c r="G598" s="4">
        <v>34.700000000000003</v>
      </c>
      <c r="H598" s="4">
        <v>2.69</v>
      </c>
      <c r="I598" s="4">
        <v>19.3</v>
      </c>
      <c r="J598" s="4">
        <v>29.7</v>
      </c>
      <c r="K598" s="4">
        <v>1.18</v>
      </c>
      <c r="L598" s="4">
        <v>113.1666666666667</v>
      </c>
      <c r="M598" s="4">
        <v>37.700000000000003</v>
      </c>
      <c r="N598" s="4">
        <v>112.875</v>
      </c>
      <c r="O598" s="4">
        <v>20.25</v>
      </c>
      <c r="P598" s="4">
        <v>86.750000000000014</v>
      </c>
      <c r="Q598" s="4">
        <v>134.5</v>
      </c>
      <c r="R598" s="4">
        <v>134</v>
      </c>
      <c r="S598" s="4" t="str" cm="1">
        <f t="array" ref="S598">_xlfn.IFS($R598&lt;=50,"Good",$R598&lt;=100,"Moderate",$R598&lt;=200,"Poor",$R598&lt;=300,"Very Poor",$R598&lt;=500,"Hazardous")</f>
        <v>Poor</v>
      </c>
      <c r="T598" t="s">
        <v>29</v>
      </c>
      <c r="X598" s="2"/>
      <c r="Y598" s="2"/>
    </row>
    <row r="599" spans="1:25" x14ac:dyDescent="0.3">
      <c r="A599" s="2">
        <v>45411</v>
      </c>
      <c r="B599" t="s">
        <v>22</v>
      </c>
      <c r="C599" s="4">
        <v>55.1</v>
      </c>
      <c r="D599" s="4">
        <v>138.6</v>
      </c>
      <c r="E599" s="4">
        <v>56.8</v>
      </c>
      <c r="F599" s="4">
        <v>19.82</v>
      </c>
      <c r="G599" s="4">
        <v>1</v>
      </c>
      <c r="H599" s="4">
        <v>1.49</v>
      </c>
      <c r="I599" s="4">
        <v>24.1</v>
      </c>
      <c r="J599" s="4">
        <v>39.4</v>
      </c>
      <c r="K599" s="4">
        <v>1.76</v>
      </c>
      <c r="L599" s="4">
        <v>91.833333333333343</v>
      </c>
      <c r="M599" s="4">
        <v>138.6</v>
      </c>
      <c r="N599" s="4">
        <v>71</v>
      </c>
      <c r="O599" s="4">
        <v>49.55</v>
      </c>
      <c r="P599" s="4">
        <v>2.5</v>
      </c>
      <c r="Q599" s="4">
        <v>74.5</v>
      </c>
      <c r="R599" s="4">
        <v>139</v>
      </c>
      <c r="S599" s="4" t="str" cm="1">
        <f t="array" ref="S599">_xlfn.IFS($R599&lt;=50,"Good",$R599&lt;=100,"Moderate",$R599&lt;=200,"Poor",$R599&lt;=300,"Very Poor",$R599&lt;=500,"Hazardous")</f>
        <v>Poor</v>
      </c>
      <c r="T599" t="s">
        <v>28</v>
      </c>
      <c r="X599" s="2"/>
      <c r="Y599" s="2"/>
    </row>
    <row r="600" spans="1:25" x14ac:dyDescent="0.3">
      <c r="A600" s="2">
        <v>45411</v>
      </c>
      <c r="B600" t="s">
        <v>23</v>
      </c>
      <c r="C600" s="4">
        <v>32.700000000000003</v>
      </c>
      <c r="D600" s="4">
        <v>221.1</v>
      </c>
      <c r="E600" s="4">
        <v>61.8</v>
      </c>
      <c r="F600" s="4">
        <v>8.1199999999999992</v>
      </c>
      <c r="G600" s="4">
        <v>73.8</v>
      </c>
      <c r="H600" s="4">
        <v>0.28999999999999998</v>
      </c>
      <c r="I600" s="4">
        <v>18.7</v>
      </c>
      <c r="J600" s="4">
        <v>10.8</v>
      </c>
      <c r="K600" s="4">
        <v>1.66</v>
      </c>
      <c r="L600" s="4">
        <v>54.500000000000007</v>
      </c>
      <c r="M600" s="4">
        <v>221.1</v>
      </c>
      <c r="N600" s="4">
        <v>77.25</v>
      </c>
      <c r="O600" s="4">
        <v>20.3</v>
      </c>
      <c r="P600" s="4">
        <v>184.5</v>
      </c>
      <c r="Q600" s="4">
        <v>14.5</v>
      </c>
      <c r="R600" s="4">
        <v>221</v>
      </c>
      <c r="S600" s="4" t="str" cm="1">
        <f t="array" ref="S600">_xlfn.IFS($R600&lt;=50,"Good",$R600&lt;=100,"Moderate",$R600&lt;=200,"Poor",$R600&lt;=300,"Very Poor",$R600&lt;=500,"Hazardous")</f>
        <v>Very Poor</v>
      </c>
      <c r="T600" t="s">
        <v>28</v>
      </c>
      <c r="X600" s="2"/>
      <c r="Y600" s="2"/>
    </row>
    <row r="601" spans="1:25" x14ac:dyDescent="0.3">
      <c r="A601" s="2">
        <v>45411</v>
      </c>
      <c r="B601" t="s">
        <v>24</v>
      </c>
      <c r="C601" s="4">
        <v>71.3</v>
      </c>
      <c r="D601" s="4">
        <v>138.80000000000001</v>
      </c>
      <c r="E601" s="4">
        <v>52.8</v>
      </c>
      <c r="F601" s="4">
        <v>1.04</v>
      </c>
      <c r="G601" s="4">
        <v>66.099999999999994</v>
      </c>
      <c r="H601" s="4">
        <v>1.48</v>
      </c>
      <c r="I601" s="4">
        <v>33.1</v>
      </c>
      <c r="J601" s="4">
        <v>15.9</v>
      </c>
      <c r="K601" s="4">
        <v>3.37</v>
      </c>
      <c r="L601" s="4">
        <v>118.8333333333333</v>
      </c>
      <c r="M601" s="4">
        <v>138.80000000000001</v>
      </c>
      <c r="N601" s="4">
        <v>66</v>
      </c>
      <c r="O601" s="4">
        <v>2.6</v>
      </c>
      <c r="P601" s="4">
        <v>165.25</v>
      </c>
      <c r="Q601" s="4">
        <v>74</v>
      </c>
      <c r="R601" s="4">
        <v>165</v>
      </c>
      <c r="S601" s="4" t="str" cm="1">
        <f t="array" ref="S601">_xlfn.IFS($R601&lt;=50,"Good",$R601&lt;=100,"Moderate",$R601&lt;=200,"Poor",$R601&lt;=300,"Very Poor",$R601&lt;=500,"Hazardous")</f>
        <v>Poor</v>
      </c>
      <c r="T601" t="s">
        <v>27</v>
      </c>
      <c r="X601" s="2"/>
      <c r="Y601" s="2"/>
    </row>
    <row r="602" spans="1:25" x14ac:dyDescent="0.3">
      <c r="A602" s="2">
        <v>45412</v>
      </c>
      <c r="B602" t="s">
        <v>20</v>
      </c>
      <c r="C602" s="4">
        <v>28</v>
      </c>
      <c r="D602" s="4">
        <v>110.6</v>
      </c>
      <c r="E602" s="4">
        <v>64</v>
      </c>
      <c r="F602" s="4">
        <v>9.7200000000000006</v>
      </c>
      <c r="G602" s="4">
        <v>21.5</v>
      </c>
      <c r="H602" s="4">
        <v>1.38</v>
      </c>
      <c r="I602" s="4">
        <v>17.3</v>
      </c>
      <c r="J602" s="4">
        <v>70.7</v>
      </c>
      <c r="K602" s="4">
        <v>2.25</v>
      </c>
      <c r="L602" s="4">
        <v>46.666666666666671</v>
      </c>
      <c r="M602" s="4">
        <v>110.6</v>
      </c>
      <c r="N602" s="4">
        <v>80</v>
      </c>
      <c r="O602" s="4">
        <v>24.3</v>
      </c>
      <c r="P602" s="4">
        <v>53.75</v>
      </c>
      <c r="Q602" s="4">
        <v>68.999999999999986</v>
      </c>
      <c r="R602" s="4">
        <v>111</v>
      </c>
      <c r="S602" s="4" t="str" cm="1">
        <f t="array" ref="S602">_xlfn.IFS($R602&lt;=50,"Good",$R602&lt;=100,"Moderate",$R602&lt;=200,"Poor",$R602&lt;=300,"Very Poor",$R602&lt;=500,"Hazardous")</f>
        <v>Poor</v>
      </c>
      <c r="T602" t="s">
        <v>28</v>
      </c>
      <c r="X602" s="2"/>
      <c r="Y602" s="2"/>
    </row>
    <row r="603" spans="1:25" x14ac:dyDescent="0.3">
      <c r="A603" s="2">
        <v>45412</v>
      </c>
      <c r="B603" t="s">
        <v>21</v>
      </c>
      <c r="C603" s="4">
        <v>116.9</v>
      </c>
      <c r="D603" s="4">
        <v>110.5</v>
      </c>
      <c r="E603" s="4">
        <v>43.2</v>
      </c>
      <c r="F603" s="4">
        <v>5.22</v>
      </c>
      <c r="G603" s="4">
        <v>77.400000000000006</v>
      </c>
      <c r="H603" s="4">
        <v>0.97</v>
      </c>
      <c r="I603" s="4">
        <v>32.5</v>
      </c>
      <c r="J603" s="4">
        <v>43.1</v>
      </c>
      <c r="K603" s="4">
        <v>0.2</v>
      </c>
      <c r="L603" s="4">
        <v>194.83333333333329</v>
      </c>
      <c r="M603" s="4">
        <v>110.5</v>
      </c>
      <c r="N603" s="4">
        <v>54.000000000000007</v>
      </c>
      <c r="O603" s="4">
        <v>13.05</v>
      </c>
      <c r="P603" s="4">
        <v>193.5</v>
      </c>
      <c r="Q603" s="4">
        <v>48.5</v>
      </c>
      <c r="R603" s="4">
        <v>195</v>
      </c>
      <c r="S603" s="4" t="str" cm="1">
        <f t="array" ref="S603">_xlfn.IFS($R603&lt;=50,"Good",$R603&lt;=100,"Moderate",$R603&lt;=200,"Poor",$R603&lt;=300,"Very Poor",$R603&lt;=500,"Hazardous")</f>
        <v>Poor</v>
      </c>
      <c r="T603" t="s">
        <v>25</v>
      </c>
      <c r="X603" s="2"/>
      <c r="Y603" s="2"/>
    </row>
    <row r="604" spans="1:25" x14ac:dyDescent="0.3">
      <c r="A604" s="2">
        <v>45412</v>
      </c>
      <c r="B604" t="s">
        <v>22</v>
      </c>
      <c r="C604" s="4">
        <v>40.700000000000003</v>
      </c>
      <c r="D604" s="4">
        <v>46.8</v>
      </c>
      <c r="E604" s="4">
        <v>43.4</v>
      </c>
      <c r="F604" s="4">
        <v>1.95</v>
      </c>
      <c r="G604" s="4">
        <v>60</v>
      </c>
      <c r="H604" s="4">
        <v>1.0900000000000001</v>
      </c>
      <c r="I604" s="4">
        <v>26.8</v>
      </c>
      <c r="J604" s="4">
        <v>61.8</v>
      </c>
      <c r="K604" s="4">
        <v>3.66</v>
      </c>
      <c r="L604" s="4">
        <v>67.833333333333343</v>
      </c>
      <c r="M604" s="4">
        <v>46.8</v>
      </c>
      <c r="N604" s="4">
        <v>54.25</v>
      </c>
      <c r="O604" s="4">
        <v>4.875</v>
      </c>
      <c r="P604" s="4">
        <v>150</v>
      </c>
      <c r="Q604" s="4">
        <v>54.500000000000007</v>
      </c>
      <c r="R604" s="4">
        <v>150</v>
      </c>
      <c r="S604" s="4" t="str" cm="1">
        <f t="array" ref="S604">_xlfn.IFS($R604&lt;=50,"Good",$R604&lt;=100,"Moderate",$R604&lt;=200,"Poor",$R604&lt;=300,"Very Poor",$R604&lt;=500,"Hazardous")</f>
        <v>Poor</v>
      </c>
      <c r="T604" t="s">
        <v>27</v>
      </c>
      <c r="X604" s="2"/>
      <c r="Y604" s="2"/>
    </row>
    <row r="605" spans="1:25" x14ac:dyDescent="0.3">
      <c r="A605" s="2">
        <v>45412</v>
      </c>
      <c r="B605" t="s">
        <v>23</v>
      </c>
      <c r="C605" s="4">
        <v>59.4</v>
      </c>
      <c r="D605" s="4">
        <v>73.7</v>
      </c>
      <c r="E605" s="4">
        <v>9.5</v>
      </c>
      <c r="F605" s="4">
        <v>4.57</v>
      </c>
      <c r="G605" s="4">
        <v>24.6</v>
      </c>
      <c r="H605" s="4">
        <v>1.26</v>
      </c>
      <c r="I605" s="4">
        <v>25.6</v>
      </c>
      <c r="J605" s="4">
        <v>62.4</v>
      </c>
      <c r="K605" s="4">
        <v>1.76</v>
      </c>
      <c r="L605" s="4">
        <v>98.999999999999986</v>
      </c>
      <c r="M605" s="4">
        <v>73.7</v>
      </c>
      <c r="N605" s="4">
        <v>11.875</v>
      </c>
      <c r="O605" s="4">
        <v>11.425000000000001</v>
      </c>
      <c r="P605" s="4">
        <v>61.500000000000007</v>
      </c>
      <c r="Q605" s="4">
        <v>63</v>
      </c>
      <c r="R605" s="4">
        <v>99</v>
      </c>
      <c r="S605" s="4" t="str" cm="1">
        <f t="array" ref="S605">_xlfn.IFS($R605&lt;=50,"Good",$R605&lt;=100,"Moderate",$R605&lt;=200,"Poor",$R605&lt;=300,"Very Poor",$R605&lt;=500,"Hazardous")</f>
        <v>Moderate</v>
      </c>
      <c r="T605" t="s">
        <v>25</v>
      </c>
      <c r="X605" s="2"/>
      <c r="Y605" s="2"/>
    </row>
    <row r="606" spans="1:25" x14ac:dyDescent="0.3">
      <c r="A606" s="2">
        <v>45412</v>
      </c>
      <c r="B606" t="s">
        <v>24</v>
      </c>
      <c r="C606" s="4">
        <v>64.099999999999994</v>
      </c>
      <c r="D606" s="4">
        <v>210.1</v>
      </c>
      <c r="E606" s="4">
        <v>57</v>
      </c>
      <c r="F606" s="4">
        <v>8.4700000000000006</v>
      </c>
      <c r="G606" s="4">
        <v>27.4</v>
      </c>
      <c r="H606" s="4">
        <v>0.9</v>
      </c>
      <c r="I606" s="4">
        <v>22</v>
      </c>
      <c r="J606" s="4">
        <v>40.299999999999997</v>
      </c>
      <c r="K606" s="4">
        <v>3.91</v>
      </c>
      <c r="L606" s="4">
        <v>106.8333333333333</v>
      </c>
      <c r="M606" s="4">
        <v>210.1</v>
      </c>
      <c r="N606" s="4">
        <v>71.25</v>
      </c>
      <c r="O606" s="4">
        <v>21.175000000000001</v>
      </c>
      <c r="P606" s="4">
        <v>68.499999999999986</v>
      </c>
      <c r="Q606" s="4">
        <v>45</v>
      </c>
      <c r="R606" s="4">
        <v>210</v>
      </c>
      <c r="S606" s="4" t="str" cm="1">
        <f t="array" ref="S606">_xlfn.IFS($R606&lt;=50,"Good",$R606&lt;=100,"Moderate",$R606&lt;=200,"Poor",$R606&lt;=300,"Very Poor",$R606&lt;=500,"Hazardous")</f>
        <v>Very Poor</v>
      </c>
      <c r="T606" t="s">
        <v>28</v>
      </c>
      <c r="X606" s="2"/>
      <c r="Y606" s="2"/>
    </row>
    <row r="607" spans="1:25" x14ac:dyDescent="0.3">
      <c r="A607" s="2">
        <v>45413</v>
      </c>
      <c r="B607" t="s">
        <v>20</v>
      </c>
      <c r="C607" s="4">
        <v>61.3</v>
      </c>
      <c r="D607" s="4">
        <v>44.9</v>
      </c>
      <c r="E607" s="4">
        <v>92.4</v>
      </c>
      <c r="F607" s="4">
        <v>11.04</v>
      </c>
      <c r="G607" s="4">
        <v>5.6</v>
      </c>
      <c r="H607" s="4">
        <v>1.08</v>
      </c>
      <c r="I607" s="4">
        <v>28.8</v>
      </c>
      <c r="J607" s="4">
        <v>90.7</v>
      </c>
      <c r="K607" s="4">
        <v>1.17</v>
      </c>
      <c r="L607" s="4">
        <v>102.1666666666667</v>
      </c>
      <c r="M607" s="4">
        <v>44.9</v>
      </c>
      <c r="N607" s="4">
        <v>115.5</v>
      </c>
      <c r="O607" s="4">
        <v>27.6</v>
      </c>
      <c r="P607" s="4">
        <v>14</v>
      </c>
      <c r="Q607" s="4">
        <v>54.000000000000007</v>
      </c>
      <c r="R607" s="4">
        <v>116</v>
      </c>
      <c r="S607" s="4" t="str" cm="1">
        <f t="array" ref="S607">_xlfn.IFS($R607&lt;=50,"Good",$R607&lt;=100,"Moderate",$R607&lt;=200,"Poor",$R607&lt;=300,"Very Poor",$R607&lt;=500,"Hazardous")</f>
        <v>Poor</v>
      </c>
      <c r="T607" t="s">
        <v>26</v>
      </c>
      <c r="X607" s="2"/>
      <c r="Y607" s="2"/>
    </row>
    <row r="608" spans="1:25" x14ac:dyDescent="0.3">
      <c r="A608" s="2">
        <v>45413</v>
      </c>
      <c r="B608" t="s">
        <v>21</v>
      </c>
      <c r="C608" s="4">
        <v>111.6</v>
      </c>
      <c r="D608" s="4">
        <v>255</v>
      </c>
      <c r="E608" s="4">
        <v>40.5</v>
      </c>
      <c r="F608" s="4">
        <v>8.27</v>
      </c>
      <c r="G608" s="4">
        <v>17.600000000000001</v>
      </c>
      <c r="H608" s="4">
        <v>1.35</v>
      </c>
      <c r="I608" s="4">
        <v>27.7</v>
      </c>
      <c r="J608" s="4">
        <v>71.900000000000006</v>
      </c>
      <c r="K608" s="4">
        <v>3.81</v>
      </c>
      <c r="L608" s="4">
        <v>186</v>
      </c>
      <c r="M608" s="4">
        <v>255</v>
      </c>
      <c r="N608" s="4">
        <v>50.625</v>
      </c>
      <c r="O608" s="4">
        <v>20.675000000000001</v>
      </c>
      <c r="P608" s="4">
        <v>44.000000000000007</v>
      </c>
      <c r="Q608" s="4">
        <v>67.5</v>
      </c>
      <c r="R608" s="4">
        <v>255</v>
      </c>
      <c r="S608" s="4" t="str" cm="1">
        <f t="array" ref="S608">_xlfn.IFS($R608&lt;=50,"Good",$R608&lt;=100,"Moderate",$R608&lt;=200,"Poor",$R608&lt;=300,"Very Poor",$R608&lt;=500,"Hazardous")</f>
        <v>Very Poor</v>
      </c>
      <c r="T608" t="s">
        <v>28</v>
      </c>
      <c r="X608" s="2"/>
      <c r="Y608" s="2"/>
    </row>
    <row r="609" spans="1:25" x14ac:dyDescent="0.3">
      <c r="A609" s="2">
        <v>45413</v>
      </c>
      <c r="B609" t="s">
        <v>22</v>
      </c>
      <c r="C609" s="4">
        <v>35.700000000000003</v>
      </c>
      <c r="D609" s="4">
        <v>5</v>
      </c>
      <c r="E609" s="4">
        <v>42.3</v>
      </c>
      <c r="F609" s="4">
        <v>8.99</v>
      </c>
      <c r="G609" s="4">
        <v>43.9</v>
      </c>
      <c r="H609" s="4">
        <v>0.95</v>
      </c>
      <c r="I609" s="4">
        <v>28.9</v>
      </c>
      <c r="J609" s="4">
        <v>87.3</v>
      </c>
      <c r="K609" s="4">
        <v>2.96</v>
      </c>
      <c r="L609" s="4">
        <v>59.500000000000007</v>
      </c>
      <c r="M609" s="4">
        <v>5</v>
      </c>
      <c r="N609" s="4">
        <v>52.875</v>
      </c>
      <c r="O609" s="4">
        <v>22.475000000000001</v>
      </c>
      <c r="P609" s="4">
        <v>109.75</v>
      </c>
      <c r="Q609" s="4">
        <v>47.5</v>
      </c>
      <c r="R609" s="4">
        <v>110</v>
      </c>
      <c r="S609" s="4" t="str" cm="1">
        <f t="array" ref="S609">_xlfn.IFS($R609&lt;=50,"Good",$R609&lt;=100,"Moderate",$R609&lt;=200,"Poor",$R609&lt;=300,"Very Poor",$R609&lt;=500,"Hazardous")</f>
        <v>Poor</v>
      </c>
      <c r="T609" t="s">
        <v>27</v>
      </c>
      <c r="X609" s="2"/>
      <c r="Y609" s="2"/>
    </row>
    <row r="610" spans="1:25" x14ac:dyDescent="0.3">
      <c r="A610" s="2">
        <v>45413</v>
      </c>
      <c r="B610" t="s">
        <v>23</v>
      </c>
      <c r="C610" s="4">
        <v>48.8</v>
      </c>
      <c r="D610" s="4">
        <v>90</v>
      </c>
      <c r="E610" s="4">
        <v>41.6</v>
      </c>
      <c r="F610" s="4">
        <v>16.18</v>
      </c>
      <c r="G610" s="4">
        <v>35.4</v>
      </c>
      <c r="H610" s="4">
        <v>1.19</v>
      </c>
      <c r="I610" s="4">
        <v>24.6</v>
      </c>
      <c r="J610" s="4">
        <v>79.8</v>
      </c>
      <c r="K610" s="4">
        <v>4.8499999999999996</v>
      </c>
      <c r="L610" s="4">
        <v>81.333333333333329</v>
      </c>
      <c r="M610" s="4">
        <v>90</v>
      </c>
      <c r="N610" s="4">
        <v>52.000000000000007</v>
      </c>
      <c r="O610" s="4">
        <v>40.450000000000003</v>
      </c>
      <c r="P610" s="4">
        <v>88.5</v>
      </c>
      <c r="Q610" s="4">
        <v>59.5</v>
      </c>
      <c r="R610" s="4">
        <v>90</v>
      </c>
      <c r="S610" s="4" t="str" cm="1">
        <f t="array" ref="S610">_xlfn.IFS($R610&lt;=50,"Good",$R610&lt;=100,"Moderate",$R610&lt;=200,"Poor",$R610&lt;=300,"Very Poor",$R610&lt;=500,"Hazardous")</f>
        <v>Moderate</v>
      </c>
      <c r="T610" t="s">
        <v>28</v>
      </c>
      <c r="X610" s="2"/>
      <c r="Y610" s="2"/>
    </row>
    <row r="611" spans="1:25" x14ac:dyDescent="0.3">
      <c r="A611" s="2">
        <v>45413</v>
      </c>
      <c r="B611" t="s">
        <v>24</v>
      </c>
      <c r="C611" s="4">
        <v>80.900000000000006</v>
      </c>
      <c r="D611" s="4">
        <v>137.5</v>
      </c>
      <c r="E611" s="4">
        <v>50.3</v>
      </c>
      <c r="F611" s="4">
        <v>0.5</v>
      </c>
      <c r="G611" s="4">
        <v>64.5</v>
      </c>
      <c r="H611" s="4">
        <v>1.41</v>
      </c>
      <c r="I611" s="4">
        <v>31</v>
      </c>
      <c r="J611" s="4">
        <v>47.2</v>
      </c>
      <c r="K611" s="4">
        <v>2.54</v>
      </c>
      <c r="L611" s="4">
        <v>134.83333333333329</v>
      </c>
      <c r="M611" s="4">
        <v>137.5</v>
      </c>
      <c r="N611" s="4">
        <v>62.875</v>
      </c>
      <c r="O611" s="4">
        <v>1.25</v>
      </c>
      <c r="P611" s="4">
        <v>161.25</v>
      </c>
      <c r="Q611" s="4">
        <v>70.5</v>
      </c>
      <c r="R611" s="4">
        <v>161</v>
      </c>
      <c r="S611" s="4" t="str" cm="1">
        <f t="array" ref="S611">_xlfn.IFS($R611&lt;=50,"Good",$R611&lt;=100,"Moderate",$R611&lt;=200,"Poor",$R611&lt;=300,"Very Poor",$R611&lt;=500,"Hazardous")</f>
        <v>Poor</v>
      </c>
      <c r="T611" t="s">
        <v>27</v>
      </c>
      <c r="X611" s="2"/>
      <c r="Y611" s="2"/>
    </row>
    <row r="612" spans="1:25" x14ac:dyDescent="0.3">
      <c r="A612" s="2">
        <v>45414</v>
      </c>
      <c r="B612" t="s">
        <v>20</v>
      </c>
      <c r="C612" s="4">
        <v>54.8</v>
      </c>
      <c r="D612" s="4">
        <v>208.5</v>
      </c>
      <c r="E612" s="4">
        <v>43</v>
      </c>
      <c r="F612" s="4">
        <v>21.18</v>
      </c>
      <c r="G612" s="4">
        <v>58.4</v>
      </c>
      <c r="H612" s="4">
        <v>0.5</v>
      </c>
      <c r="I612" s="4">
        <v>27.1</v>
      </c>
      <c r="J612" s="4">
        <v>48.3</v>
      </c>
      <c r="K612" s="4">
        <v>0.2</v>
      </c>
      <c r="L612" s="4">
        <v>91.333333333333329</v>
      </c>
      <c r="M612" s="4">
        <v>208.5</v>
      </c>
      <c r="N612" s="4">
        <v>53.75</v>
      </c>
      <c r="O612" s="4">
        <v>52.95</v>
      </c>
      <c r="P612" s="4">
        <v>146</v>
      </c>
      <c r="Q612" s="4">
        <v>25</v>
      </c>
      <c r="R612" s="4">
        <v>208</v>
      </c>
      <c r="S612" s="4" t="str" cm="1">
        <f t="array" ref="S612">_xlfn.IFS($R612&lt;=50,"Good",$R612&lt;=100,"Moderate",$R612&lt;=200,"Poor",$R612&lt;=300,"Very Poor",$R612&lt;=500,"Hazardous")</f>
        <v>Very Poor</v>
      </c>
      <c r="T612" t="s">
        <v>28</v>
      </c>
      <c r="X612" s="2"/>
      <c r="Y612" s="2"/>
    </row>
    <row r="613" spans="1:25" x14ac:dyDescent="0.3">
      <c r="A613" s="2">
        <v>45414</v>
      </c>
      <c r="B613" t="s">
        <v>21</v>
      </c>
      <c r="C613" s="4">
        <v>135</v>
      </c>
      <c r="D613" s="4">
        <v>202.7</v>
      </c>
      <c r="E613" s="4">
        <v>69.599999999999994</v>
      </c>
      <c r="F613" s="4">
        <v>11.03</v>
      </c>
      <c r="G613" s="4">
        <v>6.8</v>
      </c>
      <c r="H613" s="4">
        <v>1.1399999999999999</v>
      </c>
      <c r="I613" s="4">
        <v>33.9</v>
      </c>
      <c r="J613" s="4">
        <v>41.1</v>
      </c>
      <c r="K613" s="4">
        <v>0.2</v>
      </c>
      <c r="L613" s="4">
        <v>225</v>
      </c>
      <c r="M613" s="4">
        <v>202.7</v>
      </c>
      <c r="N613" s="4">
        <v>87</v>
      </c>
      <c r="O613" s="4">
        <v>27.574999999999999</v>
      </c>
      <c r="P613" s="4">
        <v>17</v>
      </c>
      <c r="Q613" s="4">
        <v>56.999999999999993</v>
      </c>
      <c r="R613" s="4">
        <v>225</v>
      </c>
      <c r="S613" s="4" t="str" cm="1">
        <f t="array" ref="S613">_xlfn.IFS($R613&lt;=50,"Good",$R613&lt;=100,"Moderate",$R613&lt;=200,"Poor",$R613&lt;=300,"Very Poor",$R613&lt;=500,"Hazardous")</f>
        <v>Very Poor</v>
      </c>
      <c r="T613" t="s">
        <v>25</v>
      </c>
      <c r="X613" s="2"/>
      <c r="Y613" s="2"/>
    </row>
    <row r="614" spans="1:25" x14ac:dyDescent="0.3">
      <c r="A614" s="2">
        <v>45414</v>
      </c>
      <c r="B614" t="s">
        <v>22</v>
      </c>
      <c r="C614" s="4">
        <v>50.5</v>
      </c>
      <c r="D614" s="4">
        <v>105.9</v>
      </c>
      <c r="E614" s="4">
        <v>45.3</v>
      </c>
      <c r="F614" s="4">
        <v>11.06</v>
      </c>
      <c r="G614" s="4">
        <v>53.1</v>
      </c>
      <c r="H614" s="4">
        <v>1.29</v>
      </c>
      <c r="I614" s="4">
        <v>36.4</v>
      </c>
      <c r="J614" s="4">
        <v>32.700000000000003</v>
      </c>
      <c r="K614" s="4">
        <v>3.11</v>
      </c>
      <c r="L614" s="4">
        <v>84.166666666666671</v>
      </c>
      <c r="M614" s="4">
        <v>105.9</v>
      </c>
      <c r="N614" s="4">
        <v>56.624999999999993</v>
      </c>
      <c r="O614" s="4">
        <v>27.65</v>
      </c>
      <c r="P614" s="4">
        <v>132.75</v>
      </c>
      <c r="Q614" s="4">
        <v>64.5</v>
      </c>
      <c r="R614" s="4">
        <v>133</v>
      </c>
      <c r="S614" s="4" t="str" cm="1">
        <f t="array" ref="S614">_xlfn.IFS($R614&lt;=50,"Good",$R614&lt;=100,"Moderate",$R614&lt;=200,"Poor",$R614&lt;=300,"Very Poor",$R614&lt;=500,"Hazardous")</f>
        <v>Poor</v>
      </c>
      <c r="T614" t="s">
        <v>27</v>
      </c>
      <c r="X614" s="2"/>
      <c r="Y614" s="2"/>
    </row>
    <row r="615" spans="1:25" x14ac:dyDescent="0.3">
      <c r="A615" s="2">
        <v>45414</v>
      </c>
      <c r="B615" t="s">
        <v>23</v>
      </c>
      <c r="C615" s="4">
        <v>78.8</v>
      </c>
      <c r="D615" s="4">
        <v>45.6</v>
      </c>
      <c r="E615" s="4">
        <v>14.9</v>
      </c>
      <c r="F615" s="4">
        <v>4.2699999999999996</v>
      </c>
      <c r="G615" s="4">
        <v>23.5</v>
      </c>
      <c r="H615" s="4">
        <v>1.65</v>
      </c>
      <c r="I615" s="4">
        <v>23.7</v>
      </c>
      <c r="J615" s="4">
        <v>44.6</v>
      </c>
      <c r="K615" s="4">
        <v>1.77</v>
      </c>
      <c r="L615" s="4">
        <v>131.33333333333329</v>
      </c>
      <c r="M615" s="4">
        <v>45.6</v>
      </c>
      <c r="N615" s="4">
        <v>18.625</v>
      </c>
      <c r="O615" s="4">
        <v>10.675000000000001</v>
      </c>
      <c r="P615" s="4">
        <v>58.75</v>
      </c>
      <c r="Q615" s="4">
        <v>82.499999999999986</v>
      </c>
      <c r="R615" s="4">
        <v>131</v>
      </c>
      <c r="S615" s="4" t="str" cm="1">
        <f t="array" ref="S615">_xlfn.IFS($R615&lt;=50,"Good",$R615&lt;=100,"Moderate",$R615&lt;=200,"Poor",$R615&lt;=300,"Very Poor",$R615&lt;=500,"Hazardous")</f>
        <v>Poor</v>
      </c>
      <c r="T615" t="s">
        <v>25</v>
      </c>
      <c r="X615" s="2"/>
      <c r="Y615" s="2"/>
    </row>
    <row r="616" spans="1:25" x14ac:dyDescent="0.3">
      <c r="A616" s="2">
        <v>45414</v>
      </c>
      <c r="B616" t="s">
        <v>24</v>
      </c>
      <c r="C616" s="4">
        <v>102.9</v>
      </c>
      <c r="D616" s="4">
        <v>132.9</v>
      </c>
      <c r="E616" s="4">
        <v>45.6</v>
      </c>
      <c r="F616" s="4">
        <v>8.19</v>
      </c>
      <c r="G616" s="4">
        <v>79.5</v>
      </c>
      <c r="H616" s="4">
        <v>0.83</v>
      </c>
      <c r="I616" s="4">
        <v>37.200000000000003</v>
      </c>
      <c r="J616" s="4">
        <v>63.8</v>
      </c>
      <c r="K616" s="4">
        <v>2.81</v>
      </c>
      <c r="L616" s="4">
        <v>171.5</v>
      </c>
      <c r="M616" s="4">
        <v>132.9</v>
      </c>
      <c r="N616" s="4">
        <v>57</v>
      </c>
      <c r="O616" s="4">
        <v>20.475000000000001</v>
      </c>
      <c r="P616" s="4">
        <v>198.75</v>
      </c>
      <c r="Q616" s="4">
        <v>41.499999999999993</v>
      </c>
      <c r="R616" s="4">
        <v>199</v>
      </c>
      <c r="S616" s="4" t="str" cm="1">
        <f t="array" ref="S616">_xlfn.IFS($R616&lt;=50,"Good",$R616&lt;=100,"Moderate",$R616&lt;=200,"Poor",$R616&lt;=300,"Very Poor",$R616&lt;=500,"Hazardous")</f>
        <v>Poor</v>
      </c>
      <c r="T616" t="s">
        <v>27</v>
      </c>
      <c r="X616" s="2"/>
      <c r="Y616" s="2"/>
    </row>
    <row r="617" spans="1:25" x14ac:dyDescent="0.3">
      <c r="A617" s="2">
        <v>45415</v>
      </c>
      <c r="B617" t="s">
        <v>20</v>
      </c>
      <c r="C617" s="4">
        <v>155.30000000000001</v>
      </c>
      <c r="D617" s="4">
        <v>65.2</v>
      </c>
      <c r="E617" s="4">
        <v>43.6</v>
      </c>
      <c r="F617" s="4">
        <v>2.11</v>
      </c>
      <c r="G617" s="4">
        <v>73.400000000000006</v>
      </c>
      <c r="H617" s="4">
        <v>2.5499999999999998</v>
      </c>
      <c r="I617" s="4">
        <v>39.700000000000003</v>
      </c>
      <c r="J617" s="4">
        <v>82</v>
      </c>
      <c r="K617" s="4">
        <v>2.2599999999999998</v>
      </c>
      <c r="L617" s="4">
        <v>258.83333333333343</v>
      </c>
      <c r="M617" s="4">
        <v>65.2</v>
      </c>
      <c r="N617" s="4">
        <v>54.5</v>
      </c>
      <c r="O617" s="4">
        <v>5.2749999999999986</v>
      </c>
      <c r="P617" s="4">
        <v>183.5</v>
      </c>
      <c r="Q617" s="4">
        <v>127.5</v>
      </c>
      <c r="R617" s="4">
        <v>259</v>
      </c>
      <c r="S617" s="4" t="str" cm="1">
        <f t="array" ref="S617">_xlfn.IFS($R617&lt;=50,"Good",$R617&lt;=100,"Moderate",$R617&lt;=200,"Poor",$R617&lt;=300,"Very Poor",$R617&lt;=500,"Hazardous")</f>
        <v>Very Poor</v>
      </c>
      <c r="T617" t="s">
        <v>25</v>
      </c>
      <c r="X617" s="2"/>
      <c r="Y617" s="2"/>
    </row>
    <row r="618" spans="1:25" x14ac:dyDescent="0.3">
      <c r="A618" s="2">
        <v>45415</v>
      </c>
      <c r="B618" t="s">
        <v>21</v>
      </c>
      <c r="C618" s="4">
        <v>61.3</v>
      </c>
      <c r="D618" s="4">
        <v>24.7</v>
      </c>
      <c r="E618" s="4">
        <v>107.1</v>
      </c>
      <c r="F618" s="4">
        <v>12.93</v>
      </c>
      <c r="G618" s="4">
        <v>34.6</v>
      </c>
      <c r="H618" s="4">
        <v>2.5</v>
      </c>
      <c r="I618" s="4">
        <v>21.2</v>
      </c>
      <c r="J618" s="4">
        <v>67.3</v>
      </c>
      <c r="K618" s="4">
        <v>2.29</v>
      </c>
      <c r="L618" s="4">
        <v>102.1666666666667</v>
      </c>
      <c r="M618" s="4">
        <v>24.7</v>
      </c>
      <c r="N618" s="4">
        <v>133.875</v>
      </c>
      <c r="O618" s="4">
        <v>32.325000000000003</v>
      </c>
      <c r="P618" s="4">
        <v>86.500000000000014</v>
      </c>
      <c r="Q618" s="4">
        <v>125</v>
      </c>
      <c r="R618" s="4">
        <v>134</v>
      </c>
      <c r="S618" s="4" t="str" cm="1">
        <f t="array" ref="S618">_xlfn.IFS($R618&lt;=50,"Good",$R618&lt;=100,"Moderate",$R618&lt;=200,"Poor",$R618&lt;=300,"Very Poor",$R618&lt;=500,"Hazardous")</f>
        <v>Poor</v>
      </c>
      <c r="T618" t="s">
        <v>26</v>
      </c>
      <c r="X618" s="2"/>
      <c r="Y618" s="2"/>
    </row>
    <row r="619" spans="1:25" x14ac:dyDescent="0.3">
      <c r="A619" s="2">
        <v>45415</v>
      </c>
      <c r="B619" t="s">
        <v>22</v>
      </c>
      <c r="C619" s="4">
        <v>75.2</v>
      </c>
      <c r="D619" s="4">
        <v>110.4</v>
      </c>
      <c r="E619" s="4">
        <v>15.2</v>
      </c>
      <c r="F619" s="4">
        <v>7.96</v>
      </c>
      <c r="G619" s="4">
        <v>62.9</v>
      </c>
      <c r="H619" s="4">
        <v>1.1200000000000001</v>
      </c>
      <c r="I619" s="4">
        <v>33.4</v>
      </c>
      <c r="J619" s="4">
        <v>41.2</v>
      </c>
      <c r="K619" s="4">
        <v>2.4700000000000002</v>
      </c>
      <c r="L619" s="4">
        <v>125.3333333333333</v>
      </c>
      <c r="M619" s="4">
        <v>110.4</v>
      </c>
      <c r="N619" s="4">
        <v>19</v>
      </c>
      <c r="O619" s="4">
        <v>19.899999999999999</v>
      </c>
      <c r="P619" s="4">
        <v>157.25</v>
      </c>
      <c r="Q619" s="4">
        <v>56.000000000000007</v>
      </c>
      <c r="R619" s="4">
        <v>157</v>
      </c>
      <c r="S619" s="4" t="str" cm="1">
        <f t="array" ref="S619">_xlfn.IFS($R619&lt;=50,"Good",$R619&lt;=100,"Moderate",$R619&lt;=200,"Poor",$R619&lt;=300,"Very Poor",$R619&lt;=500,"Hazardous")</f>
        <v>Poor</v>
      </c>
      <c r="T619" t="s">
        <v>27</v>
      </c>
      <c r="X619" s="2"/>
      <c r="Y619" s="2"/>
    </row>
    <row r="620" spans="1:25" x14ac:dyDescent="0.3">
      <c r="A620" s="2">
        <v>45415</v>
      </c>
      <c r="B620" t="s">
        <v>23</v>
      </c>
      <c r="C620" s="4">
        <v>41.3</v>
      </c>
      <c r="D620" s="4">
        <v>164.8</v>
      </c>
      <c r="E620" s="4">
        <v>45.6</v>
      </c>
      <c r="F620" s="4">
        <v>11.45</v>
      </c>
      <c r="G620" s="4">
        <v>67.2</v>
      </c>
      <c r="H620" s="4">
        <v>1.61</v>
      </c>
      <c r="I620" s="4">
        <v>29.9</v>
      </c>
      <c r="J620" s="4">
        <v>42</v>
      </c>
      <c r="K620" s="4">
        <v>2.5</v>
      </c>
      <c r="L620" s="4">
        <v>68.833333333333329</v>
      </c>
      <c r="M620" s="4">
        <v>164.8</v>
      </c>
      <c r="N620" s="4">
        <v>57</v>
      </c>
      <c r="O620" s="4">
        <v>28.625</v>
      </c>
      <c r="P620" s="4">
        <v>168</v>
      </c>
      <c r="Q620" s="4">
        <v>80.5</v>
      </c>
      <c r="R620" s="4">
        <v>168</v>
      </c>
      <c r="S620" s="4" t="str" cm="1">
        <f t="array" ref="S620">_xlfn.IFS($R620&lt;=50,"Good",$R620&lt;=100,"Moderate",$R620&lt;=200,"Poor",$R620&lt;=300,"Very Poor",$R620&lt;=500,"Hazardous")</f>
        <v>Poor</v>
      </c>
      <c r="T620" t="s">
        <v>27</v>
      </c>
      <c r="X620" s="2"/>
      <c r="Y620" s="2"/>
    </row>
    <row r="621" spans="1:25" x14ac:dyDescent="0.3">
      <c r="A621" s="2">
        <v>45415</v>
      </c>
      <c r="B621" t="s">
        <v>24</v>
      </c>
      <c r="C621" s="4">
        <v>48.4</v>
      </c>
      <c r="D621" s="4">
        <v>109.3</v>
      </c>
      <c r="E621" s="4">
        <v>41.3</v>
      </c>
      <c r="F621" s="4">
        <v>3.41</v>
      </c>
      <c r="G621" s="4">
        <v>1</v>
      </c>
      <c r="H621" s="4">
        <v>0.88</v>
      </c>
      <c r="I621" s="4">
        <v>29.4</v>
      </c>
      <c r="J621" s="4">
        <v>35.700000000000003</v>
      </c>
      <c r="K621" s="4">
        <v>3.02</v>
      </c>
      <c r="L621" s="4">
        <v>80.666666666666657</v>
      </c>
      <c r="M621" s="4">
        <v>109.3</v>
      </c>
      <c r="N621" s="4">
        <v>51.625</v>
      </c>
      <c r="O621" s="4">
        <v>8.5250000000000004</v>
      </c>
      <c r="P621" s="4">
        <v>2.5</v>
      </c>
      <c r="Q621" s="4">
        <v>44</v>
      </c>
      <c r="R621" s="4">
        <v>109</v>
      </c>
      <c r="S621" s="4" t="str" cm="1">
        <f t="array" ref="S621">_xlfn.IFS($R621&lt;=50,"Good",$R621&lt;=100,"Moderate",$R621&lt;=200,"Poor",$R621&lt;=300,"Very Poor",$R621&lt;=500,"Hazardous")</f>
        <v>Poor</v>
      </c>
      <c r="T621" t="s">
        <v>28</v>
      </c>
      <c r="X621" s="2"/>
      <c r="Y621" s="2"/>
    </row>
    <row r="622" spans="1:25" x14ac:dyDescent="0.3">
      <c r="A622" s="2">
        <v>45416</v>
      </c>
      <c r="B622" t="s">
        <v>20</v>
      </c>
      <c r="C622" s="4">
        <v>134.6</v>
      </c>
      <c r="D622" s="4">
        <v>208.6</v>
      </c>
      <c r="E622" s="4">
        <v>89.6</v>
      </c>
      <c r="F622" s="4">
        <v>11.45</v>
      </c>
      <c r="G622" s="4">
        <v>79.599999999999994</v>
      </c>
      <c r="H622" s="4">
        <v>0.88</v>
      </c>
      <c r="I622" s="4">
        <v>23.5</v>
      </c>
      <c r="J622" s="4">
        <v>10.7</v>
      </c>
      <c r="K622" s="4">
        <v>3.92</v>
      </c>
      <c r="L622" s="4">
        <v>224.33333333333329</v>
      </c>
      <c r="M622" s="4">
        <v>208.6</v>
      </c>
      <c r="N622" s="4">
        <v>112</v>
      </c>
      <c r="O622" s="4">
        <v>28.625</v>
      </c>
      <c r="P622" s="4">
        <v>199</v>
      </c>
      <c r="Q622" s="4">
        <v>44</v>
      </c>
      <c r="R622" s="4">
        <v>224</v>
      </c>
      <c r="S622" s="4" t="str" cm="1">
        <f t="array" ref="S622">_xlfn.IFS($R622&lt;=50,"Good",$R622&lt;=100,"Moderate",$R622&lt;=200,"Poor",$R622&lt;=300,"Very Poor",$R622&lt;=500,"Hazardous")</f>
        <v>Very Poor</v>
      </c>
      <c r="T622" t="s">
        <v>25</v>
      </c>
      <c r="X622" s="2"/>
      <c r="Y622" s="2"/>
    </row>
    <row r="623" spans="1:25" x14ac:dyDescent="0.3">
      <c r="A623" s="2">
        <v>45416</v>
      </c>
      <c r="B623" t="s">
        <v>21</v>
      </c>
      <c r="C623" s="4">
        <v>132.80000000000001</v>
      </c>
      <c r="D623" s="4">
        <v>108.5</v>
      </c>
      <c r="E623" s="4">
        <v>49.9</v>
      </c>
      <c r="F623" s="4">
        <v>5.29</v>
      </c>
      <c r="G623" s="4">
        <v>62</v>
      </c>
      <c r="H623" s="4">
        <v>2.34</v>
      </c>
      <c r="I623" s="4">
        <v>15.8</v>
      </c>
      <c r="J623" s="4">
        <v>67.400000000000006</v>
      </c>
      <c r="K623" s="4">
        <v>2.17</v>
      </c>
      <c r="L623" s="4">
        <v>221.33333333333329</v>
      </c>
      <c r="M623" s="4">
        <v>108.5</v>
      </c>
      <c r="N623" s="4">
        <v>62.375</v>
      </c>
      <c r="O623" s="4">
        <v>13.225</v>
      </c>
      <c r="P623" s="4">
        <v>155</v>
      </c>
      <c r="Q623" s="4">
        <v>117</v>
      </c>
      <c r="R623" s="4">
        <v>221</v>
      </c>
      <c r="S623" s="4" t="str" cm="1">
        <f t="array" ref="S623">_xlfn.IFS($R623&lt;=50,"Good",$R623&lt;=100,"Moderate",$R623&lt;=200,"Poor",$R623&lt;=300,"Very Poor",$R623&lt;=500,"Hazardous")</f>
        <v>Very Poor</v>
      </c>
      <c r="T623" t="s">
        <v>25</v>
      </c>
      <c r="X623" s="2"/>
      <c r="Y623" s="2"/>
    </row>
    <row r="624" spans="1:25" x14ac:dyDescent="0.3">
      <c r="A624" s="2">
        <v>45416</v>
      </c>
      <c r="B624" t="s">
        <v>22</v>
      </c>
      <c r="C624" s="4">
        <v>60.2</v>
      </c>
      <c r="D624" s="4">
        <v>140.19999999999999</v>
      </c>
      <c r="E624" s="4">
        <v>39.200000000000003</v>
      </c>
      <c r="F624" s="4">
        <v>7.11</v>
      </c>
      <c r="G624" s="4">
        <v>32.9</v>
      </c>
      <c r="H624" s="4">
        <v>1.69</v>
      </c>
      <c r="I624" s="4">
        <v>30.9</v>
      </c>
      <c r="J624" s="4">
        <v>64</v>
      </c>
      <c r="K624" s="4">
        <v>0.97</v>
      </c>
      <c r="L624" s="4">
        <v>100.3333333333333</v>
      </c>
      <c r="M624" s="4">
        <v>140.19999999999999</v>
      </c>
      <c r="N624" s="4">
        <v>49</v>
      </c>
      <c r="O624" s="4">
        <v>17.774999999999999</v>
      </c>
      <c r="P624" s="4">
        <v>82.249999999999986</v>
      </c>
      <c r="Q624" s="4">
        <v>84.499999999999986</v>
      </c>
      <c r="R624" s="4">
        <v>140</v>
      </c>
      <c r="S624" s="4" t="str" cm="1">
        <f t="array" ref="S624">_xlfn.IFS($R624&lt;=50,"Good",$R624&lt;=100,"Moderate",$R624&lt;=200,"Poor",$R624&lt;=300,"Very Poor",$R624&lt;=500,"Hazardous")</f>
        <v>Poor</v>
      </c>
      <c r="T624" t="s">
        <v>28</v>
      </c>
      <c r="X624" s="2"/>
      <c r="Y624" s="2"/>
    </row>
    <row r="625" spans="1:25" x14ac:dyDescent="0.3">
      <c r="A625" s="2">
        <v>45416</v>
      </c>
      <c r="B625" t="s">
        <v>23</v>
      </c>
      <c r="C625" s="4">
        <v>48.6</v>
      </c>
      <c r="D625" s="4">
        <v>173.9</v>
      </c>
      <c r="E625" s="4">
        <v>45.8</v>
      </c>
      <c r="F625" s="4">
        <v>11.3</v>
      </c>
      <c r="G625" s="4">
        <v>84.2</v>
      </c>
      <c r="H625" s="4">
        <v>1.82</v>
      </c>
      <c r="I625" s="4">
        <v>28.7</v>
      </c>
      <c r="J625" s="4">
        <v>50.8</v>
      </c>
      <c r="K625" s="4">
        <v>0.2</v>
      </c>
      <c r="L625" s="4">
        <v>81</v>
      </c>
      <c r="M625" s="4">
        <v>173.9</v>
      </c>
      <c r="N625" s="4">
        <v>57.249999999999993</v>
      </c>
      <c r="O625" s="4">
        <v>28.25</v>
      </c>
      <c r="P625" s="4">
        <v>210.5</v>
      </c>
      <c r="Q625" s="4">
        <v>91</v>
      </c>
      <c r="R625" s="4">
        <v>211</v>
      </c>
      <c r="S625" s="4" t="str" cm="1">
        <f t="array" ref="S625">_xlfn.IFS($R625&lt;=50,"Good",$R625&lt;=100,"Moderate",$R625&lt;=200,"Poor",$R625&lt;=300,"Very Poor",$R625&lt;=500,"Hazardous")</f>
        <v>Very Poor</v>
      </c>
      <c r="T625" t="s">
        <v>27</v>
      </c>
      <c r="X625" s="2"/>
      <c r="Y625" s="2"/>
    </row>
    <row r="626" spans="1:25" x14ac:dyDescent="0.3">
      <c r="A626" s="2">
        <v>45416</v>
      </c>
      <c r="B626" t="s">
        <v>24</v>
      </c>
      <c r="C626" s="4">
        <v>60.4</v>
      </c>
      <c r="D626" s="4">
        <v>110.5</v>
      </c>
      <c r="E626" s="4">
        <v>58.1</v>
      </c>
      <c r="F626" s="4">
        <v>7.95</v>
      </c>
      <c r="G626" s="4">
        <v>35.200000000000003</v>
      </c>
      <c r="H626" s="4">
        <v>0.15</v>
      </c>
      <c r="I626" s="4">
        <v>21.4</v>
      </c>
      <c r="J626" s="4">
        <v>68.599999999999994</v>
      </c>
      <c r="K626" s="4">
        <v>5.0599999999999996</v>
      </c>
      <c r="L626" s="4">
        <v>100.6666666666667</v>
      </c>
      <c r="M626" s="4">
        <v>110.5</v>
      </c>
      <c r="N626" s="4">
        <v>72.625</v>
      </c>
      <c r="O626" s="4">
        <v>19.875</v>
      </c>
      <c r="P626" s="4">
        <v>88.000000000000014</v>
      </c>
      <c r="Q626" s="4">
        <v>7.5</v>
      </c>
      <c r="R626" s="4">
        <v>110</v>
      </c>
      <c r="S626" s="4" t="str" cm="1">
        <f t="array" ref="S626">_xlfn.IFS($R626&lt;=50,"Good",$R626&lt;=100,"Moderate",$R626&lt;=200,"Poor",$R626&lt;=300,"Very Poor",$R626&lt;=500,"Hazardous")</f>
        <v>Poor</v>
      </c>
      <c r="T626" t="s">
        <v>28</v>
      </c>
      <c r="X626" s="2"/>
      <c r="Y626" s="2"/>
    </row>
    <row r="627" spans="1:25" x14ac:dyDescent="0.3">
      <c r="A627" s="2">
        <v>45417</v>
      </c>
      <c r="B627" t="s">
        <v>20</v>
      </c>
      <c r="C627" s="4">
        <v>65.599999999999994</v>
      </c>
      <c r="D627" s="4">
        <v>160.6</v>
      </c>
      <c r="E627" s="4">
        <v>73.7</v>
      </c>
      <c r="F627" s="4">
        <v>4.54</v>
      </c>
      <c r="G627" s="4">
        <v>56.5</v>
      </c>
      <c r="H627" s="4">
        <v>0.87</v>
      </c>
      <c r="I627" s="4">
        <v>34.1</v>
      </c>
      <c r="J627" s="4">
        <v>62.7</v>
      </c>
      <c r="K627" s="4">
        <v>2.86</v>
      </c>
      <c r="L627" s="4">
        <v>109.3333333333333</v>
      </c>
      <c r="M627" s="4">
        <v>160.6</v>
      </c>
      <c r="N627" s="4">
        <v>92.125</v>
      </c>
      <c r="O627" s="4">
        <v>11.35</v>
      </c>
      <c r="P627" s="4">
        <v>141.25</v>
      </c>
      <c r="Q627" s="4">
        <v>43.5</v>
      </c>
      <c r="R627" s="4">
        <v>161</v>
      </c>
      <c r="S627" s="4" t="str" cm="1">
        <f t="array" ref="S627">_xlfn.IFS($R627&lt;=50,"Good",$R627&lt;=100,"Moderate",$R627&lt;=200,"Poor",$R627&lt;=300,"Very Poor",$R627&lt;=500,"Hazardous")</f>
        <v>Poor</v>
      </c>
      <c r="T627" t="s">
        <v>28</v>
      </c>
      <c r="X627" s="2"/>
      <c r="Y627" s="2"/>
    </row>
    <row r="628" spans="1:25" x14ac:dyDescent="0.3">
      <c r="A628" s="2">
        <v>45417</v>
      </c>
      <c r="B628" t="s">
        <v>21</v>
      </c>
      <c r="C628" s="4">
        <v>45.7</v>
      </c>
      <c r="D628" s="4">
        <v>203</v>
      </c>
      <c r="E628" s="4">
        <v>108.4</v>
      </c>
      <c r="F628" s="4">
        <v>3.7</v>
      </c>
      <c r="G628" s="4">
        <v>39.4</v>
      </c>
      <c r="H628" s="4">
        <v>1.67</v>
      </c>
      <c r="I628" s="4">
        <v>33.5</v>
      </c>
      <c r="J628" s="4">
        <v>49.9</v>
      </c>
      <c r="K628" s="4">
        <v>0.2</v>
      </c>
      <c r="L628" s="4">
        <v>76.166666666666671</v>
      </c>
      <c r="M628" s="4">
        <v>203</v>
      </c>
      <c r="N628" s="4">
        <v>135.5</v>
      </c>
      <c r="O628" s="4">
        <v>9.2500000000000018</v>
      </c>
      <c r="P628" s="4">
        <v>98.499999999999986</v>
      </c>
      <c r="Q628" s="4">
        <v>83.499999999999986</v>
      </c>
      <c r="R628" s="4">
        <v>203</v>
      </c>
      <c r="S628" s="4" t="str" cm="1">
        <f t="array" ref="S628">_xlfn.IFS($R628&lt;=50,"Good",$R628&lt;=100,"Moderate",$R628&lt;=200,"Poor",$R628&lt;=300,"Very Poor",$R628&lt;=500,"Hazardous")</f>
        <v>Very Poor</v>
      </c>
      <c r="T628" t="s">
        <v>28</v>
      </c>
      <c r="X628" s="2"/>
      <c r="Y628" s="2"/>
    </row>
    <row r="629" spans="1:25" x14ac:dyDescent="0.3">
      <c r="A629" s="2">
        <v>45417</v>
      </c>
      <c r="B629" t="s">
        <v>22</v>
      </c>
      <c r="C629" s="4">
        <v>95.7</v>
      </c>
      <c r="D629" s="4">
        <v>157.30000000000001</v>
      </c>
      <c r="E629" s="4">
        <v>9.6</v>
      </c>
      <c r="F629" s="4">
        <v>4.71</v>
      </c>
      <c r="G629" s="4">
        <v>75.2</v>
      </c>
      <c r="H629" s="4">
        <v>1.97</v>
      </c>
      <c r="I629" s="4">
        <v>34.6</v>
      </c>
      <c r="J629" s="4">
        <v>56.8</v>
      </c>
      <c r="K629" s="4">
        <v>2.6</v>
      </c>
      <c r="L629" s="4">
        <v>159.5</v>
      </c>
      <c r="M629" s="4">
        <v>157.30000000000001</v>
      </c>
      <c r="N629" s="4">
        <v>12</v>
      </c>
      <c r="O629" s="4">
        <v>11.775</v>
      </c>
      <c r="P629" s="4">
        <v>188</v>
      </c>
      <c r="Q629" s="4">
        <v>98.5</v>
      </c>
      <c r="R629" s="4">
        <v>188</v>
      </c>
      <c r="S629" s="4" t="str" cm="1">
        <f t="array" ref="S629">_xlfn.IFS($R629&lt;=50,"Good",$R629&lt;=100,"Moderate",$R629&lt;=200,"Poor",$R629&lt;=300,"Very Poor",$R629&lt;=500,"Hazardous")</f>
        <v>Poor</v>
      </c>
      <c r="T629" t="s">
        <v>27</v>
      </c>
      <c r="X629" s="2"/>
      <c r="Y629" s="2"/>
    </row>
    <row r="630" spans="1:25" x14ac:dyDescent="0.3">
      <c r="A630" s="2">
        <v>45417</v>
      </c>
      <c r="B630" t="s">
        <v>23</v>
      </c>
      <c r="C630" s="4">
        <v>56.1</v>
      </c>
      <c r="D630" s="4">
        <v>187.7</v>
      </c>
      <c r="E630" s="4">
        <v>27.5</v>
      </c>
      <c r="F630" s="4">
        <v>3.97</v>
      </c>
      <c r="G630" s="4">
        <v>65.3</v>
      </c>
      <c r="H630" s="4">
        <v>1.17</v>
      </c>
      <c r="I630" s="4">
        <v>37.6</v>
      </c>
      <c r="J630" s="4">
        <v>47.9</v>
      </c>
      <c r="K630" s="4">
        <v>2.4300000000000002</v>
      </c>
      <c r="L630" s="4">
        <v>93.5</v>
      </c>
      <c r="M630" s="4">
        <v>187.7</v>
      </c>
      <c r="N630" s="4">
        <v>34.375</v>
      </c>
      <c r="O630" s="4">
        <v>9.9249999999999989</v>
      </c>
      <c r="P630" s="4">
        <v>163.25</v>
      </c>
      <c r="Q630" s="4">
        <v>58.5</v>
      </c>
      <c r="R630" s="4">
        <v>188</v>
      </c>
      <c r="S630" s="4" t="str" cm="1">
        <f t="array" ref="S630">_xlfn.IFS($R630&lt;=50,"Good",$R630&lt;=100,"Moderate",$R630&lt;=200,"Poor",$R630&lt;=300,"Very Poor",$R630&lt;=500,"Hazardous")</f>
        <v>Poor</v>
      </c>
      <c r="T630" t="s">
        <v>28</v>
      </c>
      <c r="X630" s="2"/>
      <c r="Y630" s="2"/>
    </row>
    <row r="631" spans="1:25" x14ac:dyDescent="0.3">
      <c r="A631" s="2">
        <v>45417</v>
      </c>
      <c r="B631" t="s">
        <v>24</v>
      </c>
      <c r="C631" s="4">
        <v>35.6</v>
      </c>
      <c r="D631" s="4">
        <v>132.5</v>
      </c>
      <c r="E631" s="4">
        <v>17</v>
      </c>
      <c r="F631" s="4">
        <v>6.12</v>
      </c>
      <c r="G631" s="4">
        <v>4.5</v>
      </c>
      <c r="H631" s="4">
        <v>1.78</v>
      </c>
      <c r="I631" s="4">
        <v>33</v>
      </c>
      <c r="J631" s="4">
        <v>28.9</v>
      </c>
      <c r="K631" s="4">
        <v>4.5999999999999996</v>
      </c>
      <c r="L631" s="4">
        <v>59.333333333333343</v>
      </c>
      <c r="M631" s="4">
        <v>132.5</v>
      </c>
      <c r="N631" s="4">
        <v>21.25</v>
      </c>
      <c r="O631" s="4">
        <v>15.3</v>
      </c>
      <c r="P631" s="4">
        <v>11.25</v>
      </c>
      <c r="Q631" s="4">
        <v>89</v>
      </c>
      <c r="R631" s="4">
        <v>132</v>
      </c>
      <c r="S631" s="4" t="str" cm="1">
        <f t="array" ref="S631">_xlfn.IFS($R631&lt;=50,"Good",$R631&lt;=100,"Moderate",$R631&lt;=200,"Poor",$R631&lt;=300,"Very Poor",$R631&lt;=500,"Hazardous")</f>
        <v>Poor</v>
      </c>
      <c r="T631" t="s">
        <v>28</v>
      </c>
      <c r="X631" s="2"/>
      <c r="Y631" s="2"/>
    </row>
    <row r="632" spans="1:25" x14ac:dyDescent="0.3">
      <c r="A632" s="2">
        <v>45418</v>
      </c>
      <c r="B632" t="s">
        <v>20</v>
      </c>
      <c r="C632" s="4">
        <v>155.19999999999999</v>
      </c>
      <c r="D632" s="4">
        <v>141.19999999999999</v>
      </c>
      <c r="E632" s="4">
        <v>37</v>
      </c>
      <c r="F632" s="4">
        <v>25.44</v>
      </c>
      <c r="G632" s="4">
        <v>8.1</v>
      </c>
      <c r="H632" s="4">
        <v>1.39</v>
      </c>
      <c r="I632" s="4">
        <v>29.3</v>
      </c>
      <c r="J632" s="4">
        <v>84.2</v>
      </c>
      <c r="K632" s="4">
        <v>2.93</v>
      </c>
      <c r="L632" s="4">
        <v>258.66666666666657</v>
      </c>
      <c r="M632" s="4">
        <v>141.19999999999999</v>
      </c>
      <c r="N632" s="4">
        <v>46.25</v>
      </c>
      <c r="O632" s="4">
        <v>63.6</v>
      </c>
      <c r="P632" s="4">
        <v>20.25</v>
      </c>
      <c r="Q632" s="4">
        <v>69.499999999999986</v>
      </c>
      <c r="R632" s="4">
        <v>259</v>
      </c>
      <c r="S632" s="4" t="str" cm="1">
        <f t="array" ref="S632">_xlfn.IFS($R632&lt;=50,"Good",$R632&lt;=100,"Moderate",$R632&lt;=200,"Poor",$R632&lt;=300,"Very Poor",$R632&lt;=500,"Hazardous")</f>
        <v>Very Poor</v>
      </c>
      <c r="T632" t="s">
        <v>25</v>
      </c>
      <c r="X632" s="2"/>
      <c r="Y632" s="2"/>
    </row>
    <row r="633" spans="1:25" x14ac:dyDescent="0.3">
      <c r="A633" s="2">
        <v>45418</v>
      </c>
      <c r="B633" t="s">
        <v>21</v>
      </c>
      <c r="C633" s="4">
        <v>56.3</v>
      </c>
      <c r="D633" s="4">
        <v>78.7</v>
      </c>
      <c r="E633" s="4">
        <v>47.7</v>
      </c>
      <c r="F633" s="4">
        <v>3.71</v>
      </c>
      <c r="G633" s="4">
        <v>51.5</v>
      </c>
      <c r="H633" s="4">
        <v>1.08</v>
      </c>
      <c r="I633" s="4">
        <v>17.5</v>
      </c>
      <c r="J633" s="4">
        <v>82.6</v>
      </c>
      <c r="K633" s="4">
        <v>1.9</v>
      </c>
      <c r="L633" s="4">
        <v>93.833333333333329</v>
      </c>
      <c r="M633" s="4">
        <v>78.7</v>
      </c>
      <c r="N633" s="4">
        <v>59.625000000000007</v>
      </c>
      <c r="O633" s="4">
        <v>9.2750000000000004</v>
      </c>
      <c r="P633" s="4">
        <v>128.75</v>
      </c>
      <c r="Q633" s="4">
        <v>54.000000000000007</v>
      </c>
      <c r="R633" s="4">
        <v>129</v>
      </c>
      <c r="S633" s="4" t="str" cm="1">
        <f t="array" ref="S633">_xlfn.IFS($R633&lt;=50,"Good",$R633&lt;=100,"Moderate",$R633&lt;=200,"Poor",$R633&lt;=300,"Very Poor",$R633&lt;=500,"Hazardous")</f>
        <v>Poor</v>
      </c>
      <c r="T633" t="s">
        <v>27</v>
      </c>
      <c r="X633" s="2"/>
      <c r="Y633" s="2"/>
    </row>
    <row r="634" spans="1:25" x14ac:dyDescent="0.3">
      <c r="A634" s="2">
        <v>45418</v>
      </c>
      <c r="B634" t="s">
        <v>22</v>
      </c>
      <c r="C634" s="4">
        <v>20.9</v>
      </c>
      <c r="D634" s="4">
        <v>104.4</v>
      </c>
      <c r="E634" s="4">
        <v>44</v>
      </c>
      <c r="F634" s="4">
        <v>0.5</v>
      </c>
      <c r="G634" s="4">
        <v>45.9</v>
      </c>
      <c r="H634" s="4">
        <v>0.54</v>
      </c>
      <c r="I634" s="4">
        <v>40</v>
      </c>
      <c r="J634" s="4">
        <v>69.400000000000006</v>
      </c>
      <c r="K634" s="4">
        <v>2.02</v>
      </c>
      <c r="L634" s="4">
        <v>34.833333333333343</v>
      </c>
      <c r="M634" s="4">
        <v>104.4</v>
      </c>
      <c r="N634" s="4">
        <v>55</v>
      </c>
      <c r="O634" s="4">
        <v>1.25</v>
      </c>
      <c r="P634" s="4">
        <v>114.75</v>
      </c>
      <c r="Q634" s="4">
        <v>27</v>
      </c>
      <c r="R634" s="4">
        <v>115</v>
      </c>
      <c r="S634" s="4" t="str" cm="1">
        <f t="array" ref="S634">_xlfn.IFS($R634&lt;=50,"Good",$R634&lt;=100,"Moderate",$R634&lt;=200,"Poor",$R634&lt;=300,"Very Poor",$R634&lt;=500,"Hazardous")</f>
        <v>Poor</v>
      </c>
      <c r="T634" t="s">
        <v>27</v>
      </c>
      <c r="X634" s="2"/>
      <c r="Y634" s="2"/>
    </row>
    <row r="635" spans="1:25" x14ac:dyDescent="0.3">
      <c r="A635" s="2">
        <v>45418</v>
      </c>
      <c r="B635" t="s">
        <v>23</v>
      </c>
      <c r="C635" s="4">
        <v>37.6</v>
      </c>
      <c r="D635" s="4">
        <v>113.7</v>
      </c>
      <c r="E635" s="4">
        <v>57.3</v>
      </c>
      <c r="F635" s="4">
        <v>7.87</v>
      </c>
      <c r="G635" s="4">
        <v>34.6</v>
      </c>
      <c r="H635" s="4">
        <v>1.24</v>
      </c>
      <c r="I635" s="4">
        <v>23.8</v>
      </c>
      <c r="J635" s="4">
        <v>53.8</v>
      </c>
      <c r="K635" s="4">
        <v>0.2</v>
      </c>
      <c r="L635" s="4">
        <v>62.666666666666657</v>
      </c>
      <c r="M635" s="4">
        <v>113.7</v>
      </c>
      <c r="N635" s="4">
        <v>71.625</v>
      </c>
      <c r="O635" s="4">
        <v>19.675000000000001</v>
      </c>
      <c r="P635" s="4">
        <v>86.500000000000014</v>
      </c>
      <c r="Q635" s="4">
        <v>62</v>
      </c>
      <c r="R635" s="4">
        <v>114</v>
      </c>
      <c r="S635" s="4" t="str" cm="1">
        <f t="array" ref="S635">_xlfn.IFS($R635&lt;=50,"Good",$R635&lt;=100,"Moderate",$R635&lt;=200,"Poor",$R635&lt;=300,"Very Poor",$R635&lt;=500,"Hazardous")</f>
        <v>Poor</v>
      </c>
      <c r="T635" t="s">
        <v>28</v>
      </c>
      <c r="X635" s="2"/>
      <c r="Y635" s="2"/>
    </row>
    <row r="636" spans="1:25" x14ac:dyDescent="0.3">
      <c r="A636" s="2">
        <v>45418</v>
      </c>
      <c r="B636" t="s">
        <v>24</v>
      </c>
      <c r="C636" s="4">
        <v>98.1</v>
      </c>
      <c r="D636" s="4">
        <v>151.69999999999999</v>
      </c>
      <c r="E636" s="4">
        <v>32.5</v>
      </c>
      <c r="F636" s="4">
        <v>19.239999999999998</v>
      </c>
      <c r="G636" s="4">
        <v>46.4</v>
      </c>
      <c r="H636" s="4">
        <v>0.64</v>
      </c>
      <c r="I636" s="4">
        <v>34</v>
      </c>
      <c r="J636" s="4">
        <v>67.2</v>
      </c>
      <c r="K636" s="4">
        <v>3.47</v>
      </c>
      <c r="L636" s="4">
        <v>163.5</v>
      </c>
      <c r="M636" s="4">
        <v>151.69999999999999</v>
      </c>
      <c r="N636" s="4">
        <v>40.625</v>
      </c>
      <c r="O636" s="4">
        <v>48.099999999999987</v>
      </c>
      <c r="P636" s="4">
        <v>116</v>
      </c>
      <c r="Q636" s="4">
        <v>32</v>
      </c>
      <c r="R636" s="4">
        <v>163</v>
      </c>
      <c r="S636" s="4" t="str" cm="1">
        <f t="array" ref="S636">_xlfn.IFS($R636&lt;=50,"Good",$R636&lt;=100,"Moderate",$R636&lt;=200,"Poor",$R636&lt;=300,"Very Poor",$R636&lt;=500,"Hazardous")</f>
        <v>Poor</v>
      </c>
      <c r="T636" t="s">
        <v>25</v>
      </c>
      <c r="X636" s="2"/>
      <c r="Y636" s="2"/>
    </row>
    <row r="637" spans="1:25" x14ac:dyDescent="0.3">
      <c r="A637" s="2">
        <v>45419</v>
      </c>
      <c r="B637" t="s">
        <v>20</v>
      </c>
      <c r="C637" s="4">
        <v>54.3</v>
      </c>
      <c r="D637" s="4">
        <v>169.1</v>
      </c>
      <c r="E637" s="4">
        <v>45.7</v>
      </c>
      <c r="F637" s="4">
        <v>12.4</v>
      </c>
      <c r="G637" s="4">
        <v>1</v>
      </c>
      <c r="H637" s="4">
        <v>1.08</v>
      </c>
      <c r="I637" s="4">
        <v>40.1</v>
      </c>
      <c r="J637" s="4">
        <v>46.2</v>
      </c>
      <c r="K637" s="4">
        <v>1.78</v>
      </c>
      <c r="L637" s="4">
        <v>90.5</v>
      </c>
      <c r="M637" s="4">
        <v>169.1</v>
      </c>
      <c r="N637" s="4">
        <v>57.125</v>
      </c>
      <c r="O637" s="4">
        <v>31</v>
      </c>
      <c r="P637" s="4">
        <v>2.5</v>
      </c>
      <c r="Q637" s="4">
        <v>54.000000000000007</v>
      </c>
      <c r="R637" s="4">
        <v>169</v>
      </c>
      <c r="S637" s="4" t="str" cm="1">
        <f t="array" ref="S637">_xlfn.IFS($R637&lt;=50,"Good",$R637&lt;=100,"Moderate",$R637&lt;=200,"Poor",$R637&lt;=300,"Very Poor",$R637&lt;=500,"Hazardous")</f>
        <v>Poor</v>
      </c>
      <c r="T637" t="s">
        <v>28</v>
      </c>
      <c r="X637" s="2"/>
      <c r="Y637" s="2"/>
    </row>
    <row r="638" spans="1:25" x14ac:dyDescent="0.3">
      <c r="A638" s="2">
        <v>45419</v>
      </c>
      <c r="B638" t="s">
        <v>21</v>
      </c>
      <c r="C638" s="4">
        <v>58.2</v>
      </c>
      <c r="D638" s="4">
        <v>58.9</v>
      </c>
      <c r="E638" s="4">
        <v>2</v>
      </c>
      <c r="F638" s="4">
        <v>8.56</v>
      </c>
      <c r="G638" s="4">
        <v>54.2</v>
      </c>
      <c r="H638" s="4">
        <v>1.46</v>
      </c>
      <c r="I638" s="4">
        <v>27</v>
      </c>
      <c r="J638" s="4">
        <v>60.8</v>
      </c>
      <c r="K638" s="4">
        <v>3.73</v>
      </c>
      <c r="L638" s="4">
        <v>97</v>
      </c>
      <c r="M638" s="4">
        <v>58.9</v>
      </c>
      <c r="N638" s="4">
        <v>2.5</v>
      </c>
      <c r="O638" s="4">
        <v>21.4</v>
      </c>
      <c r="P638" s="4">
        <v>135.5</v>
      </c>
      <c r="Q638" s="4">
        <v>73</v>
      </c>
      <c r="R638" s="4">
        <v>136</v>
      </c>
      <c r="S638" s="4" t="str" cm="1">
        <f t="array" ref="S638">_xlfn.IFS($R638&lt;=50,"Good",$R638&lt;=100,"Moderate",$R638&lt;=200,"Poor",$R638&lt;=300,"Very Poor",$R638&lt;=500,"Hazardous")</f>
        <v>Poor</v>
      </c>
      <c r="T638" t="s">
        <v>27</v>
      </c>
      <c r="X638" s="2"/>
      <c r="Y638" s="2"/>
    </row>
    <row r="639" spans="1:25" x14ac:dyDescent="0.3">
      <c r="A639" s="2">
        <v>45419</v>
      </c>
      <c r="B639" t="s">
        <v>22</v>
      </c>
      <c r="C639" s="4">
        <v>51.6</v>
      </c>
      <c r="D639" s="4">
        <v>81.3</v>
      </c>
      <c r="E639" s="4">
        <v>37.4</v>
      </c>
      <c r="F639" s="4">
        <v>10.35</v>
      </c>
      <c r="G639" s="4">
        <v>71.5</v>
      </c>
      <c r="H639" s="4">
        <v>0.78</v>
      </c>
      <c r="I639" s="4">
        <v>28.7</v>
      </c>
      <c r="J639" s="4">
        <v>66.099999999999994</v>
      </c>
      <c r="K639" s="4">
        <v>1.31</v>
      </c>
      <c r="L639" s="4">
        <v>86</v>
      </c>
      <c r="M639" s="4">
        <v>81.3</v>
      </c>
      <c r="N639" s="4">
        <v>46.75</v>
      </c>
      <c r="O639" s="4">
        <v>25.875</v>
      </c>
      <c r="P639" s="4">
        <v>178.75</v>
      </c>
      <c r="Q639" s="4">
        <v>39</v>
      </c>
      <c r="R639" s="4">
        <v>179</v>
      </c>
      <c r="S639" s="4" t="str" cm="1">
        <f t="array" ref="S639">_xlfn.IFS($R639&lt;=50,"Good",$R639&lt;=100,"Moderate",$R639&lt;=200,"Poor",$R639&lt;=300,"Very Poor",$R639&lt;=500,"Hazardous")</f>
        <v>Poor</v>
      </c>
      <c r="T639" t="s">
        <v>27</v>
      </c>
      <c r="X639" s="2"/>
      <c r="Y639" s="2"/>
    </row>
    <row r="640" spans="1:25" x14ac:dyDescent="0.3">
      <c r="A640" s="2">
        <v>45419</v>
      </c>
      <c r="B640" t="s">
        <v>23</v>
      </c>
      <c r="C640" s="4">
        <v>60.6</v>
      </c>
      <c r="D640" s="4">
        <v>32.1</v>
      </c>
      <c r="E640" s="4">
        <v>9.6</v>
      </c>
      <c r="F640" s="4">
        <v>9.83</v>
      </c>
      <c r="G640" s="4">
        <v>30.4</v>
      </c>
      <c r="H640" s="4">
        <v>1.32</v>
      </c>
      <c r="I640" s="4">
        <v>27.9</v>
      </c>
      <c r="J640" s="4">
        <v>42.4</v>
      </c>
      <c r="K640" s="4">
        <v>2.4500000000000002</v>
      </c>
      <c r="L640" s="4">
        <v>101</v>
      </c>
      <c r="M640" s="4">
        <v>32.1</v>
      </c>
      <c r="N640" s="4">
        <v>12</v>
      </c>
      <c r="O640" s="4">
        <v>24.574999999999999</v>
      </c>
      <c r="P640" s="4">
        <v>76</v>
      </c>
      <c r="Q640" s="4">
        <v>66</v>
      </c>
      <c r="R640" s="4">
        <v>101</v>
      </c>
      <c r="S640" s="4" t="str" cm="1">
        <f t="array" ref="S640">_xlfn.IFS($R640&lt;=50,"Good",$R640&lt;=100,"Moderate",$R640&lt;=200,"Poor",$R640&lt;=300,"Very Poor",$R640&lt;=500,"Hazardous")</f>
        <v>Poor</v>
      </c>
      <c r="T640" t="s">
        <v>25</v>
      </c>
      <c r="X640" s="2"/>
      <c r="Y640" s="2"/>
    </row>
    <row r="641" spans="1:25" x14ac:dyDescent="0.3">
      <c r="A641" s="2">
        <v>45419</v>
      </c>
      <c r="B641" t="s">
        <v>24</v>
      </c>
      <c r="C641" s="4">
        <v>25.3</v>
      </c>
      <c r="D641" s="4">
        <v>223.8</v>
      </c>
      <c r="E641" s="4">
        <v>19.7</v>
      </c>
      <c r="F641" s="4">
        <v>7.72</v>
      </c>
      <c r="G641" s="4">
        <v>15.3</v>
      </c>
      <c r="H641" s="4">
        <v>1.7</v>
      </c>
      <c r="I641" s="4">
        <v>25.7</v>
      </c>
      <c r="J641" s="4">
        <v>50.7</v>
      </c>
      <c r="K641" s="4">
        <v>4.0199999999999996</v>
      </c>
      <c r="L641" s="4">
        <v>42.166666666666657</v>
      </c>
      <c r="M641" s="4">
        <v>223.8</v>
      </c>
      <c r="N641" s="4">
        <v>24.625</v>
      </c>
      <c r="O641" s="4">
        <v>19.3</v>
      </c>
      <c r="P641" s="4">
        <v>38.25</v>
      </c>
      <c r="Q641" s="4">
        <v>84.999999999999986</v>
      </c>
      <c r="R641" s="4">
        <v>224</v>
      </c>
      <c r="S641" s="4" t="str" cm="1">
        <f t="array" ref="S641">_xlfn.IFS($R641&lt;=50,"Good",$R641&lt;=100,"Moderate",$R641&lt;=200,"Poor",$R641&lt;=300,"Very Poor",$R641&lt;=500,"Hazardous")</f>
        <v>Very Poor</v>
      </c>
      <c r="T641" t="s">
        <v>28</v>
      </c>
      <c r="X641" s="2"/>
      <c r="Y641" s="2"/>
    </row>
    <row r="642" spans="1:25" x14ac:dyDescent="0.3">
      <c r="A642" s="2">
        <v>45420</v>
      </c>
      <c r="B642" t="s">
        <v>20</v>
      </c>
      <c r="C642" s="4">
        <v>70</v>
      </c>
      <c r="D642" s="4">
        <v>173.6</v>
      </c>
      <c r="E642" s="4">
        <v>29.2</v>
      </c>
      <c r="F642" s="4">
        <v>1.1200000000000001</v>
      </c>
      <c r="G642" s="4">
        <v>49.1</v>
      </c>
      <c r="H642" s="4">
        <v>1.1599999999999999</v>
      </c>
      <c r="I642" s="4">
        <v>32.4</v>
      </c>
      <c r="J642" s="4">
        <v>58.6</v>
      </c>
      <c r="K642" s="4">
        <v>2.75</v>
      </c>
      <c r="L642" s="4">
        <v>116.6666666666667</v>
      </c>
      <c r="M642" s="4">
        <v>173.6</v>
      </c>
      <c r="N642" s="4">
        <v>36.5</v>
      </c>
      <c r="O642" s="4">
        <v>2.8</v>
      </c>
      <c r="P642" s="4">
        <v>122.75</v>
      </c>
      <c r="Q642" s="4">
        <v>57.999999999999993</v>
      </c>
      <c r="R642" s="4">
        <v>174</v>
      </c>
      <c r="S642" s="4" t="str" cm="1">
        <f t="array" ref="S642">_xlfn.IFS($R642&lt;=50,"Good",$R642&lt;=100,"Moderate",$R642&lt;=200,"Poor",$R642&lt;=300,"Very Poor",$R642&lt;=500,"Hazardous")</f>
        <v>Poor</v>
      </c>
      <c r="T642" t="s">
        <v>28</v>
      </c>
      <c r="X642" s="2"/>
      <c r="Y642" s="2"/>
    </row>
    <row r="643" spans="1:25" x14ac:dyDescent="0.3">
      <c r="A643" s="2">
        <v>45420</v>
      </c>
      <c r="B643" t="s">
        <v>21</v>
      </c>
      <c r="C643" s="4">
        <v>14.1</v>
      </c>
      <c r="D643" s="4">
        <v>291.60000000000002</v>
      </c>
      <c r="E643" s="4">
        <v>52.1</v>
      </c>
      <c r="F643" s="4">
        <v>14.36</v>
      </c>
      <c r="G643" s="4">
        <v>23.9</v>
      </c>
      <c r="H643" s="4">
        <v>1.73</v>
      </c>
      <c r="I643" s="4">
        <v>18.899999999999999</v>
      </c>
      <c r="J643" s="4">
        <v>68.099999999999994</v>
      </c>
      <c r="K643" s="4">
        <v>2.0699999999999998</v>
      </c>
      <c r="L643" s="4">
        <v>23.5</v>
      </c>
      <c r="M643" s="4">
        <v>291.60000000000002</v>
      </c>
      <c r="N643" s="4">
        <v>65.125</v>
      </c>
      <c r="O643" s="4">
        <v>35.9</v>
      </c>
      <c r="P643" s="4">
        <v>59.75</v>
      </c>
      <c r="Q643" s="4">
        <v>86.5</v>
      </c>
      <c r="R643" s="4">
        <v>292</v>
      </c>
      <c r="S643" s="4" t="str" cm="1">
        <f t="array" ref="S643">_xlfn.IFS($R643&lt;=50,"Good",$R643&lt;=100,"Moderate",$R643&lt;=200,"Poor",$R643&lt;=300,"Very Poor",$R643&lt;=500,"Hazardous")</f>
        <v>Very Poor</v>
      </c>
      <c r="T643" t="s">
        <v>28</v>
      </c>
      <c r="X643" s="2"/>
      <c r="Y643" s="2"/>
    </row>
    <row r="644" spans="1:25" x14ac:dyDescent="0.3">
      <c r="A644" s="2">
        <v>45420</v>
      </c>
      <c r="B644" t="s">
        <v>22</v>
      </c>
      <c r="C644" s="4">
        <v>57.8</v>
      </c>
      <c r="D644" s="4">
        <v>153.80000000000001</v>
      </c>
      <c r="E644" s="4">
        <v>19.3</v>
      </c>
      <c r="F644" s="4">
        <v>4.3499999999999996</v>
      </c>
      <c r="G644" s="4">
        <v>48.9</v>
      </c>
      <c r="H644" s="4">
        <v>2.34</v>
      </c>
      <c r="I644" s="4">
        <v>27</v>
      </c>
      <c r="J644" s="4">
        <v>70.599999999999994</v>
      </c>
      <c r="K644" s="4">
        <v>2.37</v>
      </c>
      <c r="L644" s="4">
        <v>96.333333333333329</v>
      </c>
      <c r="M644" s="4">
        <v>153.80000000000001</v>
      </c>
      <c r="N644" s="4">
        <v>24.125</v>
      </c>
      <c r="O644" s="4">
        <v>10.875</v>
      </c>
      <c r="P644" s="4">
        <v>122.25</v>
      </c>
      <c r="Q644" s="4">
        <v>117</v>
      </c>
      <c r="R644" s="4">
        <v>154</v>
      </c>
      <c r="S644" s="4" t="str" cm="1">
        <f t="array" ref="S644">_xlfn.IFS($R644&lt;=50,"Good",$R644&lt;=100,"Moderate",$R644&lt;=200,"Poor",$R644&lt;=300,"Very Poor",$R644&lt;=500,"Hazardous")</f>
        <v>Poor</v>
      </c>
      <c r="T644" t="s">
        <v>28</v>
      </c>
      <c r="X644" s="2"/>
      <c r="Y644" s="2"/>
    </row>
    <row r="645" spans="1:25" x14ac:dyDescent="0.3">
      <c r="A645" s="2">
        <v>45420</v>
      </c>
      <c r="B645" t="s">
        <v>23</v>
      </c>
      <c r="C645" s="4">
        <v>118.3</v>
      </c>
      <c r="D645" s="4">
        <v>15.2</v>
      </c>
      <c r="E645" s="4">
        <v>46.9</v>
      </c>
      <c r="F645" s="4">
        <v>0.5</v>
      </c>
      <c r="G645" s="4">
        <v>1</v>
      </c>
      <c r="H645" s="4">
        <v>1.38</v>
      </c>
      <c r="I645" s="4">
        <v>29</v>
      </c>
      <c r="J645" s="4">
        <v>54.9</v>
      </c>
      <c r="K645" s="4">
        <v>2.37</v>
      </c>
      <c r="L645" s="4">
        <v>197.16666666666671</v>
      </c>
      <c r="M645" s="4">
        <v>15.2</v>
      </c>
      <c r="N645" s="4">
        <v>58.625</v>
      </c>
      <c r="O645" s="4">
        <v>1.25</v>
      </c>
      <c r="P645" s="4">
        <v>2.5</v>
      </c>
      <c r="Q645" s="4">
        <v>68.999999999999986</v>
      </c>
      <c r="R645" s="4">
        <v>197</v>
      </c>
      <c r="S645" s="4" t="str" cm="1">
        <f t="array" ref="S645">_xlfn.IFS($R645&lt;=50,"Good",$R645&lt;=100,"Moderate",$R645&lt;=200,"Poor",$R645&lt;=300,"Very Poor",$R645&lt;=500,"Hazardous")</f>
        <v>Poor</v>
      </c>
      <c r="T645" t="s">
        <v>25</v>
      </c>
      <c r="X645" s="2"/>
      <c r="Y645" s="2"/>
    </row>
    <row r="646" spans="1:25" x14ac:dyDescent="0.3">
      <c r="A646" s="2">
        <v>45420</v>
      </c>
      <c r="B646" t="s">
        <v>24</v>
      </c>
      <c r="C646" s="4">
        <v>168.2</v>
      </c>
      <c r="D646" s="4">
        <v>115</v>
      </c>
      <c r="E646" s="4">
        <v>60.7</v>
      </c>
      <c r="F646" s="4">
        <v>5.23</v>
      </c>
      <c r="G646" s="4">
        <v>52.1</v>
      </c>
      <c r="H646" s="4">
        <v>1.1599999999999999</v>
      </c>
      <c r="I646" s="4">
        <v>25.1</v>
      </c>
      <c r="J646" s="4">
        <v>92.7</v>
      </c>
      <c r="K646" s="4">
        <v>4.41</v>
      </c>
      <c r="L646" s="4">
        <v>280.33333333333331</v>
      </c>
      <c r="M646" s="4">
        <v>115</v>
      </c>
      <c r="N646" s="4">
        <v>75.875</v>
      </c>
      <c r="O646" s="4">
        <v>13.074999999999999</v>
      </c>
      <c r="P646" s="4">
        <v>130.25</v>
      </c>
      <c r="Q646" s="4">
        <v>57.999999999999993</v>
      </c>
      <c r="R646" s="4">
        <v>280</v>
      </c>
      <c r="S646" s="4" t="str" cm="1">
        <f t="array" ref="S646">_xlfn.IFS($R646&lt;=50,"Good",$R646&lt;=100,"Moderate",$R646&lt;=200,"Poor",$R646&lt;=300,"Very Poor",$R646&lt;=500,"Hazardous")</f>
        <v>Very Poor</v>
      </c>
      <c r="T646" t="s">
        <v>25</v>
      </c>
      <c r="X646" s="2"/>
      <c r="Y646" s="2"/>
    </row>
    <row r="647" spans="1:25" x14ac:dyDescent="0.3">
      <c r="A647" s="2">
        <v>45421</v>
      </c>
      <c r="B647" t="s">
        <v>20</v>
      </c>
      <c r="C647" s="4">
        <v>73.7</v>
      </c>
      <c r="D647" s="4">
        <v>5</v>
      </c>
      <c r="E647" s="4">
        <v>43.4</v>
      </c>
      <c r="F647" s="4">
        <v>24.74</v>
      </c>
      <c r="G647" s="4">
        <v>39.4</v>
      </c>
      <c r="H647" s="4">
        <v>2.14</v>
      </c>
      <c r="I647" s="4">
        <v>38.1</v>
      </c>
      <c r="J647" s="4">
        <v>63.9</v>
      </c>
      <c r="K647" s="4">
        <v>1.49</v>
      </c>
      <c r="L647" s="4">
        <v>122.8333333333333</v>
      </c>
      <c r="M647" s="4">
        <v>5</v>
      </c>
      <c r="N647" s="4">
        <v>54.25</v>
      </c>
      <c r="O647" s="4">
        <v>61.849999999999987</v>
      </c>
      <c r="P647" s="4">
        <v>98.499999999999986</v>
      </c>
      <c r="Q647" s="4">
        <v>107</v>
      </c>
      <c r="R647" s="4">
        <v>123</v>
      </c>
      <c r="S647" s="4" t="str" cm="1">
        <f t="array" ref="S647">_xlfn.IFS($R647&lt;=50,"Good",$R647&lt;=100,"Moderate",$R647&lt;=200,"Poor",$R647&lt;=300,"Very Poor",$R647&lt;=500,"Hazardous")</f>
        <v>Poor</v>
      </c>
      <c r="T647" t="s">
        <v>25</v>
      </c>
      <c r="X647" s="2"/>
      <c r="Y647" s="2"/>
    </row>
    <row r="648" spans="1:25" x14ac:dyDescent="0.3">
      <c r="A648" s="2">
        <v>45421</v>
      </c>
      <c r="B648" t="s">
        <v>21</v>
      </c>
      <c r="C648" s="4">
        <v>2</v>
      </c>
      <c r="D648" s="4">
        <v>201.3</v>
      </c>
      <c r="E648" s="4">
        <v>35.9</v>
      </c>
      <c r="F648" s="4">
        <v>11.1</v>
      </c>
      <c r="G648" s="4">
        <v>10.9</v>
      </c>
      <c r="H648" s="4">
        <v>1.3</v>
      </c>
      <c r="I648" s="4">
        <v>28.2</v>
      </c>
      <c r="J648" s="4">
        <v>64.8</v>
      </c>
      <c r="K648" s="4">
        <v>1.1599999999999999</v>
      </c>
      <c r="L648" s="4">
        <v>3.333333333333333</v>
      </c>
      <c r="M648" s="4">
        <v>201.3</v>
      </c>
      <c r="N648" s="4">
        <v>44.875</v>
      </c>
      <c r="O648" s="4">
        <v>27.75</v>
      </c>
      <c r="P648" s="4">
        <v>27.25</v>
      </c>
      <c r="Q648" s="4">
        <v>65</v>
      </c>
      <c r="R648" s="4">
        <v>201</v>
      </c>
      <c r="S648" s="4" t="str" cm="1">
        <f t="array" ref="S648">_xlfn.IFS($R648&lt;=50,"Good",$R648&lt;=100,"Moderate",$R648&lt;=200,"Poor",$R648&lt;=300,"Very Poor",$R648&lt;=500,"Hazardous")</f>
        <v>Very Poor</v>
      </c>
      <c r="T648" t="s">
        <v>28</v>
      </c>
      <c r="X648" s="2"/>
      <c r="Y648" s="2"/>
    </row>
    <row r="649" spans="1:25" x14ac:dyDescent="0.3">
      <c r="A649" s="2">
        <v>45421</v>
      </c>
      <c r="B649" t="s">
        <v>22</v>
      </c>
      <c r="C649" s="4">
        <v>91.1</v>
      </c>
      <c r="D649" s="4">
        <v>80</v>
      </c>
      <c r="E649" s="4">
        <v>10.9</v>
      </c>
      <c r="F649" s="4">
        <v>7.08</v>
      </c>
      <c r="G649" s="4">
        <v>38.799999999999997</v>
      </c>
      <c r="H649" s="4">
        <v>1.23</v>
      </c>
      <c r="I649" s="4">
        <v>37.5</v>
      </c>
      <c r="J649" s="4">
        <v>55.7</v>
      </c>
      <c r="K649" s="4">
        <v>2.36</v>
      </c>
      <c r="L649" s="4">
        <v>151.83333333333329</v>
      </c>
      <c r="M649" s="4">
        <v>80</v>
      </c>
      <c r="N649" s="4">
        <v>13.625</v>
      </c>
      <c r="O649" s="4">
        <v>17.7</v>
      </c>
      <c r="P649" s="4">
        <v>96.999999999999986</v>
      </c>
      <c r="Q649" s="4">
        <v>61.5</v>
      </c>
      <c r="R649" s="4">
        <v>152</v>
      </c>
      <c r="S649" s="4" t="str" cm="1">
        <f t="array" ref="S649">_xlfn.IFS($R649&lt;=50,"Good",$R649&lt;=100,"Moderate",$R649&lt;=200,"Poor",$R649&lt;=300,"Very Poor",$R649&lt;=500,"Hazardous")</f>
        <v>Poor</v>
      </c>
      <c r="T649" t="s">
        <v>25</v>
      </c>
      <c r="X649" s="2"/>
      <c r="Y649" s="2"/>
    </row>
    <row r="650" spans="1:25" x14ac:dyDescent="0.3">
      <c r="A650" s="2">
        <v>45421</v>
      </c>
      <c r="B650" t="s">
        <v>23</v>
      </c>
      <c r="C650" s="4">
        <v>26.9</v>
      </c>
      <c r="D650" s="4">
        <v>169.2</v>
      </c>
      <c r="E650" s="4">
        <v>48.7</v>
      </c>
      <c r="F650" s="4">
        <v>5.9</v>
      </c>
      <c r="G650" s="4">
        <v>1</v>
      </c>
      <c r="H650" s="4">
        <v>2.0699999999999998</v>
      </c>
      <c r="I650" s="4">
        <v>19.399999999999999</v>
      </c>
      <c r="J650" s="4">
        <v>49.4</v>
      </c>
      <c r="K650" s="4">
        <v>2.93</v>
      </c>
      <c r="L650" s="4">
        <v>44.833333333333329</v>
      </c>
      <c r="M650" s="4">
        <v>169.2</v>
      </c>
      <c r="N650" s="4">
        <v>60.875000000000007</v>
      </c>
      <c r="O650" s="4">
        <v>14.75</v>
      </c>
      <c r="P650" s="4">
        <v>2.5</v>
      </c>
      <c r="Q650" s="4">
        <v>103.5</v>
      </c>
      <c r="R650" s="4">
        <v>169</v>
      </c>
      <c r="S650" s="4" t="str" cm="1">
        <f t="array" ref="S650">_xlfn.IFS($R650&lt;=50,"Good",$R650&lt;=100,"Moderate",$R650&lt;=200,"Poor",$R650&lt;=300,"Very Poor",$R650&lt;=500,"Hazardous")</f>
        <v>Poor</v>
      </c>
      <c r="T650" t="s">
        <v>28</v>
      </c>
      <c r="X650" s="2"/>
      <c r="Y650" s="2"/>
    </row>
    <row r="651" spans="1:25" x14ac:dyDescent="0.3">
      <c r="A651" s="2">
        <v>45421</v>
      </c>
      <c r="B651" t="s">
        <v>24</v>
      </c>
      <c r="C651" s="4">
        <v>26.5</v>
      </c>
      <c r="D651" s="4">
        <v>33.4</v>
      </c>
      <c r="E651" s="4">
        <v>2.8</v>
      </c>
      <c r="F651" s="4">
        <v>12.77</v>
      </c>
      <c r="G651" s="4">
        <v>29</v>
      </c>
      <c r="H651" s="4">
        <v>3.25</v>
      </c>
      <c r="I651" s="4">
        <v>21</v>
      </c>
      <c r="J651" s="4">
        <v>43.4</v>
      </c>
      <c r="K651" s="4">
        <v>2.3199999999999998</v>
      </c>
      <c r="L651" s="4">
        <v>44.166666666666657</v>
      </c>
      <c r="M651" s="4">
        <v>33.4</v>
      </c>
      <c r="N651" s="4">
        <v>3.5</v>
      </c>
      <c r="O651" s="4">
        <v>31.925000000000001</v>
      </c>
      <c r="P651" s="4">
        <v>72.5</v>
      </c>
      <c r="Q651" s="4">
        <v>162.5</v>
      </c>
      <c r="R651" s="4">
        <v>162</v>
      </c>
      <c r="S651" s="4" t="str" cm="1">
        <f t="array" ref="S651">_xlfn.IFS($R651&lt;=50,"Good",$R651&lt;=100,"Moderate",$R651&lt;=200,"Poor",$R651&lt;=300,"Very Poor",$R651&lt;=500,"Hazardous")</f>
        <v>Poor</v>
      </c>
      <c r="T651" t="s">
        <v>29</v>
      </c>
      <c r="X651" s="2"/>
      <c r="Y651" s="2"/>
    </row>
    <row r="652" spans="1:25" x14ac:dyDescent="0.3">
      <c r="A652" s="2">
        <v>45422</v>
      </c>
      <c r="B652" t="s">
        <v>20</v>
      </c>
      <c r="C652" s="4">
        <v>77.400000000000006</v>
      </c>
      <c r="D652" s="4">
        <v>105.6</v>
      </c>
      <c r="E652" s="4">
        <v>65.8</v>
      </c>
      <c r="F652" s="4">
        <v>3.57</v>
      </c>
      <c r="G652" s="4">
        <v>6.3</v>
      </c>
      <c r="H652" s="4">
        <v>0.14000000000000001</v>
      </c>
      <c r="I652" s="4">
        <v>12.4</v>
      </c>
      <c r="J652" s="4">
        <v>50.7</v>
      </c>
      <c r="K652" s="4">
        <v>2.14</v>
      </c>
      <c r="L652" s="4">
        <v>129</v>
      </c>
      <c r="M652" s="4">
        <v>105.6</v>
      </c>
      <c r="N652" s="4">
        <v>82.249999999999986</v>
      </c>
      <c r="O652" s="4">
        <v>8.9249999999999989</v>
      </c>
      <c r="P652" s="4">
        <v>15.75</v>
      </c>
      <c r="Q652" s="4">
        <v>7.0000000000000009</v>
      </c>
      <c r="R652" s="4">
        <v>129</v>
      </c>
      <c r="S652" s="4" t="str" cm="1">
        <f t="array" ref="S652">_xlfn.IFS($R652&lt;=50,"Good",$R652&lt;=100,"Moderate",$R652&lt;=200,"Poor",$R652&lt;=300,"Very Poor",$R652&lt;=500,"Hazardous")</f>
        <v>Poor</v>
      </c>
      <c r="T652" t="s">
        <v>25</v>
      </c>
      <c r="X652" s="2"/>
      <c r="Y652" s="2"/>
    </row>
    <row r="653" spans="1:25" x14ac:dyDescent="0.3">
      <c r="A653" s="2">
        <v>45422</v>
      </c>
      <c r="B653" t="s">
        <v>21</v>
      </c>
      <c r="C653" s="4">
        <v>51.3</v>
      </c>
      <c r="D653" s="4">
        <v>243.3</v>
      </c>
      <c r="E653" s="4">
        <v>87</v>
      </c>
      <c r="F653" s="4">
        <v>7.91</v>
      </c>
      <c r="G653" s="4">
        <v>1</v>
      </c>
      <c r="H653" s="4">
        <v>1.07</v>
      </c>
      <c r="I653" s="4">
        <v>23.8</v>
      </c>
      <c r="J653" s="4">
        <v>48.2</v>
      </c>
      <c r="K653" s="4">
        <v>1.66</v>
      </c>
      <c r="L653" s="4">
        <v>85.499999999999986</v>
      </c>
      <c r="M653" s="4">
        <v>243.3</v>
      </c>
      <c r="N653" s="4">
        <v>108.75</v>
      </c>
      <c r="O653" s="4">
        <v>19.774999999999999</v>
      </c>
      <c r="P653" s="4">
        <v>2.5</v>
      </c>
      <c r="Q653" s="4">
        <v>53.500000000000007</v>
      </c>
      <c r="R653" s="4">
        <v>243</v>
      </c>
      <c r="S653" s="4" t="str" cm="1">
        <f t="array" ref="S653">_xlfn.IFS($R653&lt;=50,"Good",$R653&lt;=100,"Moderate",$R653&lt;=200,"Poor",$R653&lt;=300,"Very Poor",$R653&lt;=500,"Hazardous")</f>
        <v>Very Poor</v>
      </c>
      <c r="T653" t="s">
        <v>28</v>
      </c>
      <c r="X653" s="2"/>
      <c r="Y653" s="2"/>
    </row>
    <row r="654" spans="1:25" x14ac:dyDescent="0.3">
      <c r="A654" s="2">
        <v>45422</v>
      </c>
      <c r="B654" t="s">
        <v>22</v>
      </c>
      <c r="C654" s="4">
        <v>38.4</v>
      </c>
      <c r="D654" s="4">
        <v>92</v>
      </c>
      <c r="E654" s="4">
        <v>30.7</v>
      </c>
      <c r="F654" s="4">
        <v>8.59</v>
      </c>
      <c r="G654" s="4">
        <v>46.6</v>
      </c>
      <c r="H654" s="4">
        <v>0.62</v>
      </c>
      <c r="I654" s="4">
        <v>36.9</v>
      </c>
      <c r="J654" s="4">
        <v>42.4</v>
      </c>
      <c r="K654" s="4">
        <v>0.56000000000000005</v>
      </c>
      <c r="L654" s="4">
        <v>64</v>
      </c>
      <c r="M654" s="4">
        <v>92</v>
      </c>
      <c r="N654" s="4">
        <v>38.375</v>
      </c>
      <c r="O654" s="4">
        <v>21.475000000000001</v>
      </c>
      <c r="P654" s="4">
        <v>116.5</v>
      </c>
      <c r="Q654" s="4">
        <v>31</v>
      </c>
      <c r="R654" s="4">
        <v>116</v>
      </c>
      <c r="S654" s="4" t="str" cm="1">
        <f t="array" ref="S654">_xlfn.IFS($R654&lt;=50,"Good",$R654&lt;=100,"Moderate",$R654&lt;=200,"Poor",$R654&lt;=300,"Very Poor",$R654&lt;=500,"Hazardous")</f>
        <v>Poor</v>
      </c>
      <c r="T654" t="s">
        <v>27</v>
      </c>
      <c r="X654" s="2"/>
      <c r="Y654" s="2"/>
    </row>
    <row r="655" spans="1:25" x14ac:dyDescent="0.3">
      <c r="A655" s="2">
        <v>45422</v>
      </c>
      <c r="B655" t="s">
        <v>23</v>
      </c>
      <c r="C655" s="4">
        <v>71.400000000000006</v>
      </c>
      <c r="D655" s="4">
        <v>71</v>
      </c>
      <c r="E655" s="4">
        <v>51.4</v>
      </c>
      <c r="F655" s="4">
        <v>0.5</v>
      </c>
      <c r="G655" s="4">
        <v>74.8</v>
      </c>
      <c r="H655" s="4">
        <v>1.6</v>
      </c>
      <c r="I655" s="4">
        <v>17.5</v>
      </c>
      <c r="J655" s="4">
        <v>33.4</v>
      </c>
      <c r="K655" s="4">
        <v>4.51</v>
      </c>
      <c r="L655" s="4">
        <v>119</v>
      </c>
      <c r="M655" s="4">
        <v>71</v>
      </c>
      <c r="N655" s="4">
        <v>64.25</v>
      </c>
      <c r="O655" s="4">
        <v>1.25</v>
      </c>
      <c r="P655" s="4">
        <v>187</v>
      </c>
      <c r="Q655" s="4">
        <v>80</v>
      </c>
      <c r="R655" s="4">
        <v>187</v>
      </c>
      <c r="S655" s="4" t="str" cm="1">
        <f t="array" ref="S655">_xlfn.IFS($R655&lt;=50,"Good",$R655&lt;=100,"Moderate",$R655&lt;=200,"Poor",$R655&lt;=300,"Very Poor",$R655&lt;=500,"Hazardous")</f>
        <v>Poor</v>
      </c>
      <c r="T655" t="s">
        <v>27</v>
      </c>
      <c r="X655" s="2"/>
      <c r="Y655" s="2"/>
    </row>
    <row r="656" spans="1:25" x14ac:dyDescent="0.3">
      <c r="A656" s="2">
        <v>45422</v>
      </c>
      <c r="B656" t="s">
        <v>24</v>
      </c>
      <c r="C656" s="4">
        <v>41.7</v>
      </c>
      <c r="D656" s="4">
        <v>76.900000000000006</v>
      </c>
      <c r="E656" s="4">
        <v>2</v>
      </c>
      <c r="F656" s="4">
        <v>6.87</v>
      </c>
      <c r="G656" s="4">
        <v>37.700000000000003</v>
      </c>
      <c r="H656" s="4">
        <v>1.79</v>
      </c>
      <c r="I656" s="4">
        <v>18.2</v>
      </c>
      <c r="J656" s="4">
        <v>32.6</v>
      </c>
      <c r="K656" s="4">
        <v>3.54</v>
      </c>
      <c r="L656" s="4">
        <v>69.5</v>
      </c>
      <c r="M656" s="4">
        <v>76.900000000000006</v>
      </c>
      <c r="N656" s="4">
        <v>2.5</v>
      </c>
      <c r="O656" s="4">
        <v>17.175000000000001</v>
      </c>
      <c r="P656" s="4">
        <v>94.25</v>
      </c>
      <c r="Q656" s="4">
        <v>89.5</v>
      </c>
      <c r="R656" s="4">
        <v>94</v>
      </c>
      <c r="S656" s="4" t="str" cm="1">
        <f t="array" ref="S656">_xlfn.IFS($R656&lt;=50,"Good",$R656&lt;=100,"Moderate",$R656&lt;=200,"Poor",$R656&lt;=300,"Very Poor",$R656&lt;=500,"Hazardous")</f>
        <v>Moderate</v>
      </c>
      <c r="T656" t="s">
        <v>27</v>
      </c>
      <c r="X656" s="2"/>
      <c r="Y656" s="2"/>
    </row>
    <row r="657" spans="1:25" x14ac:dyDescent="0.3">
      <c r="A657" s="2">
        <v>45423</v>
      </c>
      <c r="B657" t="s">
        <v>20</v>
      </c>
      <c r="C657" s="4">
        <v>103.7</v>
      </c>
      <c r="D657" s="4">
        <v>29.6</v>
      </c>
      <c r="E657" s="4">
        <v>76.599999999999994</v>
      </c>
      <c r="F657" s="4">
        <v>9.42</v>
      </c>
      <c r="G657" s="4">
        <v>77.400000000000006</v>
      </c>
      <c r="H657" s="4">
        <v>1.33</v>
      </c>
      <c r="I657" s="4">
        <v>10.3</v>
      </c>
      <c r="J657" s="4">
        <v>57.3</v>
      </c>
      <c r="K657" s="4">
        <v>3.77</v>
      </c>
      <c r="L657" s="4">
        <v>172.83333333333329</v>
      </c>
      <c r="M657" s="4">
        <v>29.6</v>
      </c>
      <c r="N657" s="4">
        <v>95.749999999999986</v>
      </c>
      <c r="O657" s="4">
        <v>23.55</v>
      </c>
      <c r="P657" s="4">
        <v>193.5</v>
      </c>
      <c r="Q657" s="4">
        <v>66.5</v>
      </c>
      <c r="R657" s="4">
        <v>194</v>
      </c>
      <c r="S657" s="4" t="str" cm="1">
        <f t="array" ref="S657">_xlfn.IFS($R657&lt;=50,"Good",$R657&lt;=100,"Moderate",$R657&lt;=200,"Poor",$R657&lt;=300,"Very Poor",$R657&lt;=500,"Hazardous")</f>
        <v>Poor</v>
      </c>
      <c r="T657" t="s">
        <v>27</v>
      </c>
      <c r="X657" s="2"/>
      <c r="Y657" s="2"/>
    </row>
    <row r="658" spans="1:25" x14ac:dyDescent="0.3">
      <c r="A658" s="2">
        <v>45423</v>
      </c>
      <c r="B658" t="s">
        <v>21</v>
      </c>
      <c r="C658" s="4">
        <v>41.5</v>
      </c>
      <c r="D658" s="4">
        <v>120.9</v>
      </c>
      <c r="E658" s="4">
        <v>51.8</v>
      </c>
      <c r="F658" s="4">
        <v>0.5</v>
      </c>
      <c r="G658" s="4">
        <v>102.2</v>
      </c>
      <c r="H658" s="4">
        <v>0.82</v>
      </c>
      <c r="I658" s="4">
        <v>31.5</v>
      </c>
      <c r="J658" s="4">
        <v>58.4</v>
      </c>
      <c r="K658" s="4">
        <v>4.01</v>
      </c>
      <c r="L658" s="4">
        <v>69.166666666666671</v>
      </c>
      <c r="M658" s="4">
        <v>120.9</v>
      </c>
      <c r="N658" s="4">
        <v>64.75</v>
      </c>
      <c r="O658" s="4">
        <v>1.25</v>
      </c>
      <c r="P658" s="4">
        <v>255.5</v>
      </c>
      <c r="Q658" s="4">
        <v>40.999999999999993</v>
      </c>
      <c r="R658" s="4">
        <v>256</v>
      </c>
      <c r="S658" s="4" t="str" cm="1">
        <f t="array" ref="S658">_xlfn.IFS($R658&lt;=50,"Good",$R658&lt;=100,"Moderate",$R658&lt;=200,"Poor",$R658&lt;=300,"Very Poor",$R658&lt;=500,"Hazardous")</f>
        <v>Very Poor</v>
      </c>
      <c r="T658" t="s">
        <v>27</v>
      </c>
      <c r="X658" s="2"/>
      <c r="Y658" s="2"/>
    </row>
    <row r="659" spans="1:25" x14ac:dyDescent="0.3">
      <c r="A659" s="2">
        <v>45423</v>
      </c>
      <c r="B659" t="s">
        <v>22</v>
      </c>
      <c r="C659" s="4">
        <v>68.599999999999994</v>
      </c>
      <c r="D659" s="4">
        <v>100.6</v>
      </c>
      <c r="E659" s="4">
        <v>25.8</v>
      </c>
      <c r="F659" s="4">
        <v>11.39</v>
      </c>
      <c r="G659" s="4">
        <v>1</v>
      </c>
      <c r="H659" s="4">
        <v>1.51</v>
      </c>
      <c r="I659" s="4">
        <v>20.3</v>
      </c>
      <c r="J659" s="4">
        <v>82.5</v>
      </c>
      <c r="K659" s="4">
        <v>2.69</v>
      </c>
      <c r="L659" s="4">
        <v>114.3333333333333</v>
      </c>
      <c r="M659" s="4">
        <v>100.6</v>
      </c>
      <c r="N659" s="4">
        <v>32.25</v>
      </c>
      <c r="O659" s="4">
        <v>28.475000000000001</v>
      </c>
      <c r="P659" s="4">
        <v>2.5</v>
      </c>
      <c r="Q659" s="4">
        <v>75.5</v>
      </c>
      <c r="R659" s="4">
        <v>114</v>
      </c>
      <c r="S659" s="4" t="str" cm="1">
        <f t="array" ref="S659">_xlfn.IFS($R659&lt;=50,"Good",$R659&lt;=100,"Moderate",$R659&lt;=200,"Poor",$R659&lt;=300,"Very Poor",$R659&lt;=500,"Hazardous")</f>
        <v>Poor</v>
      </c>
      <c r="T659" t="s">
        <v>25</v>
      </c>
      <c r="X659" s="2"/>
      <c r="Y659" s="2"/>
    </row>
    <row r="660" spans="1:25" x14ac:dyDescent="0.3">
      <c r="A660" s="2">
        <v>45423</v>
      </c>
      <c r="B660" t="s">
        <v>23</v>
      </c>
      <c r="C660" s="4">
        <v>79.3</v>
      </c>
      <c r="D660" s="4">
        <v>124.9</v>
      </c>
      <c r="E660" s="4">
        <v>10</v>
      </c>
      <c r="F660" s="4">
        <v>3.7</v>
      </c>
      <c r="G660" s="4">
        <v>56.8</v>
      </c>
      <c r="H660" s="4">
        <v>1.3</v>
      </c>
      <c r="I660" s="4">
        <v>36.299999999999997</v>
      </c>
      <c r="J660" s="4">
        <v>67.3</v>
      </c>
      <c r="K660" s="4">
        <v>1.34</v>
      </c>
      <c r="L660" s="4">
        <v>132.16666666666671</v>
      </c>
      <c r="M660" s="4">
        <v>124.9</v>
      </c>
      <c r="N660" s="4">
        <v>12.5</v>
      </c>
      <c r="O660" s="4">
        <v>9.2500000000000018</v>
      </c>
      <c r="P660" s="4">
        <v>142</v>
      </c>
      <c r="Q660" s="4">
        <v>65</v>
      </c>
      <c r="R660" s="4">
        <v>142</v>
      </c>
      <c r="S660" s="4" t="str" cm="1">
        <f t="array" ref="S660">_xlfn.IFS($R660&lt;=50,"Good",$R660&lt;=100,"Moderate",$R660&lt;=200,"Poor",$R660&lt;=300,"Very Poor",$R660&lt;=500,"Hazardous")</f>
        <v>Poor</v>
      </c>
      <c r="T660" t="s">
        <v>27</v>
      </c>
      <c r="X660" s="2"/>
      <c r="Y660" s="2"/>
    </row>
    <row r="661" spans="1:25" x14ac:dyDescent="0.3">
      <c r="A661" s="2">
        <v>45423</v>
      </c>
      <c r="B661" t="s">
        <v>24</v>
      </c>
      <c r="C661" s="4">
        <v>39.700000000000003</v>
      </c>
      <c r="D661" s="4">
        <v>138.80000000000001</v>
      </c>
      <c r="E661" s="4">
        <v>2</v>
      </c>
      <c r="F661" s="4">
        <v>18</v>
      </c>
      <c r="G661" s="4">
        <v>56.1</v>
      </c>
      <c r="H661" s="4">
        <v>2.13</v>
      </c>
      <c r="I661" s="4">
        <v>16.899999999999999</v>
      </c>
      <c r="J661" s="4">
        <v>82.4</v>
      </c>
      <c r="K661" s="4">
        <v>5.68</v>
      </c>
      <c r="L661" s="4">
        <v>66.166666666666671</v>
      </c>
      <c r="M661" s="4">
        <v>138.80000000000001</v>
      </c>
      <c r="N661" s="4">
        <v>2.5</v>
      </c>
      <c r="O661" s="4">
        <v>45</v>
      </c>
      <c r="P661" s="4">
        <v>140.25</v>
      </c>
      <c r="Q661" s="4">
        <v>106.5</v>
      </c>
      <c r="R661" s="4">
        <v>140</v>
      </c>
      <c r="S661" s="4" t="str" cm="1">
        <f t="array" ref="S661">_xlfn.IFS($R661&lt;=50,"Good",$R661&lt;=100,"Moderate",$R661&lt;=200,"Poor",$R661&lt;=300,"Very Poor",$R661&lt;=500,"Hazardous")</f>
        <v>Poor</v>
      </c>
      <c r="T661" t="s">
        <v>27</v>
      </c>
      <c r="X661" s="2"/>
      <c r="Y661" s="2"/>
    </row>
    <row r="662" spans="1:25" x14ac:dyDescent="0.3">
      <c r="A662" s="2">
        <v>45424</v>
      </c>
      <c r="B662" t="s">
        <v>20</v>
      </c>
      <c r="C662" s="4">
        <v>23.4</v>
      </c>
      <c r="D662" s="4">
        <v>191.2</v>
      </c>
      <c r="E662" s="4">
        <v>51.8</v>
      </c>
      <c r="F662" s="4">
        <v>0.5</v>
      </c>
      <c r="G662" s="4">
        <v>60.2</v>
      </c>
      <c r="H662" s="4">
        <v>1.96</v>
      </c>
      <c r="I662" s="4">
        <v>23.8</v>
      </c>
      <c r="J662" s="4">
        <v>81</v>
      </c>
      <c r="K662" s="4">
        <v>0.5</v>
      </c>
      <c r="L662" s="4">
        <v>39</v>
      </c>
      <c r="M662" s="4">
        <v>191.2</v>
      </c>
      <c r="N662" s="4">
        <v>64.75</v>
      </c>
      <c r="O662" s="4">
        <v>1.25</v>
      </c>
      <c r="P662" s="4">
        <v>150.5</v>
      </c>
      <c r="Q662" s="4">
        <v>98</v>
      </c>
      <c r="R662" s="4">
        <v>191</v>
      </c>
      <c r="S662" s="4" t="str" cm="1">
        <f t="array" ref="S662">_xlfn.IFS($R662&lt;=50,"Good",$R662&lt;=100,"Moderate",$R662&lt;=200,"Poor",$R662&lt;=300,"Very Poor",$R662&lt;=500,"Hazardous")</f>
        <v>Poor</v>
      </c>
      <c r="T662" t="s">
        <v>28</v>
      </c>
      <c r="X662" s="2"/>
      <c r="Y662" s="2"/>
    </row>
    <row r="663" spans="1:25" x14ac:dyDescent="0.3">
      <c r="A663" s="2">
        <v>45424</v>
      </c>
      <c r="B663" t="s">
        <v>21</v>
      </c>
      <c r="C663" s="4">
        <v>18.899999999999999</v>
      </c>
      <c r="D663" s="4">
        <v>160.19999999999999</v>
      </c>
      <c r="E663" s="4">
        <v>56.9</v>
      </c>
      <c r="F663" s="4">
        <v>5.52</v>
      </c>
      <c r="G663" s="4">
        <v>75.3</v>
      </c>
      <c r="H663" s="4">
        <v>1.9</v>
      </c>
      <c r="I663" s="4">
        <v>34</v>
      </c>
      <c r="J663" s="4">
        <v>57.8</v>
      </c>
      <c r="K663" s="4">
        <v>3.22</v>
      </c>
      <c r="L663" s="4">
        <v>31.5</v>
      </c>
      <c r="M663" s="4">
        <v>160.19999999999999</v>
      </c>
      <c r="N663" s="4">
        <v>71.125</v>
      </c>
      <c r="O663" s="4">
        <v>13.8</v>
      </c>
      <c r="P663" s="4">
        <v>188.25</v>
      </c>
      <c r="Q663" s="4">
        <v>95</v>
      </c>
      <c r="R663" s="4">
        <v>188</v>
      </c>
      <c r="S663" s="4" t="str" cm="1">
        <f t="array" ref="S663">_xlfn.IFS($R663&lt;=50,"Good",$R663&lt;=100,"Moderate",$R663&lt;=200,"Poor",$R663&lt;=300,"Very Poor",$R663&lt;=500,"Hazardous")</f>
        <v>Poor</v>
      </c>
      <c r="T663" t="s">
        <v>27</v>
      </c>
      <c r="X663" s="2"/>
      <c r="Y663" s="2"/>
    </row>
    <row r="664" spans="1:25" x14ac:dyDescent="0.3">
      <c r="A664" s="2">
        <v>45424</v>
      </c>
      <c r="B664" t="s">
        <v>22</v>
      </c>
      <c r="C664" s="4">
        <v>44.3</v>
      </c>
      <c r="D664" s="4">
        <v>231.1</v>
      </c>
      <c r="E664" s="4">
        <v>27.3</v>
      </c>
      <c r="F664" s="4">
        <v>17.600000000000001</v>
      </c>
      <c r="G664" s="4">
        <v>38.799999999999997</v>
      </c>
      <c r="H664" s="4">
        <v>0.36</v>
      </c>
      <c r="I664" s="4">
        <v>37.6</v>
      </c>
      <c r="J664" s="4">
        <v>62.3</v>
      </c>
      <c r="K664" s="4">
        <v>3.52</v>
      </c>
      <c r="L664" s="4">
        <v>73.833333333333329</v>
      </c>
      <c r="M664" s="4">
        <v>231.1</v>
      </c>
      <c r="N664" s="4">
        <v>34.125</v>
      </c>
      <c r="O664" s="4">
        <v>44.000000000000007</v>
      </c>
      <c r="P664" s="4">
        <v>96.999999999999986</v>
      </c>
      <c r="Q664" s="4">
        <v>18</v>
      </c>
      <c r="R664" s="4">
        <v>231</v>
      </c>
      <c r="S664" s="4" t="str" cm="1">
        <f t="array" ref="S664">_xlfn.IFS($R664&lt;=50,"Good",$R664&lt;=100,"Moderate",$R664&lt;=200,"Poor",$R664&lt;=300,"Very Poor",$R664&lt;=500,"Hazardous")</f>
        <v>Very Poor</v>
      </c>
      <c r="T664" t="s">
        <v>28</v>
      </c>
      <c r="X664" s="2"/>
      <c r="Y664" s="2"/>
    </row>
    <row r="665" spans="1:25" x14ac:dyDescent="0.3">
      <c r="A665" s="2">
        <v>45424</v>
      </c>
      <c r="B665" t="s">
        <v>23</v>
      </c>
      <c r="C665" s="4">
        <v>96.7</v>
      </c>
      <c r="D665" s="4">
        <v>140.30000000000001</v>
      </c>
      <c r="E665" s="4">
        <v>33.200000000000003</v>
      </c>
      <c r="F665" s="4">
        <v>12.88</v>
      </c>
      <c r="G665" s="4">
        <v>40</v>
      </c>
      <c r="H665" s="4">
        <v>1.61</v>
      </c>
      <c r="I665" s="4">
        <v>12.9</v>
      </c>
      <c r="J665" s="4">
        <v>68</v>
      </c>
      <c r="K665" s="4">
        <v>1.73</v>
      </c>
      <c r="L665" s="4">
        <v>161.16666666666671</v>
      </c>
      <c r="M665" s="4">
        <v>140.30000000000001</v>
      </c>
      <c r="N665" s="4">
        <v>41.5</v>
      </c>
      <c r="O665" s="4">
        <v>32.200000000000003</v>
      </c>
      <c r="P665" s="4">
        <v>100</v>
      </c>
      <c r="Q665" s="4">
        <v>80.5</v>
      </c>
      <c r="R665" s="4">
        <v>161</v>
      </c>
      <c r="S665" s="4" t="str" cm="1">
        <f t="array" ref="S665">_xlfn.IFS($R665&lt;=50,"Good",$R665&lt;=100,"Moderate",$R665&lt;=200,"Poor",$R665&lt;=300,"Very Poor",$R665&lt;=500,"Hazardous")</f>
        <v>Poor</v>
      </c>
      <c r="T665" t="s">
        <v>25</v>
      </c>
      <c r="X665" s="2"/>
      <c r="Y665" s="2"/>
    </row>
    <row r="666" spans="1:25" x14ac:dyDescent="0.3">
      <c r="A666" s="2">
        <v>45424</v>
      </c>
      <c r="B666" t="s">
        <v>24</v>
      </c>
      <c r="C666" s="4">
        <v>120.6</v>
      </c>
      <c r="D666" s="4">
        <v>173.1</v>
      </c>
      <c r="E666" s="4">
        <v>54.8</v>
      </c>
      <c r="F666" s="4">
        <v>11.47</v>
      </c>
      <c r="G666" s="4">
        <v>16.5</v>
      </c>
      <c r="H666" s="4">
        <v>2.39</v>
      </c>
      <c r="I666" s="4">
        <v>41.9</v>
      </c>
      <c r="J666" s="4">
        <v>67.099999999999994</v>
      </c>
      <c r="K666" s="4">
        <v>4.91</v>
      </c>
      <c r="L666" s="4">
        <v>201</v>
      </c>
      <c r="M666" s="4">
        <v>173.1</v>
      </c>
      <c r="N666" s="4">
        <v>68.499999999999986</v>
      </c>
      <c r="O666" s="4">
        <v>28.675000000000001</v>
      </c>
      <c r="P666" s="4">
        <v>41.25</v>
      </c>
      <c r="Q666" s="4">
        <v>119.5</v>
      </c>
      <c r="R666" s="4">
        <v>201</v>
      </c>
      <c r="S666" s="4" t="str" cm="1">
        <f t="array" ref="S666">_xlfn.IFS($R666&lt;=50,"Good",$R666&lt;=100,"Moderate",$R666&lt;=200,"Poor",$R666&lt;=300,"Very Poor",$R666&lt;=500,"Hazardous")</f>
        <v>Very Poor</v>
      </c>
      <c r="T666" t="s">
        <v>25</v>
      </c>
      <c r="X666" s="2"/>
      <c r="Y666" s="2"/>
    </row>
    <row r="667" spans="1:25" x14ac:dyDescent="0.3">
      <c r="A667" s="2">
        <v>45425</v>
      </c>
      <c r="B667" t="s">
        <v>20</v>
      </c>
      <c r="C667" s="4">
        <v>49.4</v>
      </c>
      <c r="D667" s="4">
        <v>83</v>
      </c>
      <c r="E667" s="4">
        <v>52.7</v>
      </c>
      <c r="F667" s="4">
        <v>11.7</v>
      </c>
      <c r="G667" s="4">
        <v>34.700000000000003</v>
      </c>
      <c r="H667" s="4">
        <v>1.75</v>
      </c>
      <c r="I667" s="4">
        <v>30.1</v>
      </c>
      <c r="J667" s="4">
        <v>42</v>
      </c>
      <c r="K667" s="4">
        <v>3.12</v>
      </c>
      <c r="L667" s="4">
        <v>82.333333333333329</v>
      </c>
      <c r="M667" s="4">
        <v>83</v>
      </c>
      <c r="N667" s="4">
        <v>65.875</v>
      </c>
      <c r="O667" s="4">
        <v>29.25</v>
      </c>
      <c r="P667" s="4">
        <v>86.750000000000014</v>
      </c>
      <c r="Q667" s="4">
        <v>87.5</v>
      </c>
      <c r="R667" s="4">
        <v>88</v>
      </c>
      <c r="S667" s="4" t="str" cm="1">
        <f t="array" ref="S667">_xlfn.IFS($R667&lt;=50,"Good",$R667&lt;=100,"Moderate",$R667&lt;=200,"Poor",$R667&lt;=300,"Very Poor",$R667&lt;=500,"Hazardous")</f>
        <v>Moderate</v>
      </c>
      <c r="T667" t="s">
        <v>29</v>
      </c>
      <c r="X667" s="2"/>
      <c r="Y667" s="2"/>
    </row>
    <row r="668" spans="1:25" x14ac:dyDescent="0.3">
      <c r="A668" s="2">
        <v>45425</v>
      </c>
      <c r="B668" t="s">
        <v>21</v>
      </c>
      <c r="C668" s="4">
        <v>107.4</v>
      </c>
      <c r="D668" s="4">
        <v>162.9</v>
      </c>
      <c r="E668" s="4">
        <v>85.1</v>
      </c>
      <c r="F668" s="4">
        <v>2.39</v>
      </c>
      <c r="G668" s="4">
        <v>64.599999999999994</v>
      </c>
      <c r="H668" s="4">
        <v>0.62</v>
      </c>
      <c r="I668" s="4">
        <v>20.2</v>
      </c>
      <c r="J668" s="4">
        <v>48.6</v>
      </c>
      <c r="K668" s="4">
        <v>1.37</v>
      </c>
      <c r="L668" s="4">
        <v>179</v>
      </c>
      <c r="M668" s="4">
        <v>162.9</v>
      </c>
      <c r="N668" s="4">
        <v>106.375</v>
      </c>
      <c r="O668" s="4">
        <v>5.9750000000000014</v>
      </c>
      <c r="P668" s="4">
        <v>161.5</v>
      </c>
      <c r="Q668" s="4">
        <v>31</v>
      </c>
      <c r="R668" s="4">
        <v>179</v>
      </c>
      <c r="S668" s="4" t="str" cm="1">
        <f t="array" ref="S668">_xlfn.IFS($R668&lt;=50,"Good",$R668&lt;=100,"Moderate",$R668&lt;=200,"Poor",$R668&lt;=300,"Very Poor",$R668&lt;=500,"Hazardous")</f>
        <v>Poor</v>
      </c>
      <c r="T668" t="s">
        <v>25</v>
      </c>
      <c r="X668" s="2"/>
      <c r="Y668" s="2"/>
    </row>
    <row r="669" spans="1:25" x14ac:dyDescent="0.3">
      <c r="A669" s="2">
        <v>45425</v>
      </c>
      <c r="B669" t="s">
        <v>22</v>
      </c>
      <c r="C669" s="4">
        <v>41.4</v>
      </c>
      <c r="D669" s="4">
        <v>101.8</v>
      </c>
      <c r="E669" s="4">
        <v>58.7</v>
      </c>
      <c r="F669" s="4">
        <v>6.07</v>
      </c>
      <c r="G669" s="4">
        <v>1</v>
      </c>
      <c r="H669" s="4">
        <v>1.79</v>
      </c>
      <c r="I669" s="4">
        <v>22.1</v>
      </c>
      <c r="J669" s="4">
        <v>58.9</v>
      </c>
      <c r="K669" s="4">
        <v>3.04</v>
      </c>
      <c r="L669" s="4">
        <v>68.999999999999986</v>
      </c>
      <c r="M669" s="4">
        <v>101.8</v>
      </c>
      <c r="N669" s="4">
        <v>73.375000000000014</v>
      </c>
      <c r="O669" s="4">
        <v>15.175000000000001</v>
      </c>
      <c r="P669" s="4">
        <v>2.5</v>
      </c>
      <c r="Q669" s="4">
        <v>89.5</v>
      </c>
      <c r="R669" s="4">
        <v>102</v>
      </c>
      <c r="S669" s="4" t="str" cm="1">
        <f t="array" ref="S669">_xlfn.IFS($R669&lt;=50,"Good",$R669&lt;=100,"Moderate",$R669&lt;=200,"Poor",$R669&lt;=300,"Very Poor",$R669&lt;=500,"Hazardous")</f>
        <v>Poor</v>
      </c>
      <c r="T669" t="s">
        <v>28</v>
      </c>
      <c r="X669" s="2"/>
      <c r="Y669" s="2"/>
    </row>
    <row r="670" spans="1:25" x14ac:dyDescent="0.3">
      <c r="A670" s="2">
        <v>45425</v>
      </c>
      <c r="B670" t="s">
        <v>23</v>
      </c>
      <c r="C670" s="4">
        <v>66</v>
      </c>
      <c r="D670" s="4">
        <v>185.7</v>
      </c>
      <c r="E670" s="4">
        <v>54.6</v>
      </c>
      <c r="F670" s="4">
        <v>3.69</v>
      </c>
      <c r="G670" s="4">
        <v>94.5</v>
      </c>
      <c r="H670" s="4">
        <v>1.32</v>
      </c>
      <c r="I670" s="4">
        <v>27</v>
      </c>
      <c r="J670" s="4">
        <v>77.400000000000006</v>
      </c>
      <c r="K670" s="4">
        <v>2.8</v>
      </c>
      <c r="L670" s="4">
        <v>110</v>
      </c>
      <c r="M670" s="4">
        <v>185.7</v>
      </c>
      <c r="N670" s="4">
        <v>68.25</v>
      </c>
      <c r="O670" s="4">
        <v>9.2250000000000014</v>
      </c>
      <c r="P670" s="4">
        <v>236.25</v>
      </c>
      <c r="Q670" s="4">
        <v>66</v>
      </c>
      <c r="R670" s="4">
        <v>236</v>
      </c>
      <c r="S670" s="4" t="str" cm="1">
        <f t="array" ref="S670">_xlfn.IFS($R670&lt;=50,"Good",$R670&lt;=100,"Moderate",$R670&lt;=200,"Poor",$R670&lt;=300,"Very Poor",$R670&lt;=500,"Hazardous")</f>
        <v>Very Poor</v>
      </c>
      <c r="T670" t="s">
        <v>27</v>
      </c>
      <c r="X670" s="2"/>
      <c r="Y670" s="2"/>
    </row>
    <row r="671" spans="1:25" x14ac:dyDescent="0.3">
      <c r="A671" s="2">
        <v>45425</v>
      </c>
      <c r="B671" t="s">
        <v>24</v>
      </c>
      <c r="C671" s="4">
        <v>79.2</v>
      </c>
      <c r="D671" s="4">
        <v>296.5</v>
      </c>
      <c r="E671" s="4">
        <v>43.4</v>
      </c>
      <c r="F671" s="4">
        <v>7.05</v>
      </c>
      <c r="G671" s="4">
        <v>47.2</v>
      </c>
      <c r="H671" s="4">
        <v>2.0299999999999998</v>
      </c>
      <c r="I671" s="4">
        <v>17.5</v>
      </c>
      <c r="J671" s="4">
        <v>24.6</v>
      </c>
      <c r="K671" s="4">
        <v>2.2999999999999998</v>
      </c>
      <c r="L671" s="4">
        <v>132</v>
      </c>
      <c r="M671" s="4">
        <v>296.5</v>
      </c>
      <c r="N671" s="4">
        <v>54.25</v>
      </c>
      <c r="O671" s="4">
        <v>17.625</v>
      </c>
      <c r="P671" s="4">
        <v>118</v>
      </c>
      <c r="Q671" s="4">
        <v>101.5</v>
      </c>
      <c r="R671" s="4">
        <v>296</v>
      </c>
      <c r="S671" s="4" t="str" cm="1">
        <f t="array" ref="S671">_xlfn.IFS($R671&lt;=50,"Good",$R671&lt;=100,"Moderate",$R671&lt;=200,"Poor",$R671&lt;=300,"Very Poor",$R671&lt;=500,"Hazardous")</f>
        <v>Very Poor</v>
      </c>
      <c r="T671" t="s">
        <v>28</v>
      </c>
      <c r="X671" s="2"/>
      <c r="Y671" s="2"/>
    </row>
    <row r="672" spans="1:25" x14ac:dyDescent="0.3">
      <c r="A672" s="2">
        <v>45426</v>
      </c>
      <c r="B672" t="s">
        <v>20</v>
      </c>
      <c r="C672" s="4">
        <v>12.6</v>
      </c>
      <c r="D672" s="4">
        <v>108.7</v>
      </c>
      <c r="E672" s="4">
        <v>63.3</v>
      </c>
      <c r="F672" s="4">
        <v>4.08</v>
      </c>
      <c r="G672" s="4">
        <v>5</v>
      </c>
      <c r="H672" s="4">
        <v>1.43</v>
      </c>
      <c r="I672" s="4">
        <v>34</v>
      </c>
      <c r="J672" s="4">
        <v>29.5</v>
      </c>
      <c r="K672" s="4">
        <v>3.48</v>
      </c>
      <c r="L672" s="4">
        <v>21</v>
      </c>
      <c r="M672" s="4">
        <v>108.7</v>
      </c>
      <c r="N672" s="4">
        <v>79.125</v>
      </c>
      <c r="O672" s="4">
        <v>10.199999999999999</v>
      </c>
      <c r="P672" s="4">
        <v>12.5</v>
      </c>
      <c r="Q672" s="4">
        <v>71.5</v>
      </c>
      <c r="R672" s="4">
        <v>109</v>
      </c>
      <c r="S672" s="4" t="str" cm="1">
        <f t="array" ref="S672">_xlfn.IFS($R672&lt;=50,"Good",$R672&lt;=100,"Moderate",$R672&lt;=200,"Poor",$R672&lt;=300,"Very Poor",$R672&lt;=500,"Hazardous")</f>
        <v>Poor</v>
      </c>
      <c r="T672" t="s">
        <v>28</v>
      </c>
      <c r="X672" s="2"/>
      <c r="Y672" s="2"/>
    </row>
    <row r="673" spans="1:25" x14ac:dyDescent="0.3">
      <c r="A673" s="2">
        <v>45426</v>
      </c>
      <c r="B673" t="s">
        <v>21</v>
      </c>
      <c r="C673" s="4">
        <v>105.6</v>
      </c>
      <c r="D673" s="4">
        <v>221.6</v>
      </c>
      <c r="E673" s="4">
        <v>86.7</v>
      </c>
      <c r="F673" s="4">
        <v>23.76</v>
      </c>
      <c r="G673" s="4">
        <v>38.9</v>
      </c>
      <c r="H673" s="4">
        <v>1.58</v>
      </c>
      <c r="I673" s="4">
        <v>25.1</v>
      </c>
      <c r="J673" s="4">
        <v>60</v>
      </c>
      <c r="K673" s="4">
        <v>4.34</v>
      </c>
      <c r="L673" s="4">
        <v>176</v>
      </c>
      <c r="M673" s="4">
        <v>221.6</v>
      </c>
      <c r="N673" s="4">
        <v>108.375</v>
      </c>
      <c r="O673" s="4">
        <v>59.4</v>
      </c>
      <c r="P673" s="4">
        <v>97.25</v>
      </c>
      <c r="Q673" s="4">
        <v>79</v>
      </c>
      <c r="R673" s="4">
        <v>222</v>
      </c>
      <c r="S673" s="4" t="str" cm="1">
        <f t="array" ref="S673">_xlfn.IFS($R673&lt;=50,"Good",$R673&lt;=100,"Moderate",$R673&lt;=200,"Poor",$R673&lt;=300,"Very Poor",$R673&lt;=500,"Hazardous")</f>
        <v>Very Poor</v>
      </c>
      <c r="T673" t="s">
        <v>28</v>
      </c>
      <c r="X673" s="2"/>
      <c r="Y673" s="2"/>
    </row>
    <row r="674" spans="1:25" x14ac:dyDescent="0.3">
      <c r="A674" s="2">
        <v>45426</v>
      </c>
      <c r="B674" t="s">
        <v>22</v>
      </c>
      <c r="C674" s="4">
        <v>18.7</v>
      </c>
      <c r="D674" s="4">
        <v>64.900000000000006</v>
      </c>
      <c r="E674" s="4">
        <v>68.900000000000006</v>
      </c>
      <c r="F674" s="4">
        <v>12.45</v>
      </c>
      <c r="G674" s="4">
        <v>29.4</v>
      </c>
      <c r="H674" s="4">
        <v>1.63</v>
      </c>
      <c r="I674" s="4">
        <v>30.4</v>
      </c>
      <c r="J674" s="4">
        <v>87</v>
      </c>
      <c r="K674" s="4">
        <v>2.59</v>
      </c>
      <c r="L674" s="4">
        <v>31.166666666666661</v>
      </c>
      <c r="M674" s="4">
        <v>64.900000000000006</v>
      </c>
      <c r="N674" s="4">
        <v>86.125</v>
      </c>
      <c r="O674" s="4">
        <v>31.125</v>
      </c>
      <c r="P674" s="4">
        <v>73.5</v>
      </c>
      <c r="Q674" s="4">
        <v>81.499999999999986</v>
      </c>
      <c r="R674" s="4">
        <v>86</v>
      </c>
      <c r="S674" s="4" t="str" cm="1">
        <f t="array" ref="S674">_xlfn.IFS($R674&lt;=50,"Good",$R674&lt;=100,"Moderate",$R674&lt;=200,"Poor",$R674&lt;=300,"Very Poor",$R674&lt;=500,"Hazardous")</f>
        <v>Moderate</v>
      </c>
      <c r="T674" t="s">
        <v>26</v>
      </c>
      <c r="X674" s="2"/>
      <c r="Y674" s="2"/>
    </row>
    <row r="675" spans="1:25" x14ac:dyDescent="0.3">
      <c r="A675" s="2">
        <v>45426</v>
      </c>
      <c r="B675" t="s">
        <v>23</v>
      </c>
      <c r="C675" s="4">
        <v>90.8</v>
      </c>
      <c r="D675" s="4">
        <v>278.5</v>
      </c>
      <c r="E675" s="4">
        <v>57</v>
      </c>
      <c r="F675" s="4">
        <v>8.25</v>
      </c>
      <c r="G675" s="4">
        <v>58.1</v>
      </c>
      <c r="H675" s="4">
        <v>0.98</v>
      </c>
      <c r="I675" s="4">
        <v>44.7</v>
      </c>
      <c r="J675" s="4">
        <v>63.2</v>
      </c>
      <c r="K675" s="4">
        <v>2.17</v>
      </c>
      <c r="L675" s="4">
        <v>151.33333333333329</v>
      </c>
      <c r="M675" s="4">
        <v>278.5</v>
      </c>
      <c r="N675" s="4">
        <v>71.25</v>
      </c>
      <c r="O675" s="4">
        <v>20.625</v>
      </c>
      <c r="P675" s="4">
        <v>145.25</v>
      </c>
      <c r="Q675" s="4">
        <v>49</v>
      </c>
      <c r="R675" s="4">
        <v>278</v>
      </c>
      <c r="S675" s="4" t="str" cm="1">
        <f t="array" ref="S675">_xlfn.IFS($R675&lt;=50,"Good",$R675&lt;=100,"Moderate",$R675&lt;=200,"Poor",$R675&lt;=300,"Very Poor",$R675&lt;=500,"Hazardous")</f>
        <v>Very Poor</v>
      </c>
      <c r="T675" t="s">
        <v>28</v>
      </c>
      <c r="X675" s="2"/>
      <c r="Y675" s="2"/>
    </row>
    <row r="676" spans="1:25" x14ac:dyDescent="0.3">
      <c r="A676" s="2">
        <v>45426</v>
      </c>
      <c r="B676" t="s">
        <v>24</v>
      </c>
      <c r="C676" s="4">
        <v>38.4</v>
      </c>
      <c r="D676" s="4">
        <v>204.4</v>
      </c>
      <c r="E676" s="4">
        <v>68.599999999999994</v>
      </c>
      <c r="F676" s="4">
        <v>6.06</v>
      </c>
      <c r="G676" s="4">
        <v>59.9</v>
      </c>
      <c r="H676" s="4">
        <v>0.32</v>
      </c>
      <c r="I676" s="4">
        <v>29.3</v>
      </c>
      <c r="J676" s="4">
        <v>68.099999999999994</v>
      </c>
      <c r="K676" s="4">
        <v>5.05</v>
      </c>
      <c r="L676" s="4">
        <v>64</v>
      </c>
      <c r="M676" s="4">
        <v>204.4</v>
      </c>
      <c r="N676" s="4">
        <v>85.75</v>
      </c>
      <c r="O676" s="4">
        <v>15.15</v>
      </c>
      <c r="P676" s="4">
        <v>149.75</v>
      </c>
      <c r="Q676" s="4">
        <v>16</v>
      </c>
      <c r="R676" s="4">
        <v>204</v>
      </c>
      <c r="S676" s="4" t="str" cm="1">
        <f t="array" ref="S676">_xlfn.IFS($R676&lt;=50,"Good",$R676&lt;=100,"Moderate",$R676&lt;=200,"Poor",$R676&lt;=300,"Very Poor",$R676&lt;=500,"Hazardous")</f>
        <v>Very Poor</v>
      </c>
      <c r="T676" t="s">
        <v>28</v>
      </c>
      <c r="X676" s="2"/>
      <c r="Y676" s="2"/>
    </row>
    <row r="677" spans="1:25" x14ac:dyDescent="0.3">
      <c r="A677" s="2">
        <v>45427</v>
      </c>
      <c r="B677" t="s">
        <v>20</v>
      </c>
      <c r="C677" s="4">
        <v>42.4</v>
      </c>
      <c r="D677" s="4">
        <v>49.8</v>
      </c>
      <c r="E677" s="4">
        <v>31.2</v>
      </c>
      <c r="F677" s="4">
        <v>1.51</v>
      </c>
      <c r="G677" s="4">
        <v>84.4</v>
      </c>
      <c r="H677" s="4">
        <v>2.4500000000000002</v>
      </c>
      <c r="I677" s="4">
        <v>30.2</v>
      </c>
      <c r="J677" s="4">
        <v>82</v>
      </c>
      <c r="K677" s="4">
        <v>2.66</v>
      </c>
      <c r="L677" s="4">
        <v>70.666666666666671</v>
      </c>
      <c r="M677" s="4">
        <v>49.8</v>
      </c>
      <c r="N677" s="4">
        <v>39</v>
      </c>
      <c r="O677" s="4">
        <v>3.7749999999999999</v>
      </c>
      <c r="P677" s="4">
        <v>211</v>
      </c>
      <c r="Q677" s="4">
        <v>122.5</v>
      </c>
      <c r="R677" s="4">
        <v>211</v>
      </c>
      <c r="S677" s="4" t="str" cm="1">
        <f t="array" ref="S677">_xlfn.IFS($R677&lt;=50,"Good",$R677&lt;=100,"Moderate",$R677&lt;=200,"Poor",$R677&lt;=300,"Very Poor",$R677&lt;=500,"Hazardous")</f>
        <v>Very Poor</v>
      </c>
      <c r="T677" t="s">
        <v>27</v>
      </c>
      <c r="X677" s="2"/>
      <c r="Y677" s="2"/>
    </row>
    <row r="678" spans="1:25" x14ac:dyDescent="0.3">
      <c r="A678" s="2">
        <v>45427</v>
      </c>
      <c r="B678" t="s">
        <v>21</v>
      </c>
      <c r="C678" s="4">
        <v>71.400000000000006</v>
      </c>
      <c r="D678" s="4">
        <v>125</v>
      </c>
      <c r="E678" s="4">
        <v>48.5</v>
      </c>
      <c r="F678" s="4">
        <v>0.5</v>
      </c>
      <c r="G678" s="4">
        <v>58.3</v>
      </c>
      <c r="H678" s="4">
        <v>1.47</v>
      </c>
      <c r="I678" s="4">
        <v>33.200000000000003</v>
      </c>
      <c r="J678" s="4">
        <v>61.7</v>
      </c>
      <c r="K678" s="4">
        <v>2.2999999999999998</v>
      </c>
      <c r="L678" s="4">
        <v>119</v>
      </c>
      <c r="M678" s="4">
        <v>125</v>
      </c>
      <c r="N678" s="4">
        <v>60.625</v>
      </c>
      <c r="O678" s="4">
        <v>1.25</v>
      </c>
      <c r="P678" s="4">
        <v>145.75</v>
      </c>
      <c r="Q678" s="4">
        <v>73.5</v>
      </c>
      <c r="R678" s="4">
        <v>146</v>
      </c>
      <c r="S678" s="4" t="str" cm="1">
        <f t="array" ref="S678">_xlfn.IFS($R678&lt;=50,"Good",$R678&lt;=100,"Moderate",$R678&lt;=200,"Poor",$R678&lt;=300,"Very Poor",$R678&lt;=500,"Hazardous")</f>
        <v>Poor</v>
      </c>
      <c r="T678" t="s">
        <v>27</v>
      </c>
      <c r="X678" s="2"/>
      <c r="Y678" s="2"/>
    </row>
    <row r="679" spans="1:25" x14ac:dyDescent="0.3">
      <c r="A679" s="2">
        <v>45427</v>
      </c>
      <c r="B679" t="s">
        <v>22</v>
      </c>
      <c r="C679" s="4">
        <v>32.200000000000003</v>
      </c>
      <c r="D679" s="4">
        <v>118.1</v>
      </c>
      <c r="E679" s="4">
        <v>56.8</v>
      </c>
      <c r="F679" s="4">
        <v>2.17</v>
      </c>
      <c r="G679" s="4">
        <v>40.1</v>
      </c>
      <c r="H679" s="4">
        <v>1.27</v>
      </c>
      <c r="I679" s="4">
        <v>23</v>
      </c>
      <c r="J679" s="4">
        <v>49.4</v>
      </c>
      <c r="K679" s="4">
        <v>2.78</v>
      </c>
      <c r="L679" s="4">
        <v>53.666666666666671</v>
      </c>
      <c r="M679" s="4">
        <v>118.1</v>
      </c>
      <c r="N679" s="4">
        <v>71</v>
      </c>
      <c r="O679" s="4">
        <v>5.4249999999999998</v>
      </c>
      <c r="P679" s="4">
        <v>100.25</v>
      </c>
      <c r="Q679" s="4">
        <v>63.5</v>
      </c>
      <c r="R679" s="4">
        <v>118</v>
      </c>
      <c r="S679" s="4" t="str" cm="1">
        <f t="array" ref="S679">_xlfn.IFS($R679&lt;=50,"Good",$R679&lt;=100,"Moderate",$R679&lt;=200,"Poor",$R679&lt;=300,"Very Poor",$R679&lt;=500,"Hazardous")</f>
        <v>Poor</v>
      </c>
      <c r="T679" t="s">
        <v>28</v>
      </c>
      <c r="X679" s="2"/>
      <c r="Y679" s="2"/>
    </row>
    <row r="680" spans="1:25" x14ac:dyDescent="0.3">
      <c r="A680" s="2">
        <v>45427</v>
      </c>
      <c r="B680" t="s">
        <v>23</v>
      </c>
      <c r="C680" s="4">
        <v>26</v>
      </c>
      <c r="D680" s="4">
        <v>141</v>
      </c>
      <c r="E680" s="4">
        <v>27.1</v>
      </c>
      <c r="F680" s="4">
        <v>13.31</v>
      </c>
      <c r="G680" s="4">
        <v>98.4</v>
      </c>
      <c r="H680" s="4">
        <v>0.68</v>
      </c>
      <c r="I680" s="4">
        <v>31.7</v>
      </c>
      <c r="J680" s="4">
        <v>46.9</v>
      </c>
      <c r="K680" s="4">
        <v>3.75</v>
      </c>
      <c r="L680" s="4">
        <v>43.333333333333343</v>
      </c>
      <c r="M680" s="4">
        <v>141</v>
      </c>
      <c r="N680" s="4">
        <v>33.875</v>
      </c>
      <c r="O680" s="4">
        <v>33.274999999999999</v>
      </c>
      <c r="P680" s="4">
        <v>246</v>
      </c>
      <c r="Q680" s="4">
        <v>34</v>
      </c>
      <c r="R680" s="4">
        <v>246</v>
      </c>
      <c r="S680" s="4" t="str" cm="1">
        <f t="array" ref="S680">_xlfn.IFS($R680&lt;=50,"Good",$R680&lt;=100,"Moderate",$R680&lt;=200,"Poor",$R680&lt;=300,"Very Poor",$R680&lt;=500,"Hazardous")</f>
        <v>Very Poor</v>
      </c>
      <c r="T680" t="s">
        <v>27</v>
      </c>
      <c r="X680" s="2"/>
      <c r="Y680" s="2"/>
    </row>
    <row r="681" spans="1:25" x14ac:dyDescent="0.3">
      <c r="A681" s="2">
        <v>45427</v>
      </c>
      <c r="B681" t="s">
        <v>24</v>
      </c>
      <c r="C681" s="4">
        <v>24.2</v>
      </c>
      <c r="D681" s="4">
        <v>163.69999999999999</v>
      </c>
      <c r="E681" s="4">
        <v>30.3</v>
      </c>
      <c r="F681" s="4">
        <v>7.66</v>
      </c>
      <c r="G681" s="4">
        <v>15.6</v>
      </c>
      <c r="H681" s="4">
        <v>1.86</v>
      </c>
      <c r="I681" s="4">
        <v>22.1</v>
      </c>
      <c r="J681" s="4">
        <v>69.900000000000006</v>
      </c>
      <c r="K681" s="4">
        <v>2.59</v>
      </c>
      <c r="L681" s="4">
        <v>40.333333333333329</v>
      </c>
      <c r="M681" s="4">
        <v>163.69999999999999</v>
      </c>
      <c r="N681" s="4">
        <v>37.875</v>
      </c>
      <c r="O681" s="4">
        <v>19.149999999999999</v>
      </c>
      <c r="P681" s="4">
        <v>39</v>
      </c>
      <c r="Q681" s="4">
        <v>93</v>
      </c>
      <c r="R681" s="4">
        <v>164</v>
      </c>
      <c r="S681" s="4" t="str" cm="1">
        <f t="array" ref="S681">_xlfn.IFS($R681&lt;=50,"Good",$R681&lt;=100,"Moderate",$R681&lt;=200,"Poor",$R681&lt;=300,"Very Poor",$R681&lt;=500,"Hazardous")</f>
        <v>Poor</v>
      </c>
      <c r="T681" t="s">
        <v>28</v>
      </c>
      <c r="X681" s="2"/>
      <c r="Y681" s="2"/>
    </row>
    <row r="682" spans="1:25" x14ac:dyDescent="0.3">
      <c r="A682" s="2">
        <v>45428</v>
      </c>
      <c r="B682" t="s">
        <v>20</v>
      </c>
      <c r="C682" s="4">
        <v>65.099999999999994</v>
      </c>
      <c r="D682" s="4">
        <v>148.19999999999999</v>
      </c>
      <c r="E682" s="4">
        <v>34.200000000000003</v>
      </c>
      <c r="F682" s="4">
        <v>10.41</v>
      </c>
      <c r="G682" s="4">
        <v>90</v>
      </c>
      <c r="H682" s="4">
        <v>0.84</v>
      </c>
      <c r="I682" s="4">
        <v>36.200000000000003</v>
      </c>
      <c r="J682" s="4">
        <v>87</v>
      </c>
      <c r="K682" s="4">
        <v>1.52</v>
      </c>
      <c r="L682" s="4">
        <v>108.5</v>
      </c>
      <c r="M682" s="4">
        <v>148.19999999999999</v>
      </c>
      <c r="N682" s="4">
        <v>42.75</v>
      </c>
      <c r="O682" s="4">
        <v>26.024999999999999</v>
      </c>
      <c r="P682" s="4">
        <v>225</v>
      </c>
      <c r="Q682" s="4">
        <v>41.999999999999993</v>
      </c>
      <c r="R682" s="4">
        <v>225</v>
      </c>
      <c r="S682" s="4" t="str" cm="1">
        <f t="array" ref="S682">_xlfn.IFS($R682&lt;=50,"Good",$R682&lt;=100,"Moderate",$R682&lt;=200,"Poor",$R682&lt;=300,"Very Poor",$R682&lt;=500,"Hazardous")</f>
        <v>Very Poor</v>
      </c>
      <c r="T682" t="s">
        <v>27</v>
      </c>
      <c r="X682" s="2"/>
      <c r="Y682" s="2"/>
    </row>
    <row r="683" spans="1:25" x14ac:dyDescent="0.3">
      <c r="A683" s="2">
        <v>45428</v>
      </c>
      <c r="B683" t="s">
        <v>21</v>
      </c>
      <c r="C683" s="4">
        <v>20.399999999999999</v>
      </c>
      <c r="D683" s="4">
        <v>172.6</v>
      </c>
      <c r="E683" s="4">
        <v>42.6</v>
      </c>
      <c r="F683" s="4">
        <v>21.68</v>
      </c>
      <c r="G683" s="4">
        <v>51.1</v>
      </c>
      <c r="H683" s="4">
        <v>0.9</v>
      </c>
      <c r="I683" s="4">
        <v>20</v>
      </c>
      <c r="J683" s="4">
        <v>79.599999999999994</v>
      </c>
      <c r="K683" s="4">
        <v>1.81</v>
      </c>
      <c r="L683" s="4">
        <v>33.999999999999993</v>
      </c>
      <c r="M683" s="4">
        <v>172.6</v>
      </c>
      <c r="N683" s="4">
        <v>53.25</v>
      </c>
      <c r="O683" s="4">
        <v>54.2</v>
      </c>
      <c r="P683" s="4">
        <v>127.75</v>
      </c>
      <c r="Q683" s="4">
        <v>45</v>
      </c>
      <c r="R683" s="4">
        <v>173</v>
      </c>
      <c r="S683" s="4" t="str" cm="1">
        <f t="array" ref="S683">_xlfn.IFS($R683&lt;=50,"Good",$R683&lt;=100,"Moderate",$R683&lt;=200,"Poor",$R683&lt;=300,"Very Poor",$R683&lt;=500,"Hazardous")</f>
        <v>Poor</v>
      </c>
      <c r="T683" t="s">
        <v>28</v>
      </c>
      <c r="X683" s="2"/>
      <c r="Y683" s="2"/>
    </row>
    <row r="684" spans="1:25" x14ac:dyDescent="0.3">
      <c r="A684" s="2">
        <v>45428</v>
      </c>
      <c r="B684" t="s">
        <v>22</v>
      </c>
      <c r="C684" s="4">
        <v>58.2</v>
      </c>
      <c r="D684" s="4">
        <v>168.5</v>
      </c>
      <c r="E684" s="4">
        <v>33.5</v>
      </c>
      <c r="F684" s="4">
        <v>7.38</v>
      </c>
      <c r="G684" s="4">
        <v>37.6</v>
      </c>
      <c r="H684" s="4">
        <v>1.53</v>
      </c>
      <c r="I684" s="4">
        <v>32.1</v>
      </c>
      <c r="J684" s="4">
        <v>56</v>
      </c>
      <c r="K684" s="4">
        <v>2.58</v>
      </c>
      <c r="L684" s="4">
        <v>97</v>
      </c>
      <c r="M684" s="4">
        <v>168.5</v>
      </c>
      <c r="N684" s="4">
        <v>41.875</v>
      </c>
      <c r="O684" s="4">
        <v>18.45</v>
      </c>
      <c r="P684" s="4">
        <v>94</v>
      </c>
      <c r="Q684" s="4">
        <v>76.5</v>
      </c>
      <c r="R684" s="4">
        <v>168</v>
      </c>
      <c r="S684" s="4" t="str" cm="1">
        <f t="array" ref="S684">_xlfn.IFS($R684&lt;=50,"Good",$R684&lt;=100,"Moderate",$R684&lt;=200,"Poor",$R684&lt;=300,"Very Poor",$R684&lt;=500,"Hazardous")</f>
        <v>Poor</v>
      </c>
      <c r="T684" t="s">
        <v>28</v>
      </c>
      <c r="X684" s="2"/>
      <c r="Y684" s="2"/>
    </row>
    <row r="685" spans="1:25" x14ac:dyDescent="0.3">
      <c r="A685" s="2">
        <v>45428</v>
      </c>
      <c r="B685" t="s">
        <v>23</v>
      </c>
      <c r="C685" s="4">
        <v>48.8</v>
      </c>
      <c r="D685" s="4">
        <v>31.3</v>
      </c>
      <c r="E685" s="4">
        <v>50.2</v>
      </c>
      <c r="F685" s="4">
        <v>17.46</v>
      </c>
      <c r="G685" s="4">
        <v>17.899999999999999</v>
      </c>
      <c r="H685" s="4">
        <v>0.74</v>
      </c>
      <c r="I685" s="4">
        <v>21.9</v>
      </c>
      <c r="J685" s="4">
        <v>73</v>
      </c>
      <c r="K685" s="4">
        <v>3.04</v>
      </c>
      <c r="L685" s="4">
        <v>81.333333333333329</v>
      </c>
      <c r="M685" s="4">
        <v>31.3</v>
      </c>
      <c r="N685" s="4">
        <v>62.75</v>
      </c>
      <c r="O685" s="4">
        <v>43.65</v>
      </c>
      <c r="P685" s="4">
        <v>44.75</v>
      </c>
      <c r="Q685" s="4">
        <v>37</v>
      </c>
      <c r="R685" s="4">
        <v>81</v>
      </c>
      <c r="S685" s="4" t="str" cm="1">
        <f t="array" ref="S685">_xlfn.IFS($R685&lt;=50,"Good",$R685&lt;=100,"Moderate",$R685&lt;=200,"Poor",$R685&lt;=300,"Very Poor",$R685&lt;=500,"Hazardous")</f>
        <v>Moderate</v>
      </c>
      <c r="T685" t="s">
        <v>25</v>
      </c>
      <c r="X685" s="2"/>
      <c r="Y685" s="2"/>
    </row>
    <row r="686" spans="1:25" x14ac:dyDescent="0.3">
      <c r="A686" s="2">
        <v>45428</v>
      </c>
      <c r="B686" t="s">
        <v>24</v>
      </c>
      <c r="C686" s="4">
        <v>60.8</v>
      </c>
      <c r="D686" s="4">
        <v>71.400000000000006</v>
      </c>
      <c r="E686" s="4">
        <v>51.5</v>
      </c>
      <c r="F686" s="4">
        <v>0.5</v>
      </c>
      <c r="G686" s="4">
        <v>47.9</v>
      </c>
      <c r="H686" s="4">
        <v>1.9</v>
      </c>
      <c r="I686" s="4">
        <v>19.2</v>
      </c>
      <c r="J686" s="4">
        <v>32.4</v>
      </c>
      <c r="K686" s="4">
        <v>4.9000000000000004</v>
      </c>
      <c r="L686" s="4">
        <v>101.3333333333333</v>
      </c>
      <c r="M686" s="4">
        <v>71.400000000000006</v>
      </c>
      <c r="N686" s="4">
        <v>64.375</v>
      </c>
      <c r="O686" s="4">
        <v>1.25</v>
      </c>
      <c r="P686" s="4">
        <v>119.75</v>
      </c>
      <c r="Q686" s="4">
        <v>95</v>
      </c>
      <c r="R686" s="4">
        <v>120</v>
      </c>
      <c r="S686" s="4" t="str" cm="1">
        <f t="array" ref="S686">_xlfn.IFS($R686&lt;=50,"Good",$R686&lt;=100,"Moderate",$R686&lt;=200,"Poor",$R686&lt;=300,"Very Poor",$R686&lt;=500,"Hazardous")</f>
        <v>Poor</v>
      </c>
      <c r="T686" t="s">
        <v>27</v>
      </c>
      <c r="X686" s="2"/>
      <c r="Y686" s="2"/>
    </row>
    <row r="687" spans="1:25" x14ac:dyDescent="0.3">
      <c r="A687" s="2">
        <v>45429</v>
      </c>
      <c r="B687" t="s">
        <v>20</v>
      </c>
      <c r="C687" s="4">
        <v>47.9</v>
      </c>
      <c r="D687" s="4">
        <v>216.4</v>
      </c>
      <c r="E687" s="4">
        <v>48.2</v>
      </c>
      <c r="F687" s="4">
        <v>8.27</v>
      </c>
      <c r="G687" s="4">
        <v>58.6</v>
      </c>
      <c r="H687" s="4">
        <v>0.77</v>
      </c>
      <c r="I687" s="4">
        <v>28.9</v>
      </c>
      <c r="J687" s="4">
        <v>53.1</v>
      </c>
      <c r="K687" s="4">
        <v>0.92</v>
      </c>
      <c r="L687" s="4">
        <v>79.833333333333329</v>
      </c>
      <c r="M687" s="4">
        <v>216.4</v>
      </c>
      <c r="N687" s="4">
        <v>60.250000000000007</v>
      </c>
      <c r="O687" s="4">
        <v>20.675000000000001</v>
      </c>
      <c r="P687" s="4">
        <v>146.5</v>
      </c>
      <c r="Q687" s="4">
        <v>38.5</v>
      </c>
      <c r="R687" s="4">
        <v>216</v>
      </c>
      <c r="S687" s="4" t="str" cm="1">
        <f t="array" ref="S687">_xlfn.IFS($R687&lt;=50,"Good",$R687&lt;=100,"Moderate",$R687&lt;=200,"Poor",$R687&lt;=300,"Very Poor",$R687&lt;=500,"Hazardous")</f>
        <v>Very Poor</v>
      </c>
      <c r="T687" t="s">
        <v>28</v>
      </c>
      <c r="X687" s="2"/>
      <c r="Y687" s="2"/>
    </row>
    <row r="688" spans="1:25" x14ac:dyDescent="0.3">
      <c r="A688" s="2">
        <v>45429</v>
      </c>
      <c r="B688" t="s">
        <v>21</v>
      </c>
      <c r="C688" s="4">
        <v>87.7</v>
      </c>
      <c r="D688" s="4">
        <v>130.30000000000001</v>
      </c>
      <c r="E688" s="4">
        <v>52.3</v>
      </c>
      <c r="F688" s="4">
        <v>2.44</v>
      </c>
      <c r="G688" s="4">
        <v>99.7</v>
      </c>
      <c r="H688" s="4">
        <v>2.16</v>
      </c>
      <c r="I688" s="4">
        <v>34.700000000000003</v>
      </c>
      <c r="J688" s="4">
        <v>54.5</v>
      </c>
      <c r="K688" s="4">
        <v>0.42</v>
      </c>
      <c r="L688" s="4">
        <v>146.16666666666671</v>
      </c>
      <c r="M688" s="4">
        <v>130.30000000000001</v>
      </c>
      <c r="N688" s="4">
        <v>65.375</v>
      </c>
      <c r="O688" s="4">
        <v>6.1</v>
      </c>
      <c r="P688" s="4">
        <v>249.25</v>
      </c>
      <c r="Q688" s="4">
        <v>108</v>
      </c>
      <c r="R688" s="4">
        <v>249</v>
      </c>
      <c r="S688" s="4" t="str" cm="1">
        <f t="array" ref="S688">_xlfn.IFS($R688&lt;=50,"Good",$R688&lt;=100,"Moderate",$R688&lt;=200,"Poor",$R688&lt;=300,"Very Poor",$R688&lt;=500,"Hazardous")</f>
        <v>Very Poor</v>
      </c>
      <c r="T688" t="s">
        <v>27</v>
      </c>
      <c r="X688" s="2"/>
      <c r="Y688" s="2"/>
    </row>
    <row r="689" spans="1:25" x14ac:dyDescent="0.3">
      <c r="A689" s="2">
        <v>45429</v>
      </c>
      <c r="B689" t="s">
        <v>22</v>
      </c>
      <c r="C689" s="4">
        <v>112.7</v>
      </c>
      <c r="D689" s="4">
        <v>110.5</v>
      </c>
      <c r="E689" s="4">
        <v>28.5</v>
      </c>
      <c r="F689" s="4">
        <v>9.58</v>
      </c>
      <c r="G689" s="4">
        <v>65.7</v>
      </c>
      <c r="H689" s="4">
        <v>1.1299999999999999</v>
      </c>
      <c r="I689" s="4">
        <v>37</v>
      </c>
      <c r="J689" s="4">
        <v>79.5</v>
      </c>
      <c r="K689" s="4">
        <v>1.21</v>
      </c>
      <c r="L689" s="4">
        <v>187.83333333333329</v>
      </c>
      <c r="M689" s="4">
        <v>110.5</v>
      </c>
      <c r="N689" s="4">
        <v>35.625</v>
      </c>
      <c r="O689" s="4">
        <v>23.95</v>
      </c>
      <c r="P689" s="4">
        <v>164.25</v>
      </c>
      <c r="Q689" s="4">
        <v>56.499999999999993</v>
      </c>
      <c r="R689" s="4">
        <v>188</v>
      </c>
      <c r="S689" s="4" t="str" cm="1">
        <f t="array" ref="S689">_xlfn.IFS($R689&lt;=50,"Good",$R689&lt;=100,"Moderate",$R689&lt;=200,"Poor",$R689&lt;=300,"Very Poor",$R689&lt;=500,"Hazardous")</f>
        <v>Poor</v>
      </c>
      <c r="T689" t="s">
        <v>25</v>
      </c>
      <c r="X689" s="2"/>
      <c r="Y689" s="2"/>
    </row>
    <row r="690" spans="1:25" x14ac:dyDescent="0.3">
      <c r="A690" s="2">
        <v>45429</v>
      </c>
      <c r="B690" t="s">
        <v>23</v>
      </c>
      <c r="C690" s="4">
        <v>39.799999999999997</v>
      </c>
      <c r="D690" s="4">
        <v>177.5</v>
      </c>
      <c r="E690" s="4">
        <v>2</v>
      </c>
      <c r="F690" s="4">
        <v>7.25</v>
      </c>
      <c r="G690" s="4">
        <v>4.2</v>
      </c>
      <c r="H690" s="4">
        <v>0.91</v>
      </c>
      <c r="I690" s="4">
        <v>25.9</v>
      </c>
      <c r="J690" s="4">
        <v>53.6</v>
      </c>
      <c r="K690" s="4">
        <v>1.84</v>
      </c>
      <c r="L690" s="4">
        <v>66.333333333333329</v>
      </c>
      <c r="M690" s="4">
        <v>177.5</v>
      </c>
      <c r="N690" s="4">
        <v>2.5</v>
      </c>
      <c r="O690" s="4">
        <v>18.125</v>
      </c>
      <c r="P690" s="4">
        <v>10.5</v>
      </c>
      <c r="Q690" s="4">
        <v>45.5</v>
      </c>
      <c r="R690" s="4">
        <v>178</v>
      </c>
      <c r="S690" s="4" t="str" cm="1">
        <f t="array" ref="S690">_xlfn.IFS($R690&lt;=50,"Good",$R690&lt;=100,"Moderate",$R690&lt;=200,"Poor",$R690&lt;=300,"Very Poor",$R690&lt;=500,"Hazardous")</f>
        <v>Poor</v>
      </c>
      <c r="T690" t="s">
        <v>28</v>
      </c>
      <c r="X690" s="2"/>
      <c r="Y690" s="2"/>
    </row>
    <row r="691" spans="1:25" x14ac:dyDescent="0.3">
      <c r="A691" s="2">
        <v>45429</v>
      </c>
      <c r="B691" t="s">
        <v>24</v>
      </c>
      <c r="C691" s="4">
        <v>29.8</v>
      </c>
      <c r="D691" s="4">
        <v>283.3</v>
      </c>
      <c r="E691" s="4">
        <v>90.6</v>
      </c>
      <c r="F691" s="4">
        <v>2.41</v>
      </c>
      <c r="G691" s="4">
        <v>87.5</v>
      </c>
      <c r="H691" s="4">
        <v>1.06</v>
      </c>
      <c r="I691" s="4">
        <v>28.9</v>
      </c>
      <c r="J691" s="4">
        <v>58.9</v>
      </c>
      <c r="K691" s="4">
        <v>2.21</v>
      </c>
      <c r="L691" s="4">
        <v>49.666666666666657</v>
      </c>
      <c r="M691" s="4">
        <v>283.3</v>
      </c>
      <c r="N691" s="4">
        <v>113.25</v>
      </c>
      <c r="O691" s="4">
        <v>6.0250000000000004</v>
      </c>
      <c r="P691" s="4">
        <v>218.75</v>
      </c>
      <c r="Q691" s="4">
        <v>53.000000000000007</v>
      </c>
      <c r="R691" s="4">
        <v>283</v>
      </c>
      <c r="S691" s="4" t="str" cm="1">
        <f t="array" ref="S691">_xlfn.IFS($R691&lt;=50,"Good",$R691&lt;=100,"Moderate",$R691&lt;=200,"Poor",$R691&lt;=300,"Very Poor",$R691&lt;=500,"Hazardous")</f>
        <v>Very Poor</v>
      </c>
      <c r="T691" t="s">
        <v>28</v>
      </c>
      <c r="X691" s="2"/>
      <c r="Y691" s="2"/>
    </row>
    <row r="692" spans="1:25" x14ac:dyDescent="0.3">
      <c r="A692" s="2">
        <v>45430</v>
      </c>
      <c r="B692" t="s">
        <v>20</v>
      </c>
      <c r="C692" s="4">
        <v>102.9</v>
      </c>
      <c r="D692" s="4">
        <v>146.69999999999999</v>
      </c>
      <c r="E692" s="4">
        <v>40.799999999999997</v>
      </c>
      <c r="F692" s="4">
        <v>1.7</v>
      </c>
      <c r="G692" s="4">
        <v>20.3</v>
      </c>
      <c r="H692" s="4">
        <v>0.25</v>
      </c>
      <c r="I692" s="4">
        <v>28.1</v>
      </c>
      <c r="J692" s="4">
        <v>38.5</v>
      </c>
      <c r="K692" s="4">
        <v>2.1800000000000002</v>
      </c>
      <c r="L692" s="4">
        <v>171.5</v>
      </c>
      <c r="M692" s="4">
        <v>146.69999999999999</v>
      </c>
      <c r="N692" s="4">
        <v>51</v>
      </c>
      <c r="O692" s="4">
        <v>4.25</v>
      </c>
      <c r="P692" s="4">
        <v>50.75</v>
      </c>
      <c r="Q692" s="4">
        <v>12.5</v>
      </c>
      <c r="R692" s="4">
        <v>172</v>
      </c>
      <c r="S692" s="4" t="str" cm="1">
        <f t="array" ref="S692">_xlfn.IFS($R692&lt;=50,"Good",$R692&lt;=100,"Moderate",$R692&lt;=200,"Poor",$R692&lt;=300,"Very Poor",$R692&lt;=500,"Hazardous")</f>
        <v>Poor</v>
      </c>
      <c r="T692" t="s">
        <v>25</v>
      </c>
      <c r="X692" s="2"/>
      <c r="Y692" s="2"/>
    </row>
    <row r="693" spans="1:25" x14ac:dyDescent="0.3">
      <c r="A693" s="2">
        <v>45430</v>
      </c>
      <c r="B693" t="s">
        <v>21</v>
      </c>
      <c r="C693" s="4">
        <v>126.4</v>
      </c>
      <c r="D693" s="4">
        <v>239.9</v>
      </c>
      <c r="E693" s="4">
        <v>55.4</v>
      </c>
      <c r="F693" s="4">
        <v>9.4600000000000009</v>
      </c>
      <c r="G693" s="4">
        <v>108.7</v>
      </c>
      <c r="H693" s="4">
        <v>1.89</v>
      </c>
      <c r="I693" s="4">
        <v>25.7</v>
      </c>
      <c r="J693" s="4">
        <v>34.299999999999997</v>
      </c>
      <c r="K693" s="4">
        <v>2.97</v>
      </c>
      <c r="L693" s="4">
        <v>210.66666666666671</v>
      </c>
      <c r="M693" s="4">
        <v>239.9</v>
      </c>
      <c r="N693" s="4">
        <v>69.249999999999986</v>
      </c>
      <c r="O693" s="4">
        <v>23.65</v>
      </c>
      <c r="P693" s="4">
        <v>271.75</v>
      </c>
      <c r="Q693" s="4">
        <v>94.5</v>
      </c>
      <c r="R693" s="4">
        <v>272</v>
      </c>
      <c r="S693" s="4" t="str" cm="1">
        <f t="array" ref="S693">_xlfn.IFS($R693&lt;=50,"Good",$R693&lt;=100,"Moderate",$R693&lt;=200,"Poor",$R693&lt;=300,"Very Poor",$R693&lt;=500,"Hazardous")</f>
        <v>Very Poor</v>
      </c>
      <c r="T693" t="s">
        <v>27</v>
      </c>
      <c r="X693" s="2"/>
      <c r="Y693" s="2"/>
    </row>
    <row r="694" spans="1:25" x14ac:dyDescent="0.3">
      <c r="A694" s="2">
        <v>45430</v>
      </c>
      <c r="B694" t="s">
        <v>22</v>
      </c>
      <c r="C694" s="4">
        <v>80.599999999999994</v>
      </c>
      <c r="D694" s="4">
        <v>78</v>
      </c>
      <c r="E694" s="4">
        <v>48.3</v>
      </c>
      <c r="F694" s="4">
        <v>5.87</v>
      </c>
      <c r="G694" s="4">
        <v>33.6</v>
      </c>
      <c r="H694" s="4">
        <v>0.05</v>
      </c>
      <c r="I694" s="4">
        <v>26.4</v>
      </c>
      <c r="J694" s="4">
        <v>77.400000000000006</v>
      </c>
      <c r="K694" s="4">
        <v>1.74</v>
      </c>
      <c r="L694" s="4">
        <v>134.33333333333329</v>
      </c>
      <c r="M694" s="4">
        <v>78</v>
      </c>
      <c r="N694" s="4">
        <v>60.375</v>
      </c>
      <c r="O694" s="4">
        <v>14.675000000000001</v>
      </c>
      <c r="P694" s="4">
        <v>84</v>
      </c>
      <c r="Q694" s="4">
        <v>2.5</v>
      </c>
      <c r="R694" s="4">
        <v>134</v>
      </c>
      <c r="S694" s="4" t="str" cm="1">
        <f t="array" ref="S694">_xlfn.IFS($R694&lt;=50,"Good",$R694&lt;=100,"Moderate",$R694&lt;=200,"Poor",$R694&lt;=300,"Very Poor",$R694&lt;=500,"Hazardous")</f>
        <v>Poor</v>
      </c>
      <c r="T694" t="s">
        <v>25</v>
      </c>
      <c r="X694" s="2"/>
      <c r="Y694" s="2"/>
    </row>
    <row r="695" spans="1:25" x14ac:dyDescent="0.3">
      <c r="A695" s="2">
        <v>45430</v>
      </c>
      <c r="B695" t="s">
        <v>23</v>
      </c>
      <c r="C695" s="4">
        <v>61.6</v>
      </c>
      <c r="D695" s="4">
        <v>74.599999999999994</v>
      </c>
      <c r="E695" s="4">
        <v>52.2</v>
      </c>
      <c r="F695" s="4">
        <v>6.92</v>
      </c>
      <c r="G695" s="4">
        <v>16.5</v>
      </c>
      <c r="H695" s="4">
        <v>2</v>
      </c>
      <c r="I695" s="4">
        <v>34.5</v>
      </c>
      <c r="J695" s="4">
        <v>49.1</v>
      </c>
      <c r="K695" s="4">
        <v>3.1</v>
      </c>
      <c r="L695" s="4">
        <v>102.6666666666667</v>
      </c>
      <c r="M695" s="4">
        <v>74.599999999999994</v>
      </c>
      <c r="N695" s="4">
        <v>65.25</v>
      </c>
      <c r="O695" s="4">
        <v>17.3</v>
      </c>
      <c r="P695" s="4">
        <v>41.25</v>
      </c>
      <c r="Q695" s="4">
        <v>100</v>
      </c>
      <c r="R695" s="4">
        <v>103</v>
      </c>
      <c r="S695" s="4" t="str" cm="1">
        <f t="array" ref="S695">_xlfn.IFS($R695&lt;=50,"Good",$R695&lt;=100,"Moderate",$R695&lt;=200,"Poor",$R695&lt;=300,"Very Poor",$R695&lt;=500,"Hazardous")</f>
        <v>Poor</v>
      </c>
      <c r="T695" t="s">
        <v>25</v>
      </c>
      <c r="X695" s="2"/>
      <c r="Y695" s="2"/>
    </row>
    <row r="696" spans="1:25" x14ac:dyDescent="0.3">
      <c r="A696" s="2">
        <v>45430</v>
      </c>
      <c r="B696" t="s">
        <v>24</v>
      </c>
      <c r="C696" s="4">
        <v>83.7</v>
      </c>
      <c r="D696" s="4">
        <v>174.4</v>
      </c>
      <c r="E696" s="4">
        <v>12.2</v>
      </c>
      <c r="F696" s="4">
        <v>14.34</v>
      </c>
      <c r="G696" s="4">
        <v>28.3</v>
      </c>
      <c r="H696" s="4">
        <v>1.08</v>
      </c>
      <c r="I696" s="4">
        <v>46.5</v>
      </c>
      <c r="J696" s="4">
        <v>65.400000000000006</v>
      </c>
      <c r="K696" s="4">
        <v>2.54</v>
      </c>
      <c r="L696" s="4">
        <v>139.5</v>
      </c>
      <c r="M696" s="4">
        <v>174.4</v>
      </c>
      <c r="N696" s="4">
        <v>15.25</v>
      </c>
      <c r="O696" s="4">
        <v>35.85</v>
      </c>
      <c r="P696" s="4">
        <v>70.750000000000014</v>
      </c>
      <c r="Q696" s="4">
        <v>54.000000000000007</v>
      </c>
      <c r="R696" s="4">
        <v>174</v>
      </c>
      <c r="S696" s="4" t="str" cm="1">
        <f t="array" ref="S696">_xlfn.IFS($R696&lt;=50,"Good",$R696&lt;=100,"Moderate",$R696&lt;=200,"Poor",$R696&lt;=300,"Very Poor",$R696&lt;=500,"Hazardous")</f>
        <v>Poor</v>
      </c>
      <c r="T696" t="s">
        <v>28</v>
      </c>
      <c r="X696" s="2"/>
      <c r="Y696" s="2"/>
    </row>
    <row r="697" spans="1:25" x14ac:dyDescent="0.3">
      <c r="A697" s="2">
        <v>45431</v>
      </c>
      <c r="B697" t="s">
        <v>20</v>
      </c>
      <c r="C697" s="4">
        <v>2</v>
      </c>
      <c r="D697" s="4">
        <v>233.9</v>
      </c>
      <c r="E697" s="4">
        <v>20.8</v>
      </c>
      <c r="F697" s="4">
        <v>3.43</v>
      </c>
      <c r="G697" s="4">
        <v>36.5</v>
      </c>
      <c r="H697" s="4">
        <v>2.36</v>
      </c>
      <c r="I697" s="4">
        <v>33.4</v>
      </c>
      <c r="J697" s="4">
        <v>57.2</v>
      </c>
      <c r="K697" s="4">
        <v>2.87</v>
      </c>
      <c r="L697" s="4">
        <v>3.333333333333333</v>
      </c>
      <c r="M697" s="4">
        <v>233.9</v>
      </c>
      <c r="N697" s="4">
        <v>26</v>
      </c>
      <c r="O697" s="4">
        <v>8.5750000000000011</v>
      </c>
      <c r="P697" s="4">
        <v>91.25</v>
      </c>
      <c r="Q697" s="4">
        <v>118</v>
      </c>
      <c r="R697" s="4">
        <v>234</v>
      </c>
      <c r="S697" s="4" t="str" cm="1">
        <f t="array" ref="S697">_xlfn.IFS($R697&lt;=50,"Good",$R697&lt;=100,"Moderate",$R697&lt;=200,"Poor",$R697&lt;=300,"Very Poor",$R697&lt;=500,"Hazardous")</f>
        <v>Very Poor</v>
      </c>
      <c r="T697" t="s">
        <v>28</v>
      </c>
      <c r="X697" s="2"/>
      <c r="Y697" s="2"/>
    </row>
    <row r="698" spans="1:25" x14ac:dyDescent="0.3">
      <c r="A698" s="2">
        <v>45431</v>
      </c>
      <c r="B698" t="s">
        <v>21</v>
      </c>
      <c r="C698" s="4">
        <v>52.5</v>
      </c>
      <c r="D698" s="4">
        <v>160.5</v>
      </c>
      <c r="E698" s="4">
        <v>58.1</v>
      </c>
      <c r="F698" s="4">
        <v>16.05</v>
      </c>
      <c r="G698" s="4">
        <v>80.2</v>
      </c>
      <c r="H698" s="4">
        <v>1.87</v>
      </c>
      <c r="I698" s="4">
        <v>25.5</v>
      </c>
      <c r="J698" s="4">
        <v>73.400000000000006</v>
      </c>
      <c r="K698" s="4">
        <v>2.39</v>
      </c>
      <c r="L698" s="4">
        <v>87.5</v>
      </c>
      <c r="M698" s="4">
        <v>160.5</v>
      </c>
      <c r="N698" s="4">
        <v>72.625</v>
      </c>
      <c r="O698" s="4">
        <v>40.125</v>
      </c>
      <c r="P698" s="4">
        <v>200.5</v>
      </c>
      <c r="Q698" s="4">
        <v>93.5</v>
      </c>
      <c r="R698" s="4">
        <v>200</v>
      </c>
      <c r="S698" s="4" t="str" cm="1">
        <f t="array" ref="S698">_xlfn.IFS($R698&lt;=50,"Good",$R698&lt;=100,"Moderate",$R698&lt;=200,"Poor",$R698&lt;=300,"Very Poor",$R698&lt;=500,"Hazardous")</f>
        <v>Poor</v>
      </c>
      <c r="T698" t="s">
        <v>27</v>
      </c>
      <c r="X698" s="2"/>
      <c r="Y698" s="2"/>
    </row>
    <row r="699" spans="1:25" x14ac:dyDescent="0.3">
      <c r="A699" s="2">
        <v>45431</v>
      </c>
      <c r="B699" t="s">
        <v>22</v>
      </c>
      <c r="C699" s="4">
        <v>26.2</v>
      </c>
      <c r="D699" s="4">
        <v>91</v>
      </c>
      <c r="E699" s="4">
        <v>44.4</v>
      </c>
      <c r="F699" s="4">
        <v>11.92</v>
      </c>
      <c r="G699" s="4">
        <v>33.6</v>
      </c>
      <c r="H699" s="4">
        <v>0.45</v>
      </c>
      <c r="I699" s="4">
        <v>28.4</v>
      </c>
      <c r="J699" s="4">
        <v>62</v>
      </c>
      <c r="K699" s="4">
        <v>2.72</v>
      </c>
      <c r="L699" s="4">
        <v>43.666666666666657</v>
      </c>
      <c r="M699" s="4">
        <v>91</v>
      </c>
      <c r="N699" s="4">
        <v>55.5</v>
      </c>
      <c r="O699" s="4">
        <v>29.8</v>
      </c>
      <c r="P699" s="4">
        <v>84</v>
      </c>
      <c r="Q699" s="4">
        <v>22.5</v>
      </c>
      <c r="R699" s="4">
        <v>91</v>
      </c>
      <c r="S699" s="4" t="str" cm="1">
        <f t="array" ref="S699">_xlfn.IFS($R699&lt;=50,"Good",$R699&lt;=100,"Moderate",$R699&lt;=200,"Poor",$R699&lt;=300,"Very Poor",$R699&lt;=500,"Hazardous")</f>
        <v>Moderate</v>
      </c>
      <c r="T699" t="s">
        <v>28</v>
      </c>
      <c r="X699" s="2"/>
      <c r="Y699" s="2"/>
    </row>
    <row r="700" spans="1:25" x14ac:dyDescent="0.3">
      <c r="A700" s="2">
        <v>45431</v>
      </c>
      <c r="B700" t="s">
        <v>23</v>
      </c>
      <c r="C700" s="4">
        <v>87.6</v>
      </c>
      <c r="D700" s="4">
        <v>181.1</v>
      </c>
      <c r="E700" s="4">
        <v>33.1</v>
      </c>
      <c r="F700" s="4">
        <v>4.92</v>
      </c>
      <c r="G700" s="4">
        <v>14</v>
      </c>
      <c r="H700" s="4">
        <v>1.62</v>
      </c>
      <c r="I700" s="4">
        <v>38.1</v>
      </c>
      <c r="J700" s="4">
        <v>54.3</v>
      </c>
      <c r="K700" s="4">
        <v>2.21</v>
      </c>
      <c r="L700" s="4">
        <v>146</v>
      </c>
      <c r="M700" s="4">
        <v>181.1</v>
      </c>
      <c r="N700" s="4">
        <v>41.375</v>
      </c>
      <c r="O700" s="4">
        <v>12.3</v>
      </c>
      <c r="P700" s="4">
        <v>35</v>
      </c>
      <c r="Q700" s="4">
        <v>81</v>
      </c>
      <c r="R700" s="4">
        <v>181</v>
      </c>
      <c r="S700" s="4" t="str" cm="1">
        <f t="array" ref="S700">_xlfn.IFS($R700&lt;=50,"Good",$R700&lt;=100,"Moderate",$R700&lt;=200,"Poor",$R700&lt;=300,"Very Poor",$R700&lt;=500,"Hazardous")</f>
        <v>Poor</v>
      </c>
      <c r="T700" t="s">
        <v>28</v>
      </c>
      <c r="X700" s="2"/>
      <c r="Y700" s="2"/>
    </row>
    <row r="701" spans="1:25" x14ac:dyDescent="0.3">
      <c r="A701" s="2">
        <v>45431</v>
      </c>
      <c r="B701" t="s">
        <v>24</v>
      </c>
      <c r="C701" s="4">
        <v>114.4</v>
      </c>
      <c r="D701" s="4">
        <v>165.4</v>
      </c>
      <c r="E701" s="4">
        <v>59.1</v>
      </c>
      <c r="F701" s="4">
        <v>2.25</v>
      </c>
      <c r="G701" s="4">
        <v>62.7</v>
      </c>
      <c r="H701" s="4">
        <v>0.71</v>
      </c>
      <c r="I701" s="4">
        <v>20.100000000000001</v>
      </c>
      <c r="J701" s="4">
        <v>53.8</v>
      </c>
      <c r="K701" s="4">
        <v>2.2999999999999998</v>
      </c>
      <c r="L701" s="4">
        <v>190.66666666666671</v>
      </c>
      <c r="M701" s="4">
        <v>165.4</v>
      </c>
      <c r="N701" s="4">
        <v>73.875</v>
      </c>
      <c r="O701" s="4">
        <v>5.625</v>
      </c>
      <c r="P701" s="4">
        <v>156.75</v>
      </c>
      <c r="Q701" s="4">
        <v>35.5</v>
      </c>
      <c r="R701" s="4">
        <v>191</v>
      </c>
      <c r="S701" s="4" t="str" cm="1">
        <f t="array" ref="S701">_xlfn.IFS($R701&lt;=50,"Good",$R701&lt;=100,"Moderate",$R701&lt;=200,"Poor",$R701&lt;=300,"Very Poor",$R701&lt;=500,"Hazardous")</f>
        <v>Poor</v>
      </c>
      <c r="T701" t="s">
        <v>25</v>
      </c>
      <c r="X701" s="2"/>
      <c r="Y701" s="2"/>
    </row>
    <row r="702" spans="1:25" x14ac:dyDescent="0.3">
      <c r="A702" s="2">
        <v>45432</v>
      </c>
      <c r="B702" t="s">
        <v>20</v>
      </c>
      <c r="C702" s="4">
        <v>61.4</v>
      </c>
      <c r="D702" s="4">
        <v>38.6</v>
      </c>
      <c r="E702" s="4">
        <v>73.8</v>
      </c>
      <c r="F702" s="4">
        <v>15.68</v>
      </c>
      <c r="G702" s="4">
        <v>1</v>
      </c>
      <c r="H702" s="4">
        <v>2.06</v>
      </c>
      <c r="I702" s="4">
        <v>22.3</v>
      </c>
      <c r="J702" s="4">
        <v>75.400000000000006</v>
      </c>
      <c r="K702" s="4">
        <v>2.42</v>
      </c>
      <c r="L702" s="4">
        <v>102.3333333333333</v>
      </c>
      <c r="M702" s="4">
        <v>38.6</v>
      </c>
      <c r="N702" s="4">
        <v>92.25</v>
      </c>
      <c r="O702" s="4">
        <v>39.200000000000003</v>
      </c>
      <c r="P702" s="4">
        <v>2.5</v>
      </c>
      <c r="Q702" s="4">
        <v>103</v>
      </c>
      <c r="R702" s="4">
        <v>103</v>
      </c>
      <c r="S702" s="4" t="str" cm="1">
        <f t="array" ref="S702">_xlfn.IFS($R702&lt;=50,"Good",$R702&lt;=100,"Moderate",$R702&lt;=200,"Poor",$R702&lt;=300,"Very Poor",$R702&lt;=500,"Hazardous")</f>
        <v>Poor</v>
      </c>
      <c r="T702" t="s">
        <v>29</v>
      </c>
      <c r="X702" s="2"/>
      <c r="Y702" s="2"/>
    </row>
    <row r="703" spans="1:25" x14ac:dyDescent="0.3">
      <c r="A703" s="2">
        <v>45432</v>
      </c>
      <c r="B703" t="s">
        <v>21</v>
      </c>
      <c r="C703" s="4">
        <v>76.099999999999994</v>
      </c>
      <c r="D703" s="4">
        <v>136.1</v>
      </c>
      <c r="E703" s="4">
        <v>86.6</v>
      </c>
      <c r="F703" s="4">
        <v>2.25</v>
      </c>
      <c r="G703" s="4">
        <v>69</v>
      </c>
      <c r="H703" s="4">
        <v>2.33</v>
      </c>
      <c r="I703" s="4">
        <v>33</v>
      </c>
      <c r="J703" s="4">
        <v>100</v>
      </c>
      <c r="K703" s="4">
        <v>1.87</v>
      </c>
      <c r="L703" s="4">
        <v>126.8333333333333</v>
      </c>
      <c r="M703" s="4">
        <v>136.1</v>
      </c>
      <c r="N703" s="4">
        <v>108.25</v>
      </c>
      <c r="O703" s="4">
        <v>5.625</v>
      </c>
      <c r="P703" s="4">
        <v>172.5</v>
      </c>
      <c r="Q703" s="4">
        <v>116.5</v>
      </c>
      <c r="R703" s="4">
        <v>172</v>
      </c>
      <c r="S703" s="4" t="str" cm="1">
        <f t="array" ref="S703">_xlfn.IFS($R703&lt;=50,"Good",$R703&lt;=100,"Moderate",$R703&lt;=200,"Poor",$R703&lt;=300,"Very Poor",$R703&lt;=500,"Hazardous")</f>
        <v>Poor</v>
      </c>
      <c r="T703" t="s">
        <v>27</v>
      </c>
      <c r="X703" s="2"/>
      <c r="Y703" s="2"/>
    </row>
    <row r="704" spans="1:25" x14ac:dyDescent="0.3">
      <c r="A704" s="2">
        <v>45432</v>
      </c>
      <c r="B704" t="s">
        <v>22</v>
      </c>
      <c r="C704" s="4">
        <v>84.3</v>
      </c>
      <c r="D704" s="4">
        <v>108</v>
      </c>
      <c r="E704" s="4">
        <v>66.2</v>
      </c>
      <c r="F704" s="4">
        <v>7.56</v>
      </c>
      <c r="G704" s="4">
        <v>28.8</v>
      </c>
      <c r="H704" s="4">
        <v>1.88</v>
      </c>
      <c r="I704" s="4">
        <v>24.6</v>
      </c>
      <c r="J704" s="4">
        <v>34.6</v>
      </c>
      <c r="K704" s="4">
        <v>1.88</v>
      </c>
      <c r="L704" s="4">
        <v>140.5</v>
      </c>
      <c r="M704" s="4">
        <v>108</v>
      </c>
      <c r="N704" s="4">
        <v>82.75</v>
      </c>
      <c r="O704" s="4">
        <v>18.899999999999999</v>
      </c>
      <c r="P704" s="4">
        <v>72.000000000000014</v>
      </c>
      <c r="Q704" s="4">
        <v>94</v>
      </c>
      <c r="R704" s="4">
        <v>140</v>
      </c>
      <c r="S704" s="4" t="str" cm="1">
        <f t="array" ref="S704">_xlfn.IFS($R704&lt;=50,"Good",$R704&lt;=100,"Moderate",$R704&lt;=200,"Poor",$R704&lt;=300,"Very Poor",$R704&lt;=500,"Hazardous")</f>
        <v>Poor</v>
      </c>
      <c r="T704" t="s">
        <v>25</v>
      </c>
      <c r="X704" s="2"/>
      <c r="Y704" s="2"/>
    </row>
    <row r="705" spans="1:25" x14ac:dyDescent="0.3">
      <c r="A705" s="2">
        <v>45432</v>
      </c>
      <c r="B705" t="s">
        <v>23</v>
      </c>
      <c r="C705" s="4">
        <v>78.599999999999994</v>
      </c>
      <c r="D705" s="4">
        <v>203.5</v>
      </c>
      <c r="E705" s="4">
        <v>47.2</v>
      </c>
      <c r="F705" s="4">
        <v>14.59</v>
      </c>
      <c r="G705" s="4">
        <v>6</v>
      </c>
      <c r="H705" s="4">
        <v>0.93</v>
      </c>
      <c r="I705" s="4">
        <v>26</v>
      </c>
      <c r="J705" s="4">
        <v>57.9</v>
      </c>
      <c r="K705" s="4">
        <v>2.6</v>
      </c>
      <c r="L705" s="4">
        <v>131</v>
      </c>
      <c r="M705" s="4">
        <v>203.5</v>
      </c>
      <c r="N705" s="4">
        <v>59.000000000000007</v>
      </c>
      <c r="O705" s="4">
        <v>36.475000000000001</v>
      </c>
      <c r="P705" s="4">
        <v>15</v>
      </c>
      <c r="Q705" s="4">
        <v>46.5</v>
      </c>
      <c r="R705" s="4">
        <v>204</v>
      </c>
      <c r="S705" s="4" t="str" cm="1">
        <f t="array" ref="S705">_xlfn.IFS($R705&lt;=50,"Good",$R705&lt;=100,"Moderate",$R705&lt;=200,"Poor",$R705&lt;=300,"Very Poor",$R705&lt;=500,"Hazardous")</f>
        <v>Very Poor</v>
      </c>
      <c r="T705" t="s">
        <v>28</v>
      </c>
      <c r="X705" s="2"/>
      <c r="Y705" s="2"/>
    </row>
    <row r="706" spans="1:25" x14ac:dyDescent="0.3">
      <c r="A706" s="2">
        <v>45432</v>
      </c>
      <c r="B706" t="s">
        <v>24</v>
      </c>
      <c r="C706" s="4">
        <v>88.8</v>
      </c>
      <c r="D706" s="4">
        <v>102.6</v>
      </c>
      <c r="E706" s="4">
        <v>52.6</v>
      </c>
      <c r="F706" s="4">
        <v>8.5500000000000007</v>
      </c>
      <c r="G706" s="4">
        <v>18.5</v>
      </c>
      <c r="H706" s="4">
        <v>1.24</v>
      </c>
      <c r="I706" s="4">
        <v>27</v>
      </c>
      <c r="J706" s="4">
        <v>57</v>
      </c>
      <c r="K706" s="4">
        <v>3.04</v>
      </c>
      <c r="L706" s="4">
        <v>148</v>
      </c>
      <c r="M706" s="4">
        <v>102.6</v>
      </c>
      <c r="N706" s="4">
        <v>65.75</v>
      </c>
      <c r="O706" s="4">
        <v>21.375</v>
      </c>
      <c r="P706" s="4">
        <v>46.25</v>
      </c>
      <c r="Q706" s="4">
        <v>62</v>
      </c>
      <c r="R706" s="4">
        <v>148</v>
      </c>
      <c r="S706" s="4" t="str" cm="1">
        <f t="array" ref="S706">_xlfn.IFS($R706&lt;=50,"Good",$R706&lt;=100,"Moderate",$R706&lt;=200,"Poor",$R706&lt;=300,"Very Poor",$R706&lt;=500,"Hazardous")</f>
        <v>Poor</v>
      </c>
      <c r="T706" t="s">
        <v>25</v>
      </c>
      <c r="X706" s="2"/>
      <c r="Y706" s="2"/>
    </row>
    <row r="707" spans="1:25" x14ac:dyDescent="0.3">
      <c r="A707" s="2">
        <v>45433</v>
      </c>
      <c r="B707" t="s">
        <v>20</v>
      </c>
      <c r="C707" s="4">
        <v>71.599999999999994</v>
      </c>
      <c r="D707" s="4">
        <v>108.2</v>
      </c>
      <c r="E707" s="4">
        <v>81</v>
      </c>
      <c r="F707" s="4">
        <v>2.48</v>
      </c>
      <c r="G707" s="4">
        <v>25.3</v>
      </c>
      <c r="H707" s="4">
        <v>3.3</v>
      </c>
      <c r="I707" s="4">
        <v>20.7</v>
      </c>
      <c r="J707" s="4">
        <v>35.6</v>
      </c>
      <c r="K707" s="4">
        <v>3.38</v>
      </c>
      <c r="L707" s="4">
        <v>119.3333333333333</v>
      </c>
      <c r="M707" s="4">
        <v>108.2</v>
      </c>
      <c r="N707" s="4">
        <v>101.25</v>
      </c>
      <c r="O707" s="4">
        <v>6.2</v>
      </c>
      <c r="P707" s="4">
        <v>63.25</v>
      </c>
      <c r="Q707" s="4">
        <v>165</v>
      </c>
      <c r="R707" s="4">
        <v>165</v>
      </c>
      <c r="S707" s="4" t="str" cm="1">
        <f t="array" ref="S707">_xlfn.IFS($R707&lt;=50,"Good",$R707&lt;=100,"Moderate",$R707&lt;=200,"Poor",$R707&lt;=300,"Very Poor",$R707&lt;=500,"Hazardous")</f>
        <v>Poor</v>
      </c>
      <c r="T707" t="s">
        <v>29</v>
      </c>
      <c r="X707" s="2"/>
      <c r="Y707" s="2"/>
    </row>
    <row r="708" spans="1:25" x14ac:dyDescent="0.3">
      <c r="A708" s="2">
        <v>45433</v>
      </c>
      <c r="B708" t="s">
        <v>21</v>
      </c>
      <c r="C708" s="4">
        <v>2</v>
      </c>
      <c r="D708" s="4">
        <v>132.4</v>
      </c>
      <c r="E708" s="4">
        <v>109.9</v>
      </c>
      <c r="F708" s="4">
        <v>0.5</v>
      </c>
      <c r="G708" s="4">
        <v>1</v>
      </c>
      <c r="H708" s="4">
        <v>0.38</v>
      </c>
      <c r="I708" s="4">
        <v>34.299999999999997</v>
      </c>
      <c r="J708" s="4">
        <v>80.2</v>
      </c>
      <c r="K708" s="4">
        <v>1.88</v>
      </c>
      <c r="L708" s="4">
        <v>3.333333333333333</v>
      </c>
      <c r="M708" s="4">
        <v>132.4</v>
      </c>
      <c r="N708" s="4">
        <v>137.375</v>
      </c>
      <c r="O708" s="4">
        <v>1.25</v>
      </c>
      <c r="P708" s="4">
        <v>2.5</v>
      </c>
      <c r="Q708" s="4">
        <v>19</v>
      </c>
      <c r="R708" s="4">
        <v>137</v>
      </c>
      <c r="S708" s="4" t="str" cm="1">
        <f t="array" ref="S708">_xlfn.IFS($R708&lt;=50,"Good",$R708&lt;=100,"Moderate",$R708&lt;=200,"Poor",$R708&lt;=300,"Very Poor",$R708&lt;=500,"Hazardous")</f>
        <v>Poor</v>
      </c>
      <c r="T708" t="s">
        <v>26</v>
      </c>
      <c r="X708" s="2"/>
      <c r="Y708" s="2"/>
    </row>
    <row r="709" spans="1:25" x14ac:dyDescent="0.3">
      <c r="A709" s="2">
        <v>45433</v>
      </c>
      <c r="B709" t="s">
        <v>22</v>
      </c>
      <c r="C709" s="4">
        <v>76.5</v>
      </c>
      <c r="D709" s="4">
        <v>193.2</v>
      </c>
      <c r="E709" s="4">
        <v>76.7</v>
      </c>
      <c r="F709" s="4">
        <v>6.43</v>
      </c>
      <c r="G709" s="4">
        <v>1</v>
      </c>
      <c r="H709" s="4">
        <v>0.67</v>
      </c>
      <c r="I709" s="4">
        <v>25</v>
      </c>
      <c r="J709" s="4">
        <v>55.3</v>
      </c>
      <c r="K709" s="4">
        <v>2.27</v>
      </c>
      <c r="L709" s="4">
        <v>127.5</v>
      </c>
      <c r="M709" s="4">
        <v>193.2</v>
      </c>
      <c r="N709" s="4">
        <v>95.875</v>
      </c>
      <c r="O709" s="4">
        <v>16.074999999999999</v>
      </c>
      <c r="P709" s="4">
        <v>2.5</v>
      </c>
      <c r="Q709" s="4">
        <v>33.5</v>
      </c>
      <c r="R709" s="4">
        <v>193</v>
      </c>
      <c r="S709" s="4" t="str" cm="1">
        <f t="array" ref="S709">_xlfn.IFS($R709&lt;=50,"Good",$R709&lt;=100,"Moderate",$R709&lt;=200,"Poor",$R709&lt;=300,"Very Poor",$R709&lt;=500,"Hazardous")</f>
        <v>Poor</v>
      </c>
      <c r="T709" t="s">
        <v>28</v>
      </c>
      <c r="X709" s="2"/>
      <c r="Y709" s="2"/>
    </row>
    <row r="710" spans="1:25" x14ac:dyDescent="0.3">
      <c r="A710" s="2">
        <v>45433</v>
      </c>
      <c r="B710" t="s">
        <v>23</v>
      </c>
      <c r="C710" s="4">
        <v>93.6</v>
      </c>
      <c r="D710" s="4">
        <v>196.5</v>
      </c>
      <c r="E710" s="4">
        <v>41.6</v>
      </c>
      <c r="F710" s="4">
        <v>13.49</v>
      </c>
      <c r="G710" s="4">
        <v>48.9</v>
      </c>
      <c r="H710" s="4">
        <v>1.24</v>
      </c>
      <c r="I710" s="4">
        <v>34.299999999999997</v>
      </c>
      <c r="J710" s="4">
        <v>61.3</v>
      </c>
      <c r="K710" s="4">
        <v>4.97</v>
      </c>
      <c r="L710" s="4">
        <v>156</v>
      </c>
      <c r="M710" s="4">
        <v>196.5</v>
      </c>
      <c r="N710" s="4">
        <v>52.000000000000007</v>
      </c>
      <c r="O710" s="4">
        <v>33.725000000000001</v>
      </c>
      <c r="P710" s="4">
        <v>122.25</v>
      </c>
      <c r="Q710" s="4">
        <v>62</v>
      </c>
      <c r="R710" s="4">
        <v>196</v>
      </c>
      <c r="S710" s="4" t="str" cm="1">
        <f t="array" ref="S710">_xlfn.IFS($R710&lt;=50,"Good",$R710&lt;=100,"Moderate",$R710&lt;=200,"Poor",$R710&lt;=300,"Very Poor",$R710&lt;=500,"Hazardous")</f>
        <v>Poor</v>
      </c>
      <c r="T710" t="s">
        <v>28</v>
      </c>
      <c r="X710" s="2"/>
      <c r="Y710" s="2"/>
    </row>
    <row r="711" spans="1:25" x14ac:dyDescent="0.3">
      <c r="A711" s="2">
        <v>45433</v>
      </c>
      <c r="B711" t="s">
        <v>24</v>
      </c>
      <c r="C711" s="4">
        <v>18.5</v>
      </c>
      <c r="D711" s="4">
        <v>98</v>
      </c>
      <c r="E711" s="4">
        <v>46.7</v>
      </c>
      <c r="F711" s="4">
        <v>11.22</v>
      </c>
      <c r="G711" s="4">
        <v>78.900000000000006</v>
      </c>
      <c r="H711" s="4">
        <v>1.3</v>
      </c>
      <c r="I711" s="4">
        <v>18</v>
      </c>
      <c r="J711" s="4">
        <v>75.2</v>
      </c>
      <c r="K711" s="4">
        <v>3.91</v>
      </c>
      <c r="L711" s="4">
        <v>30.833333333333339</v>
      </c>
      <c r="M711" s="4">
        <v>98</v>
      </c>
      <c r="N711" s="4">
        <v>58.375</v>
      </c>
      <c r="O711" s="4">
        <v>28.05</v>
      </c>
      <c r="P711" s="4">
        <v>197.25</v>
      </c>
      <c r="Q711" s="4">
        <v>65</v>
      </c>
      <c r="R711" s="4">
        <v>197</v>
      </c>
      <c r="S711" s="4" t="str" cm="1">
        <f t="array" ref="S711">_xlfn.IFS($R711&lt;=50,"Good",$R711&lt;=100,"Moderate",$R711&lt;=200,"Poor",$R711&lt;=300,"Very Poor",$R711&lt;=500,"Hazardous")</f>
        <v>Poor</v>
      </c>
      <c r="T711" t="s">
        <v>27</v>
      </c>
      <c r="X711" s="2"/>
      <c r="Y711" s="2"/>
    </row>
    <row r="712" spans="1:25" x14ac:dyDescent="0.3">
      <c r="A712" s="2">
        <v>45434</v>
      </c>
      <c r="B712" t="s">
        <v>20</v>
      </c>
      <c r="C712" s="4">
        <v>2</v>
      </c>
      <c r="D712" s="4">
        <v>137.69999999999999</v>
      </c>
      <c r="E712" s="4">
        <v>15.2</v>
      </c>
      <c r="F712" s="4">
        <v>5.38</v>
      </c>
      <c r="G712" s="4">
        <v>20</v>
      </c>
      <c r="H712" s="4">
        <v>1.94</v>
      </c>
      <c r="I712" s="4">
        <v>28.8</v>
      </c>
      <c r="J712" s="4">
        <v>36.9</v>
      </c>
      <c r="K712" s="4">
        <v>3.56</v>
      </c>
      <c r="L712" s="4">
        <v>3.333333333333333</v>
      </c>
      <c r="M712" s="4">
        <v>137.69999999999999</v>
      </c>
      <c r="N712" s="4">
        <v>19</v>
      </c>
      <c r="O712" s="4">
        <v>13.45</v>
      </c>
      <c r="P712" s="4">
        <v>50</v>
      </c>
      <c r="Q712" s="4">
        <v>97</v>
      </c>
      <c r="R712" s="4">
        <v>138</v>
      </c>
      <c r="S712" s="4" t="str" cm="1">
        <f t="array" ref="S712">_xlfn.IFS($R712&lt;=50,"Good",$R712&lt;=100,"Moderate",$R712&lt;=200,"Poor",$R712&lt;=300,"Very Poor",$R712&lt;=500,"Hazardous")</f>
        <v>Poor</v>
      </c>
      <c r="T712" t="s">
        <v>28</v>
      </c>
      <c r="X712" s="2"/>
      <c r="Y712" s="2"/>
    </row>
    <row r="713" spans="1:25" x14ac:dyDescent="0.3">
      <c r="A713" s="2">
        <v>45434</v>
      </c>
      <c r="B713" t="s">
        <v>21</v>
      </c>
      <c r="C713" s="4">
        <v>21.2</v>
      </c>
      <c r="D713" s="4">
        <v>174.8</v>
      </c>
      <c r="E713" s="4">
        <v>35.9</v>
      </c>
      <c r="F713" s="4">
        <v>7.71</v>
      </c>
      <c r="G713" s="4">
        <v>65.8</v>
      </c>
      <c r="H713" s="4">
        <v>1.89</v>
      </c>
      <c r="I713" s="4">
        <v>37.4</v>
      </c>
      <c r="J713" s="4">
        <v>58.5</v>
      </c>
      <c r="K713" s="4">
        <v>2.87</v>
      </c>
      <c r="L713" s="4">
        <v>35.333333333333343</v>
      </c>
      <c r="M713" s="4">
        <v>174.8</v>
      </c>
      <c r="N713" s="4">
        <v>44.875</v>
      </c>
      <c r="O713" s="4">
        <v>19.274999999999999</v>
      </c>
      <c r="P713" s="4">
        <v>164.5</v>
      </c>
      <c r="Q713" s="4">
        <v>94.5</v>
      </c>
      <c r="R713" s="4">
        <v>175</v>
      </c>
      <c r="S713" s="4" t="str" cm="1">
        <f t="array" ref="S713">_xlfn.IFS($R713&lt;=50,"Good",$R713&lt;=100,"Moderate",$R713&lt;=200,"Poor",$R713&lt;=300,"Very Poor",$R713&lt;=500,"Hazardous")</f>
        <v>Poor</v>
      </c>
      <c r="T713" t="s">
        <v>28</v>
      </c>
      <c r="X713" s="2"/>
      <c r="Y713" s="2"/>
    </row>
    <row r="714" spans="1:25" x14ac:dyDescent="0.3">
      <c r="A714" s="2">
        <v>45434</v>
      </c>
      <c r="B714" t="s">
        <v>22</v>
      </c>
      <c r="C714" s="4">
        <v>44.5</v>
      </c>
      <c r="D714" s="4">
        <v>124.4</v>
      </c>
      <c r="E714" s="4">
        <v>51.1</v>
      </c>
      <c r="F714" s="4">
        <v>7.13</v>
      </c>
      <c r="G714" s="4">
        <v>1</v>
      </c>
      <c r="H714" s="4">
        <v>1.33</v>
      </c>
      <c r="I714" s="4">
        <v>30.6</v>
      </c>
      <c r="J714" s="4">
        <v>47.8</v>
      </c>
      <c r="K714" s="4">
        <v>0.96</v>
      </c>
      <c r="L714" s="4">
        <v>74.166666666666671</v>
      </c>
      <c r="M714" s="4">
        <v>124.4</v>
      </c>
      <c r="N714" s="4">
        <v>63.875</v>
      </c>
      <c r="O714" s="4">
        <v>17.824999999999999</v>
      </c>
      <c r="P714" s="4">
        <v>2.5</v>
      </c>
      <c r="Q714" s="4">
        <v>66.5</v>
      </c>
      <c r="R714" s="4">
        <v>124</v>
      </c>
      <c r="S714" s="4" t="str" cm="1">
        <f t="array" ref="S714">_xlfn.IFS($R714&lt;=50,"Good",$R714&lt;=100,"Moderate",$R714&lt;=200,"Poor",$R714&lt;=300,"Very Poor",$R714&lt;=500,"Hazardous")</f>
        <v>Poor</v>
      </c>
      <c r="T714" t="s">
        <v>28</v>
      </c>
      <c r="X714" s="2"/>
      <c r="Y714" s="2"/>
    </row>
    <row r="715" spans="1:25" x14ac:dyDescent="0.3">
      <c r="A715" s="2">
        <v>45434</v>
      </c>
      <c r="B715" t="s">
        <v>23</v>
      </c>
      <c r="C715" s="4">
        <v>104.3</v>
      </c>
      <c r="D715" s="4">
        <v>149.5</v>
      </c>
      <c r="E715" s="4">
        <v>40.4</v>
      </c>
      <c r="F715" s="4">
        <v>2.31</v>
      </c>
      <c r="G715" s="4">
        <v>19.5</v>
      </c>
      <c r="H715" s="4">
        <v>1.98</v>
      </c>
      <c r="I715" s="4">
        <v>29</v>
      </c>
      <c r="J715" s="4">
        <v>50.1</v>
      </c>
      <c r="K715" s="4">
        <v>3.11</v>
      </c>
      <c r="L715" s="4">
        <v>173.83333333333329</v>
      </c>
      <c r="M715" s="4">
        <v>149.5</v>
      </c>
      <c r="N715" s="4">
        <v>50.499999999999993</v>
      </c>
      <c r="O715" s="4">
        <v>5.7749999999999986</v>
      </c>
      <c r="P715" s="4">
        <v>48.75</v>
      </c>
      <c r="Q715" s="4">
        <v>99</v>
      </c>
      <c r="R715" s="4">
        <v>174</v>
      </c>
      <c r="S715" s="4" t="str" cm="1">
        <f t="array" ref="S715">_xlfn.IFS($R715&lt;=50,"Good",$R715&lt;=100,"Moderate",$R715&lt;=200,"Poor",$R715&lt;=300,"Very Poor",$R715&lt;=500,"Hazardous")</f>
        <v>Poor</v>
      </c>
      <c r="T715" t="s">
        <v>25</v>
      </c>
      <c r="X715" s="2"/>
      <c r="Y715" s="2"/>
    </row>
    <row r="716" spans="1:25" x14ac:dyDescent="0.3">
      <c r="A716" s="2">
        <v>45434</v>
      </c>
      <c r="B716" t="s">
        <v>24</v>
      </c>
      <c r="C716" s="4">
        <v>39.1</v>
      </c>
      <c r="D716" s="4">
        <v>231.1</v>
      </c>
      <c r="E716" s="4">
        <v>79.3</v>
      </c>
      <c r="F716" s="4">
        <v>6.23</v>
      </c>
      <c r="G716" s="4">
        <v>26.7</v>
      </c>
      <c r="H716" s="4">
        <v>0.05</v>
      </c>
      <c r="I716" s="4">
        <v>17.600000000000001</v>
      </c>
      <c r="J716" s="4">
        <v>35.9</v>
      </c>
      <c r="K716" s="4">
        <v>3.16</v>
      </c>
      <c r="L716" s="4">
        <v>65.166666666666671</v>
      </c>
      <c r="M716" s="4">
        <v>231.1</v>
      </c>
      <c r="N716" s="4">
        <v>99.124999999999986</v>
      </c>
      <c r="O716" s="4">
        <v>15.574999999999999</v>
      </c>
      <c r="P716" s="4">
        <v>66.75</v>
      </c>
      <c r="Q716" s="4">
        <v>2.5</v>
      </c>
      <c r="R716" s="4">
        <v>231</v>
      </c>
      <c r="S716" s="4" t="str" cm="1">
        <f t="array" ref="S716">_xlfn.IFS($R716&lt;=50,"Good",$R716&lt;=100,"Moderate",$R716&lt;=200,"Poor",$R716&lt;=300,"Very Poor",$R716&lt;=500,"Hazardous")</f>
        <v>Very Poor</v>
      </c>
      <c r="T716" t="s">
        <v>28</v>
      </c>
      <c r="X716" s="2"/>
      <c r="Y716" s="2"/>
    </row>
    <row r="717" spans="1:25" x14ac:dyDescent="0.3">
      <c r="A717" s="2">
        <v>45435</v>
      </c>
      <c r="B717" t="s">
        <v>20</v>
      </c>
      <c r="C717" s="4">
        <v>57.7</v>
      </c>
      <c r="D717" s="4">
        <v>45.2</v>
      </c>
      <c r="E717" s="4">
        <v>45.3</v>
      </c>
      <c r="F717" s="4">
        <v>12.11</v>
      </c>
      <c r="G717" s="4">
        <v>61.2</v>
      </c>
      <c r="H717" s="4">
        <v>7.0000000000000007E-2</v>
      </c>
      <c r="I717" s="4">
        <v>27.1</v>
      </c>
      <c r="J717" s="4">
        <v>35.1</v>
      </c>
      <c r="K717" s="4">
        <v>3.58</v>
      </c>
      <c r="L717" s="4">
        <v>96.166666666666671</v>
      </c>
      <c r="M717" s="4">
        <v>45.2</v>
      </c>
      <c r="N717" s="4">
        <v>56.624999999999993</v>
      </c>
      <c r="O717" s="4">
        <v>30.274999999999999</v>
      </c>
      <c r="P717" s="4">
        <v>153</v>
      </c>
      <c r="Q717" s="4">
        <v>3.5</v>
      </c>
      <c r="R717" s="4">
        <v>153</v>
      </c>
      <c r="S717" s="4" t="str" cm="1">
        <f t="array" ref="S717">_xlfn.IFS($R717&lt;=50,"Good",$R717&lt;=100,"Moderate",$R717&lt;=200,"Poor",$R717&lt;=300,"Very Poor",$R717&lt;=500,"Hazardous")</f>
        <v>Poor</v>
      </c>
      <c r="T717" t="s">
        <v>27</v>
      </c>
      <c r="X717" s="2"/>
      <c r="Y717" s="2"/>
    </row>
    <row r="718" spans="1:25" x14ac:dyDescent="0.3">
      <c r="A718" s="2">
        <v>45435</v>
      </c>
      <c r="B718" t="s">
        <v>21</v>
      </c>
      <c r="C718" s="4">
        <v>104.4</v>
      </c>
      <c r="D718" s="4">
        <v>82.6</v>
      </c>
      <c r="E718" s="4">
        <v>37.1</v>
      </c>
      <c r="F718" s="4">
        <v>7.12</v>
      </c>
      <c r="G718" s="4">
        <v>1</v>
      </c>
      <c r="H718" s="4">
        <v>1.75</v>
      </c>
      <c r="I718" s="4">
        <v>26.1</v>
      </c>
      <c r="J718" s="4">
        <v>77.5</v>
      </c>
      <c r="K718" s="4">
        <v>1.18</v>
      </c>
      <c r="L718" s="4">
        <v>174</v>
      </c>
      <c r="M718" s="4">
        <v>82.6</v>
      </c>
      <c r="N718" s="4">
        <v>46.375</v>
      </c>
      <c r="O718" s="4">
        <v>17.8</v>
      </c>
      <c r="P718" s="4">
        <v>2.5</v>
      </c>
      <c r="Q718" s="4">
        <v>87.5</v>
      </c>
      <c r="R718" s="4">
        <v>174</v>
      </c>
      <c r="S718" s="4" t="str" cm="1">
        <f t="array" ref="S718">_xlfn.IFS($R718&lt;=50,"Good",$R718&lt;=100,"Moderate",$R718&lt;=200,"Poor",$R718&lt;=300,"Very Poor",$R718&lt;=500,"Hazardous")</f>
        <v>Poor</v>
      </c>
      <c r="T718" t="s">
        <v>25</v>
      </c>
      <c r="X718" s="2"/>
      <c r="Y718" s="2"/>
    </row>
    <row r="719" spans="1:25" x14ac:dyDescent="0.3">
      <c r="A719" s="2">
        <v>45435</v>
      </c>
      <c r="B719" t="s">
        <v>22</v>
      </c>
      <c r="C719" s="4">
        <v>39.4</v>
      </c>
      <c r="D719" s="4">
        <v>28.1</v>
      </c>
      <c r="E719" s="4">
        <v>23.7</v>
      </c>
      <c r="F719" s="4">
        <v>1.99</v>
      </c>
      <c r="G719" s="4">
        <v>61.7</v>
      </c>
      <c r="H719" s="4">
        <v>0.74</v>
      </c>
      <c r="I719" s="4">
        <v>28.9</v>
      </c>
      <c r="J719" s="4">
        <v>53.1</v>
      </c>
      <c r="K719" s="4">
        <v>0.98</v>
      </c>
      <c r="L719" s="4">
        <v>65.666666666666671</v>
      </c>
      <c r="M719" s="4">
        <v>28.1</v>
      </c>
      <c r="N719" s="4">
        <v>29.625</v>
      </c>
      <c r="O719" s="4">
        <v>4.9750000000000014</v>
      </c>
      <c r="P719" s="4">
        <v>154.25</v>
      </c>
      <c r="Q719" s="4">
        <v>37</v>
      </c>
      <c r="R719" s="4">
        <v>154</v>
      </c>
      <c r="S719" s="4" t="str" cm="1">
        <f t="array" ref="S719">_xlfn.IFS($R719&lt;=50,"Good",$R719&lt;=100,"Moderate",$R719&lt;=200,"Poor",$R719&lt;=300,"Very Poor",$R719&lt;=500,"Hazardous")</f>
        <v>Poor</v>
      </c>
      <c r="T719" t="s">
        <v>27</v>
      </c>
      <c r="X719" s="2"/>
      <c r="Y719" s="2"/>
    </row>
    <row r="720" spans="1:25" x14ac:dyDescent="0.3">
      <c r="A720" s="2">
        <v>45435</v>
      </c>
      <c r="B720" t="s">
        <v>23</v>
      </c>
      <c r="C720" s="4">
        <v>55</v>
      </c>
      <c r="D720" s="4">
        <v>155.9</v>
      </c>
      <c r="E720" s="4">
        <v>20.8</v>
      </c>
      <c r="F720" s="4">
        <v>12.05</v>
      </c>
      <c r="G720" s="4">
        <v>18.8</v>
      </c>
      <c r="H720" s="4">
        <v>0.91</v>
      </c>
      <c r="I720" s="4">
        <v>31.7</v>
      </c>
      <c r="J720" s="4">
        <v>48.1</v>
      </c>
      <c r="K720" s="4">
        <v>2.5499999999999998</v>
      </c>
      <c r="L720" s="4">
        <v>91.666666666666657</v>
      </c>
      <c r="M720" s="4">
        <v>155.9</v>
      </c>
      <c r="N720" s="4">
        <v>26</v>
      </c>
      <c r="O720" s="4">
        <v>30.125</v>
      </c>
      <c r="P720" s="4">
        <v>47</v>
      </c>
      <c r="Q720" s="4">
        <v>45.5</v>
      </c>
      <c r="R720" s="4">
        <v>156</v>
      </c>
      <c r="S720" s="4" t="str" cm="1">
        <f t="array" ref="S720">_xlfn.IFS($R720&lt;=50,"Good",$R720&lt;=100,"Moderate",$R720&lt;=200,"Poor",$R720&lt;=300,"Very Poor",$R720&lt;=500,"Hazardous")</f>
        <v>Poor</v>
      </c>
      <c r="T720" t="s">
        <v>28</v>
      </c>
      <c r="X720" s="2"/>
      <c r="Y720" s="2"/>
    </row>
    <row r="721" spans="1:25" x14ac:dyDescent="0.3">
      <c r="A721" s="2">
        <v>45435</v>
      </c>
      <c r="B721" t="s">
        <v>24</v>
      </c>
      <c r="C721" s="4">
        <v>55.6</v>
      </c>
      <c r="D721" s="4">
        <v>140.5</v>
      </c>
      <c r="E721" s="4">
        <v>2</v>
      </c>
      <c r="F721" s="4">
        <v>0.5</v>
      </c>
      <c r="G721" s="4">
        <v>60.9</v>
      </c>
      <c r="H721" s="4">
        <v>2</v>
      </c>
      <c r="I721" s="4">
        <v>21.6</v>
      </c>
      <c r="J721" s="4">
        <v>55.6</v>
      </c>
      <c r="K721" s="4">
        <v>3.35</v>
      </c>
      <c r="L721" s="4">
        <v>92.666666666666671</v>
      </c>
      <c r="M721" s="4">
        <v>140.5</v>
      </c>
      <c r="N721" s="4">
        <v>2.5</v>
      </c>
      <c r="O721" s="4">
        <v>1.25</v>
      </c>
      <c r="P721" s="4">
        <v>152.25</v>
      </c>
      <c r="Q721" s="4">
        <v>100</v>
      </c>
      <c r="R721" s="4">
        <v>152</v>
      </c>
      <c r="S721" s="4" t="str" cm="1">
        <f t="array" ref="S721">_xlfn.IFS($R721&lt;=50,"Good",$R721&lt;=100,"Moderate",$R721&lt;=200,"Poor",$R721&lt;=300,"Very Poor",$R721&lt;=500,"Hazardous")</f>
        <v>Poor</v>
      </c>
      <c r="T721" t="s">
        <v>27</v>
      </c>
      <c r="X721" s="2"/>
      <c r="Y721" s="2"/>
    </row>
    <row r="722" spans="1:25" x14ac:dyDescent="0.3">
      <c r="A722" s="2">
        <v>45436</v>
      </c>
      <c r="B722" t="s">
        <v>20</v>
      </c>
      <c r="C722" s="4">
        <v>92.9</v>
      </c>
      <c r="D722" s="4">
        <v>5</v>
      </c>
      <c r="E722" s="4">
        <v>31.4</v>
      </c>
      <c r="F722" s="4">
        <v>7.29</v>
      </c>
      <c r="G722" s="4">
        <v>66.2</v>
      </c>
      <c r="H722" s="4">
        <v>3.1</v>
      </c>
      <c r="I722" s="4">
        <v>26.4</v>
      </c>
      <c r="J722" s="4">
        <v>34.700000000000003</v>
      </c>
      <c r="K722" s="4">
        <v>2.98</v>
      </c>
      <c r="L722" s="4">
        <v>154.83333333333329</v>
      </c>
      <c r="M722" s="4">
        <v>5</v>
      </c>
      <c r="N722" s="4">
        <v>39.25</v>
      </c>
      <c r="O722" s="4">
        <v>18.225000000000001</v>
      </c>
      <c r="P722" s="4">
        <v>165.5</v>
      </c>
      <c r="Q722" s="4">
        <v>155</v>
      </c>
      <c r="R722" s="4">
        <v>166</v>
      </c>
      <c r="S722" s="4" t="str" cm="1">
        <f t="array" ref="S722">_xlfn.IFS($R722&lt;=50,"Good",$R722&lt;=100,"Moderate",$R722&lt;=200,"Poor",$R722&lt;=300,"Very Poor",$R722&lt;=500,"Hazardous")</f>
        <v>Poor</v>
      </c>
      <c r="T722" t="s">
        <v>27</v>
      </c>
      <c r="X722" s="2"/>
      <c r="Y722" s="2"/>
    </row>
    <row r="723" spans="1:25" x14ac:dyDescent="0.3">
      <c r="A723" s="2">
        <v>45436</v>
      </c>
      <c r="B723" t="s">
        <v>21</v>
      </c>
      <c r="C723" s="4">
        <v>124.5</v>
      </c>
      <c r="D723" s="4">
        <v>158.1</v>
      </c>
      <c r="E723" s="4">
        <v>33.6</v>
      </c>
      <c r="F723" s="4">
        <v>15.99</v>
      </c>
      <c r="G723" s="4">
        <v>70.7</v>
      </c>
      <c r="H723" s="4">
        <v>0.73</v>
      </c>
      <c r="I723" s="4">
        <v>30.7</v>
      </c>
      <c r="J723" s="4">
        <v>78</v>
      </c>
      <c r="K723" s="4">
        <v>3.92</v>
      </c>
      <c r="L723" s="4">
        <v>207.5</v>
      </c>
      <c r="M723" s="4">
        <v>158.1</v>
      </c>
      <c r="N723" s="4">
        <v>42</v>
      </c>
      <c r="O723" s="4">
        <v>39.975000000000001</v>
      </c>
      <c r="P723" s="4">
        <v>176.75</v>
      </c>
      <c r="Q723" s="4">
        <v>36.5</v>
      </c>
      <c r="R723" s="4">
        <v>208</v>
      </c>
      <c r="S723" s="4" t="str" cm="1">
        <f t="array" ref="S723">_xlfn.IFS($R723&lt;=50,"Good",$R723&lt;=100,"Moderate",$R723&lt;=200,"Poor",$R723&lt;=300,"Very Poor",$R723&lt;=500,"Hazardous")</f>
        <v>Very Poor</v>
      </c>
      <c r="T723" t="s">
        <v>25</v>
      </c>
      <c r="X723" s="2"/>
      <c r="Y723" s="2"/>
    </row>
    <row r="724" spans="1:25" x14ac:dyDescent="0.3">
      <c r="A724" s="2">
        <v>45436</v>
      </c>
      <c r="B724" t="s">
        <v>22</v>
      </c>
      <c r="C724" s="4">
        <v>55.1</v>
      </c>
      <c r="D724" s="4">
        <v>93.6</v>
      </c>
      <c r="E724" s="4">
        <v>66.099999999999994</v>
      </c>
      <c r="F724" s="4">
        <v>1.85</v>
      </c>
      <c r="G724" s="4">
        <v>48.4</v>
      </c>
      <c r="H724" s="4">
        <v>0.36</v>
      </c>
      <c r="I724" s="4">
        <v>35.5</v>
      </c>
      <c r="J724" s="4">
        <v>55.4</v>
      </c>
      <c r="K724" s="4">
        <v>4.0199999999999996</v>
      </c>
      <c r="L724" s="4">
        <v>91.833333333333343</v>
      </c>
      <c r="M724" s="4">
        <v>93.6</v>
      </c>
      <c r="N724" s="4">
        <v>82.624999999999986</v>
      </c>
      <c r="O724" s="4">
        <v>4.6250000000000009</v>
      </c>
      <c r="P724" s="4">
        <v>121</v>
      </c>
      <c r="Q724" s="4">
        <v>18</v>
      </c>
      <c r="R724" s="4">
        <v>121</v>
      </c>
      <c r="S724" s="4" t="str" cm="1">
        <f t="array" ref="S724">_xlfn.IFS($R724&lt;=50,"Good",$R724&lt;=100,"Moderate",$R724&lt;=200,"Poor",$R724&lt;=300,"Very Poor",$R724&lt;=500,"Hazardous")</f>
        <v>Poor</v>
      </c>
      <c r="T724" t="s">
        <v>27</v>
      </c>
      <c r="X724" s="2"/>
      <c r="Y724" s="2"/>
    </row>
    <row r="725" spans="1:25" x14ac:dyDescent="0.3">
      <c r="A725" s="2">
        <v>45436</v>
      </c>
      <c r="B725" t="s">
        <v>23</v>
      </c>
      <c r="C725" s="4">
        <v>74.7</v>
      </c>
      <c r="D725" s="4">
        <v>46.6</v>
      </c>
      <c r="E725" s="4">
        <v>73.5</v>
      </c>
      <c r="F725" s="4">
        <v>15.76</v>
      </c>
      <c r="G725" s="4">
        <v>62.1</v>
      </c>
      <c r="H725" s="4">
        <v>0.74</v>
      </c>
      <c r="I725" s="4">
        <v>25.9</v>
      </c>
      <c r="J725" s="4">
        <v>62.6</v>
      </c>
      <c r="K725" s="4">
        <v>1.66</v>
      </c>
      <c r="L725" s="4">
        <v>124.5</v>
      </c>
      <c r="M725" s="4">
        <v>46.6</v>
      </c>
      <c r="N725" s="4">
        <v>91.875</v>
      </c>
      <c r="O725" s="4">
        <v>39.4</v>
      </c>
      <c r="P725" s="4">
        <v>155.25</v>
      </c>
      <c r="Q725" s="4">
        <v>37</v>
      </c>
      <c r="R725" s="4">
        <v>155</v>
      </c>
      <c r="S725" s="4" t="str" cm="1">
        <f t="array" ref="S725">_xlfn.IFS($R725&lt;=50,"Good",$R725&lt;=100,"Moderate",$R725&lt;=200,"Poor",$R725&lt;=300,"Very Poor",$R725&lt;=500,"Hazardous")</f>
        <v>Poor</v>
      </c>
      <c r="T725" t="s">
        <v>27</v>
      </c>
      <c r="X725" s="2"/>
      <c r="Y725" s="2"/>
    </row>
    <row r="726" spans="1:25" x14ac:dyDescent="0.3">
      <c r="A726" s="2">
        <v>45436</v>
      </c>
      <c r="B726" t="s">
        <v>24</v>
      </c>
      <c r="C726" s="4">
        <v>121.8</v>
      </c>
      <c r="D726" s="4">
        <v>141.5</v>
      </c>
      <c r="E726" s="4">
        <v>2</v>
      </c>
      <c r="F726" s="4">
        <v>10.67</v>
      </c>
      <c r="G726" s="4">
        <v>34.4</v>
      </c>
      <c r="H726" s="4">
        <v>1.27</v>
      </c>
      <c r="I726" s="4">
        <v>25.4</v>
      </c>
      <c r="J726" s="4">
        <v>74.5</v>
      </c>
      <c r="K726" s="4">
        <v>4.34</v>
      </c>
      <c r="L726" s="4">
        <v>203</v>
      </c>
      <c r="M726" s="4">
        <v>141.5</v>
      </c>
      <c r="N726" s="4">
        <v>2.5</v>
      </c>
      <c r="O726" s="4">
        <v>26.675000000000001</v>
      </c>
      <c r="P726" s="4">
        <v>86</v>
      </c>
      <c r="Q726" s="4">
        <v>63.5</v>
      </c>
      <c r="R726" s="4">
        <v>203</v>
      </c>
      <c r="S726" s="4" t="str" cm="1">
        <f t="array" ref="S726">_xlfn.IFS($R726&lt;=50,"Good",$R726&lt;=100,"Moderate",$R726&lt;=200,"Poor",$R726&lt;=300,"Very Poor",$R726&lt;=500,"Hazardous")</f>
        <v>Very Poor</v>
      </c>
      <c r="T726" t="s">
        <v>25</v>
      </c>
      <c r="X726" s="2"/>
      <c r="Y726" s="2"/>
    </row>
    <row r="727" spans="1:25" x14ac:dyDescent="0.3">
      <c r="A727" s="2">
        <v>45437</v>
      </c>
      <c r="B727" t="s">
        <v>20</v>
      </c>
      <c r="C727" s="4">
        <v>78.8</v>
      </c>
      <c r="D727" s="4">
        <v>114.6</v>
      </c>
      <c r="E727" s="4">
        <v>50.8</v>
      </c>
      <c r="F727" s="4">
        <v>9.31</v>
      </c>
      <c r="G727" s="4">
        <v>22.9</v>
      </c>
      <c r="H727" s="4">
        <v>1.78</v>
      </c>
      <c r="I727" s="4">
        <v>31.2</v>
      </c>
      <c r="J727" s="4">
        <v>87.7</v>
      </c>
      <c r="K727" s="4">
        <v>4.01</v>
      </c>
      <c r="L727" s="4">
        <v>131.33333333333329</v>
      </c>
      <c r="M727" s="4">
        <v>114.6</v>
      </c>
      <c r="N727" s="4">
        <v>63.5</v>
      </c>
      <c r="O727" s="4">
        <v>23.274999999999999</v>
      </c>
      <c r="P727" s="4">
        <v>57.249999999999993</v>
      </c>
      <c r="Q727" s="4">
        <v>89</v>
      </c>
      <c r="R727" s="4">
        <v>131</v>
      </c>
      <c r="S727" s="4" t="str" cm="1">
        <f t="array" ref="S727">_xlfn.IFS($R727&lt;=50,"Good",$R727&lt;=100,"Moderate",$R727&lt;=200,"Poor",$R727&lt;=300,"Very Poor",$R727&lt;=500,"Hazardous")</f>
        <v>Poor</v>
      </c>
      <c r="T727" t="s">
        <v>25</v>
      </c>
      <c r="X727" s="2"/>
      <c r="Y727" s="2"/>
    </row>
    <row r="728" spans="1:25" x14ac:dyDescent="0.3">
      <c r="A728" s="2">
        <v>45437</v>
      </c>
      <c r="B728" t="s">
        <v>21</v>
      </c>
      <c r="C728" s="4">
        <v>49.3</v>
      </c>
      <c r="D728" s="4">
        <v>211.5</v>
      </c>
      <c r="E728" s="4">
        <v>32.5</v>
      </c>
      <c r="F728" s="4">
        <v>14.35</v>
      </c>
      <c r="G728" s="4">
        <v>33.9</v>
      </c>
      <c r="H728" s="4">
        <v>0.73</v>
      </c>
      <c r="I728" s="4">
        <v>30</v>
      </c>
      <c r="J728" s="4">
        <v>11.9</v>
      </c>
      <c r="K728" s="4">
        <v>0.4</v>
      </c>
      <c r="L728" s="4">
        <v>82.166666666666671</v>
      </c>
      <c r="M728" s="4">
        <v>211.5</v>
      </c>
      <c r="N728" s="4">
        <v>40.625</v>
      </c>
      <c r="O728" s="4">
        <v>35.875</v>
      </c>
      <c r="P728" s="4">
        <v>84.749999999999986</v>
      </c>
      <c r="Q728" s="4">
        <v>36.5</v>
      </c>
      <c r="R728" s="4">
        <v>212</v>
      </c>
      <c r="S728" s="4" t="str" cm="1">
        <f t="array" ref="S728">_xlfn.IFS($R728&lt;=50,"Good",$R728&lt;=100,"Moderate",$R728&lt;=200,"Poor",$R728&lt;=300,"Very Poor",$R728&lt;=500,"Hazardous")</f>
        <v>Very Poor</v>
      </c>
      <c r="T728" t="s">
        <v>28</v>
      </c>
      <c r="X728" s="2"/>
      <c r="Y728" s="2"/>
    </row>
    <row r="729" spans="1:25" x14ac:dyDescent="0.3">
      <c r="A729" s="2">
        <v>45437</v>
      </c>
      <c r="B729" t="s">
        <v>22</v>
      </c>
      <c r="C729" s="4">
        <v>51.9</v>
      </c>
      <c r="D729" s="4">
        <v>118.7</v>
      </c>
      <c r="E729" s="4">
        <v>35.700000000000003</v>
      </c>
      <c r="F729" s="4">
        <v>0.5</v>
      </c>
      <c r="G729" s="4">
        <v>18.600000000000001</v>
      </c>
      <c r="H729" s="4">
        <v>1.36</v>
      </c>
      <c r="I729" s="4">
        <v>32.1</v>
      </c>
      <c r="J729" s="4">
        <v>59.7</v>
      </c>
      <c r="K729" s="4">
        <v>3.89</v>
      </c>
      <c r="L729" s="4">
        <v>86.5</v>
      </c>
      <c r="M729" s="4">
        <v>118.7</v>
      </c>
      <c r="N729" s="4">
        <v>44.625000000000007</v>
      </c>
      <c r="O729" s="4">
        <v>1.25</v>
      </c>
      <c r="P729" s="4">
        <v>46.500000000000007</v>
      </c>
      <c r="Q729" s="4">
        <v>68</v>
      </c>
      <c r="R729" s="4">
        <v>119</v>
      </c>
      <c r="S729" s="4" t="str" cm="1">
        <f t="array" ref="S729">_xlfn.IFS($R729&lt;=50,"Good",$R729&lt;=100,"Moderate",$R729&lt;=200,"Poor",$R729&lt;=300,"Very Poor",$R729&lt;=500,"Hazardous")</f>
        <v>Poor</v>
      </c>
      <c r="T729" t="s">
        <v>28</v>
      </c>
      <c r="X729" s="2"/>
      <c r="Y729" s="2"/>
    </row>
    <row r="730" spans="1:25" x14ac:dyDescent="0.3">
      <c r="A730" s="2">
        <v>45437</v>
      </c>
      <c r="B730" t="s">
        <v>23</v>
      </c>
      <c r="C730" s="4">
        <v>71.900000000000006</v>
      </c>
      <c r="D730" s="4">
        <v>75.2</v>
      </c>
      <c r="E730" s="4">
        <v>39.4</v>
      </c>
      <c r="F730" s="4">
        <v>0.99</v>
      </c>
      <c r="G730" s="4">
        <v>37.299999999999997</v>
      </c>
      <c r="H730" s="4">
        <v>1.87</v>
      </c>
      <c r="I730" s="4">
        <v>32.799999999999997</v>
      </c>
      <c r="J730" s="4">
        <v>85.2</v>
      </c>
      <c r="K730" s="4">
        <v>2.14</v>
      </c>
      <c r="L730" s="4">
        <v>119.8333333333333</v>
      </c>
      <c r="M730" s="4">
        <v>75.2</v>
      </c>
      <c r="N730" s="4">
        <v>49.249999999999993</v>
      </c>
      <c r="O730" s="4">
        <v>2.4750000000000001</v>
      </c>
      <c r="P730" s="4">
        <v>93.25</v>
      </c>
      <c r="Q730" s="4">
        <v>93.5</v>
      </c>
      <c r="R730" s="4">
        <v>120</v>
      </c>
      <c r="S730" s="4" t="str" cm="1">
        <f t="array" ref="S730">_xlfn.IFS($R730&lt;=50,"Good",$R730&lt;=100,"Moderate",$R730&lt;=200,"Poor",$R730&lt;=300,"Very Poor",$R730&lt;=500,"Hazardous")</f>
        <v>Poor</v>
      </c>
      <c r="T730" t="s">
        <v>25</v>
      </c>
      <c r="X730" s="2"/>
      <c r="Y730" s="2"/>
    </row>
    <row r="731" spans="1:25" x14ac:dyDescent="0.3">
      <c r="A731" s="2">
        <v>45437</v>
      </c>
      <c r="B731" t="s">
        <v>24</v>
      </c>
      <c r="C731" s="4">
        <v>110.4</v>
      </c>
      <c r="D731" s="4">
        <v>119.2</v>
      </c>
      <c r="E731" s="4">
        <v>81.900000000000006</v>
      </c>
      <c r="F731" s="4">
        <v>8.68</v>
      </c>
      <c r="G731" s="4">
        <v>63.4</v>
      </c>
      <c r="H731" s="4">
        <v>2.29</v>
      </c>
      <c r="I731" s="4">
        <v>26.6</v>
      </c>
      <c r="J731" s="4">
        <v>63.9</v>
      </c>
      <c r="K731" s="4">
        <v>4.55</v>
      </c>
      <c r="L731" s="4">
        <v>184</v>
      </c>
      <c r="M731" s="4">
        <v>119.2</v>
      </c>
      <c r="N731" s="4">
        <v>102.375</v>
      </c>
      <c r="O731" s="4">
        <v>21.7</v>
      </c>
      <c r="P731" s="4">
        <v>158.5</v>
      </c>
      <c r="Q731" s="4">
        <v>114.5</v>
      </c>
      <c r="R731" s="4">
        <v>184</v>
      </c>
      <c r="S731" s="4" t="str" cm="1">
        <f t="array" ref="S731">_xlfn.IFS($R731&lt;=50,"Good",$R731&lt;=100,"Moderate",$R731&lt;=200,"Poor",$R731&lt;=300,"Very Poor",$R731&lt;=500,"Hazardous")</f>
        <v>Poor</v>
      </c>
      <c r="T731" t="s">
        <v>25</v>
      </c>
      <c r="X731" s="2"/>
      <c r="Y731" s="2"/>
    </row>
    <row r="732" spans="1:25" x14ac:dyDescent="0.3">
      <c r="A732" s="2">
        <v>45438</v>
      </c>
      <c r="B732" t="s">
        <v>20</v>
      </c>
      <c r="C732" s="4">
        <v>64.400000000000006</v>
      </c>
      <c r="D732" s="4">
        <v>46.9</v>
      </c>
      <c r="E732" s="4">
        <v>101</v>
      </c>
      <c r="F732" s="4">
        <v>6.5</v>
      </c>
      <c r="G732" s="4">
        <v>50.6</v>
      </c>
      <c r="H732" s="4">
        <v>2.1800000000000002</v>
      </c>
      <c r="I732" s="4">
        <v>23.7</v>
      </c>
      <c r="J732" s="4">
        <v>41.9</v>
      </c>
      <c r="K732" s="4">
        <v>2.8</v>
      </c>
      <c r="L732" s="4">
        <v>107.3333333333333</v>
      </c>
      <c r="M732" s="4">
        <v>46.9</v>
      </c>
      <c r="N732" s="4">
        <v>126.25</v>
      </c>
      <c r="O732" s="4">
        <v>16.25</v>
      </c>
      <c r="P732" s="4">
        <v>126.5</v>
      </c>
      <c r="Q732" s="4">
        <v>109</v>
      </c>
      <c r="R732" s="4">
        <v>126</v>
      </c>
      <c r="S732" s="4" t="str" cm="1">
        <f t="array" ref="S732">_xlfn.IFS($R732&lt;=50,"Good",$R732&lt;=100,"Moderate",$R732&lt;=200,"Poor",$R732&lt;=300,"Very Poor",$R732&lt;=500,"Hazardous")</f>
        <v>Poor</v>
      </c>
      <c r="T732" t="s">
        <v>27</v>
      </c>
      <c r="X732" s="2"/>
      <c r="Y732" s="2"/>
    </row>
    <row r="733" spans="1:25" x14ac:dyDescent="0.3">
      <c r="A733" s="2">
        <v>45438</v>
      </c>
      <c r="B733" t="s">
        <v>21</v>
      </c>
      <c r="C733" s="4">
        <v>7.8</v>
      </c>
      <c r="D733" s="4">
        <v>128.4</v>
      </c>
      <c r="E733" s="4">
        <v>62.4</v>
      </c>
      <c r="F733" s="4">
        <v>8.31</v>
      </c>
      <c r="G733" s="4">
        <v>1.8</v>
      </c>
      <c r="H733" s="4">
        <v>2.7</v>
      </c>
      <c r="I733" s="4">
        <v>28.7</v>
      </c>
      <c r="J733" s="4">
        <v>85.8</v>
      </c>
      <c r="K733" s="4">
        <v>2.19</v>
      </c>
      <c r="L733" s="4">
        <v>13</v>
      </c>
      <c r="M733" s="4">
        <v>128.4</v>
      </c>
      <c r="N733" s="4">
        <v>78</v>
      </c>
      <c r="O733" s="4">
        <v>20.774999999999999</v>
      </c>
      <c r="P733" s="4">
        <v>4.5000000000000009</v>
      </c>
      <c r="Q733" s="4">
        <v>135</v>
      </c>
      <c r="R733" s="4">
        <v>135</v>
      </c>
      <c r="S733" s="4" t="str" cm="1">
        <f t="array" ref="S733">_xlfn.IFS($R733&lt;=50,"Good",$R733&lt;=100,"Moderate",$R733&lt;=200,"Poor",$R733&lt;=300,"Very Poor",$R733&lt;=500,"Hazardous")</f>
        <v>Poor</v>
      </c>
      <c r="T733" t="s">
        <v>29</v>
      </c>
      <c r="X733" s="2"/>
      <c r="Y733" s="2"/>
    </row>
    <row r="734" spans="1:25" x14ac:dyDescent="0.3">
      <c r="A734" s="2">
        <v>45438</v>
      </c>
      <c r="B734" t="s">
        <v>22</v>
      </c>
      <c r="C734" s="4">
        <v>31.9</v>
      </c>
      <c r="D734" s="4">
        <v>129.30000000000001</v>
      </c>
      <c r="E734" s="4">
        <v>38.700000000000003</v>
      </c>
      <c r="F734" s="4">
        <v>2.0099999999999998</v>
      </c>
      <c r="G734" s="4">
        <v>72.900000000000006</v>
      </c>
      <c r="H734" s="4">
        <v>0.79</v>
      </c>
      <c r="I734" s="4">
        <v>15.1</v>
      </c>
      <c r="J734" s="4">
        <v>83.9</v>
      </c>
      <c r="K734" s="4">
        <v>1.89</v>
      </c>
      <c r="L734" s="4">
        <v>53.166666666666657</v>
      </c>
      <c r="M734" s="4">
        <v>129.30000000000001</v>
      </c>
      <c r="N734" s="4">
        <v>48.375</v>
      </c>
      <c r="O734" s="4">
        <v>5.0249999999999986</v>
      </c>
      <c r="P734" s="4">
        <v>182.25</v>
      </c>
      <c r="Q734" s="4">
        <v>39.5</v>
      </c>
      <c r="R734" s="4">
        <v>182</v>
      </c>
      <c r="S734" s="4" t="str" cm="1">
        <f t="array" ref="S734">_xlfn.IFS($R734&lt;=50,"Good",$R734&lt;=100,"Moderate",$R734&lt;=200,"Poor",$R734&lt;=300,"Very Poor",$R734&lt;=500,"Hazardous")</f>
        <v>Poor</v>
      </c>
      <c r="T734" t="s">
        <v>27</v>
      </c>
      <c r="X734" s="2"/>
      <c r="Y734" s="2"/>
    </row>
    <row r="735" spans="1:25" x14ac:dyDescent="0.3">
      <c r="A735" s="2">
        <v>45438</v>
      </c>
      <c r="B735" t="s">
        <v>23</v>
      </c>
      <c r="C735" s="4">
        <v>41.8</v>
      </c>
      <c r="D735" s="4">
        <v>14.1</v>
      </c>
      <c r="E735" s="4">
        <v>79.8</v>
      </c>
      <c r="F735" s="4">
        <v>1.55</v>
      </c>
      <c r="G735" s="4">
        <v>41.5</v>
      </c>
      <c r="H735" s="4">
        <v>1.75</v>
      </c>
      <c r="I735" s="4">
        <v>31</v>
      </c>
      <c r="J735" s="4">
        <v>58.9</v>
      </c>
      <c r="K735" s="4">
        <v>0.46</v>
      </c>
      <c r="L735" s="4">
        <v>69.666666666666671</v>
      </c>
      <c r="M735" s="4">
        <v>14.1</v>
      </c>
      <c r="N735" s="4">
        <v>99.749999999999986</v>
      </c>
      <c r="O735" s="4">
        <v>3.875</v>
      </c>
      <c r="P735" s="4">
        <v>103.75</v>
      </c>
      <c r="Q735" s="4">
        <v>87.5</v>
      </c>
      <c r="R735" s="4">
        <v>104</v>
      </c>
      <c r="S735" s="4" t="str" cm="1">
        <f t="array" ref="S735">_xlfn.IFS($R735&lt;=50,"Good",$R735&lt;=100,"Moderate",$R735&lt;=200,"Poor",$R735&lt;=300,"Very Poor",$R735&lt;=500,"Hazardous")</f>
        <v>Poor</v>
      </c>
      <c r="T735" t="s">
        <v>27</v>
      </c>
      <c r="X735" s="2"/>
      <c r="Y735" s="2"/>
    </row>
    <row r="736" spans="1:25" x14ac:dyDescent="0.3">
      <c r="A736" s="2">
        <v>45438</v>
      </c>
      <c r="B736" t="s">
        <v>24</v>
      </c>
      <c r="C736" s="4">
        <v>39.299999999999997</v>
      </c>
      <c r="D736" s="4">
        <v>144.4</v>
      </c>
      <c r="E736" s="4">
        <v>32.200000000000003</v>
      </c>
      <c r="F736" s="4">
        <v>9.92</v>
      </c>
      <c r="G736" s="4">
        <v>62.7</v>
      </c>
      <c r="H736" s="4">
        <v>1.96</v>
      </c>
      <c r="I736" s="4">
        <v>19.399999999999999</v>
      </c>
      <c r="J736" s="4">
        <v>99.5</v>
      </c>
      <c r="K736" s="4">
        <v>3.92</v>
      </c>
      <c r="L736" s="4">
        <v>65.499999999999986</v>
      </c>
      <c r="M736" s="4">
        <v>144.4</v>
      </c>
      <c r="N736" s="4">
        <v>40.25</v>
      </c>
      <c r="O736" s="4">
        <v>24.8</v>
      </c>
      <c r="P736" s="4">
        <v>156.75</v>
      </c>
      <c r="Q736" s="4">
        <v>98</v>
      </c>
      <c r="R736" s="4">
        <v>157</v>
      </c>
      <c r="S736" s="4" t="str" cm="1">
        <f t="array" ref="S736">_xlfn.IFS($R736&lt;=50,"Good",$R736&lt;=100,"Moderate",$R736&lt;=200,"Poor",$R736&lt;=300,"Very Poor",$R736&lt;=500,"Hazardous")</f>
        <v>Poor</v>
      </c>
      <c r="T736" t="s">
        <v>27</v>
      </c>
      <c r="X736" s="2"/>
      <c r="Y736" s="2"/>
    </row>
    <row r="737" spans="1:25" x14ac:dyDescent="0.3">
      <c r="A737" s="2">
        <v>45439</v>
      </c>
      <c r="B737" t="s">
        <v>20</v>
      </c>
      <c r="C737" s="4">
        <v>68.900000000000006</v>
      </c>
      <c r="D737" s="4">
        <v>213.2</v>
      </c>
      <c r="E737" s="4">
        <v>106.2</v>
      </c>
      <c r="F737" s="4">
        <v>0.93</v>
      </c>
      <c r="G737" s="4">
        <v>39.5</v>
      </c>
      <c r="H737" s="4">
        <v>0.05</v>
      </c>
      <c r="I737" s="4">
        <v>29.3</v>
      </c>
      <c r="J737" s="4">
        <v>66.599999999999994</v>
      </c>
      <c r="K737" s="4">
        <v>2.4500000000000002</v>
      </c>
      <c r="L737" s="4">
        <v>114.8333333333333</v>
      </c>
      <c r="M737" s="4">
        <v>213.2</v>
      </c>
      <c r="N737" s="4">
        <v>132.75</v>
      </c>
      <c r="O737" s="4">
        <v>2.3250000000000002</v>
      </c>
      <c r="P737" s="4">
        <v>98.75</v>
      </c>
      <c r="Q737" s="4">
        <v>2.5</v>
      </c>
      <c r="R737" s="4">
        <v>213</v>
      </c>
      <c r="S737" s="4" t="str" cm="1">
        <f t="array" ref="S737">_xlfn.IFS($R737&lt;=50,"Good",$R737&lt;=100,"Moderate",$R737&lt;=200,"Poor",$R737&lt;=300,"Very Poor",$R737&lt;=500,"Hazardous")</f>
        <v>Very Poor</v>
      </c>
      <c r="T737" t="s">
        <v>28</v>
      </c>
      <c r="X737" s="2"/>
      <c r="Y737" s="2"/>
    </row>
    <row r="738" spans="1:25" x14ac:dyDescent="0.3">
      <c r="A738" s="2">
        <v>45439</v>
      </c>
      <c r="B738" t="s">
        <v>21</v>
      </c>
      <c r="C738" s="4">
        <v>50.5</v>
      </c>
      <c r="D738" s="4">
        <v>5</v>
      </c>
      <c r="E738" s="4">
        <v>65.599999999999994</v>
      </c>
      <c r="F738" s="4">
        <v>19.100000000000001</v>
      </c>
      <c r="G738" s="4">
        <v>31.5</v>
      </c>
      <c r="H738" s="4">
        <v>1.83</v>
      </c>
      <c r="I738" s="4">
        <v>17</v>
      </c>
      <c r="J738" s="4">
        <v>68.2</v>
      </c>
      <c r="K738" s="4">
        <v>2.0299999999999998</v>
      </c>
      <c r="L738" s="4">
        <v>84.166666666666671</v>
      </c>
      <c r="M738" s="4">
        <v>5</v>
      </c>
      <c r="N738" s="4">
        <v>81.999999999999986</v>
      </c>
      <c r="O738" s="4">
        <v>47.75</v>
      </c>
      <c r="P738" s="4">
        <v>78.75</v>
      </c>
      <c r="Q738" s="4">
        <v>91.5</v>
      </c>
      <c r="R738" s="4">
        <v>92</v>
      </c>
      <c r="S738" s="4" t="str" cm="1">
        <f t="array" ref="S738">_xlfn.IFS($R738&lt;=50,"Good",$R738&lt;=100,"Moderate",$R738&lt;=200,"Poor",$R738&lt;=300,"Very Poor",$R738&lt;=500,"Hazardous")</f>
        <v>Moderate</v>
      </c>
      <c r="T738" t="s">
        <v>29</v>
      </c>
      <c r="X738" s="2"/>
      <c r="Y738" s="2"/>
    </row>
    <row r="739" spans="1:25" x14ac:dyDescent="0.3">
      <c r="A739" s="2">
        <v>45439</v>
      </c>
      <c r="B739" t="s">
        <v>22</v>
      </c>
      <c r="C739" s="4">
        <v>35.299999999999997</v>
      </c>
      <c r="D739" s="4">
        <v>70.7</v>
      </c>
      <c r="E739" s="4">
        <v>35.299999999999997</v>
      </c>
      <c r="F739" s="4">
        <v>9.42</v>
      </c>
      <c r="G739" s="4">
        <v>6.8</v>
      </c>
      <c r="H739" s="4">
        <v>0.91</v>
      </c>
      <c r="I739" s="4">
        <v>27.7</v>
      </c>
      <c r="J739" s="4">
        <v>40.200000000000003</v>
      </c>
      <c r="K739" s="4">
        <v>4.66</v>
      </c>
      <c r="L739" s="4">
        <v>58.833333333333329</v>
      </c>
      <c r="M739" s="4">
        <v>70.7</v>
      </c>
      <c r="N739" s="4">
        <v>44.125</v>
      </c>
      <c r="O739" s="4">
        <v>23.55</v>
      </c>
      <c r="P739" s="4">
        <v>17</v>
      </c>
      <c r="Q739" s="4">
        <v>45.5</v>
      </c>
      <c r="R739" s="4">
        <v>71</v>
      </c>
      <c r="S739" s="4" t="str" cm="1">
        <f t="array" ref="S739">_xlfn.IFS($R739&lt;=50,"Good",$R739&lt;=100,"Moderate",$R739&lt;=200,"Poor",$R739&lt;=300,"Very Poor",$R739&lt;=500,"Hazardous")</f>
        <v>Moderate</v>
      </c>
      <c r="T739" t="s">
        <v>28</v>
      </c>
      <c r="X739" s="2"/>
      <c r="Y739" s="2"/>
    </row>
    <row r="740" spans="1:25" x14ac:dyDescent="0.3">
      <c r="A740" s="2">
        <v>45439</v>
      </c>
      <c r="B740" t="s">
        <v>23</v>
      </c>
      <c r="C740" s="4">
        <v>34.4</v>
      </c>
      <c r="D740" s="4">
        <v>79.8</v>
      </c>
      <c r="E740" s="4">
        <v>25.4</v>
      </c>
      <c r="F740" s="4">
        <v>16.989999999999998</v>
      </c>
      <c r="G740" s="4">
        <v>53.8</v>
      </c>
      <c r="H740" s="4">
        <v>0.64</v>
      </c>
      <c r="I740" s="4">
        <v>35.700000000000003</v>
      </c>
      <c r="J740" s="4">
        <v>63.6</v>
      </c>
      <c r="K740" s="4">
        <v>2.81</v>
      </c>
      <c r="L740" s="4">
        <v>57.333333333333343</v>
      </c>
      <c r="M740" s="4">
        <v>79.8</v>
      </c>
      <c r="N740" s="4">
        <v>31.75</v>
      </c>
      <c r="O740" s="4">
        <v>42.475000000000001</v>
      </c>
      <c r="P740" s="4">
        <v>134.5</v>
      </c>
      <c r="Q740" s="4">
        <v>32</v>
      </c>
      <c r="R740" s="4">
        <v>134</v>
      </c>
      <c r="S740" s="4" t="str" cm="1">
        <f t="array" ref="S740">_xlfn.IFS($R740&lt;=50,"Good",$R740&lt;=100,"Moderate",$R740&lt;=200,"Poor",$R740&lt;=300,"Very Poor",$R740&lt;=500,"Hazardous")</f>
        <v>Poor</v>
      </c>
      <c r="T740" t="s">
        <v>27</v>
      </c>
      <c r="X740" s="2"/>
      <c r="Y740" s="2"/>
    </row>
    <row r="741" spans="1:25" x14ac:dyDescent="0.3">
      <c r="A741" s="2">
        <v>45439</v>
      </c>
      <c r="B741" t="s">
        <v>24</v>
      </c>
      <c r="C741" s="4">
        <v>54.6</v>
      </c>
      <c r="D741" s="4">
        <v>82.5</v>
      </c>
      <c r="E741" s="4">
        <v>56.9</v>
      </c>
      <c r="F741" s="4">
        <v>5.8</v>
      </c>
      <c r="G741" s="4">
        <v>94</v>
      </c>
      <c r="H741" s="4">
        <v>0.48</v>
      </c>
      <c r="I741" s="4">
        <v>38.799999999999997</v>
      </c>
      <c r="J741" s="4">
        <v>58</v>
      </c>
      <c r="K741" s="4">
        <v>3.36</v>
      </c>
      <c r="L741" s="4">
        <v>91</v>
      </c>
      <c r="M741" s="4">
        <v>82.5</v>
      </c>
      <c r="N741" s="4">
        <v>71.125</v>
      </c>
      <c r="O741" s="4">
        <v>14.5</v>
      </c>
      <c r="P741" s="4">
        <v>235</v>
      </c>
      <c r="Q741" s="4">
        <v>24</v>
      </c>
      <c r="R741" s="4">
        <v>235</v>
      </c>
      <c r="S741" s="4" t="str" cm="1">
        <f t="array" ref="S741">_xlfn.IFS($R741&lt;=50,"Good",$R741&lt;=100,"Moderate",$R741&lt;=200,"Poor",$R741&lt;=300,"Very Poor",$R741&lt;=500,"Hazardous")</f>
        <v>Very Poor</v>
      </c>
      <c r="T741" t="s">
        <v>27</v>
      </c>
      <c r="X741" s="2"/>
      <c r="Y741" s="2"/>
    </row>
    <row r="742" spans="1:25" x14ac:dyDescent="0.3">
      <c r="A742" s="2">
        <v>45440</v>
      </c>
      <c r="B742" t="s">
        <v>20</v>
      </c>
      <c r="C742" s="4">
        <v>97.7</v>
      </c>
      <c r="D742" s="4">
        <v>94.5</v>
      </c>
      <c r="E742" s="4">
        <v>71.599999999999994</v>
      </c>
      <c r="F742" s="4">
        <v>0.5</v>
      </c>
      <c r="G742" s="4">
        <v>25.3</v>
      </c>
      <c r="H742" s="4">
        <v>0.74</v>
      </c>
      <c r="I742" s="4">
        <v>19.2</v>
      </c>
      <c r="J742" s="4">
        <v>56.1</v>
      </c>
      <c r="K742" s="4">
        <v>2.96</v>
      </c>
      <c r="L742" s="4">
        <v>162.83333333333329</v>
      </c>
      <c r="M742" s="4">
        <v>94.5</v>
      </c>
      <c r="N742" s="4">
        <v>89.5</v>
      </c>
      <c r="O742" s="4">
        <v>1.25</v>
      </c>
      <c r="P742" s="4">
        <v>63.25</v>
      </c>
      <c r="Q742" s="4">
        <v>37</v>
      </c>
      <c r="R742" s="4">
        <v>163</v>
      </c>
      <c r="S742" s="4" t="str" cm="1">
        <f t="array" ref="S742">_xlfn.IFS($R742&lt;=50,"Good",$R742&lt;=100,"Moderate",$R742&lt;=200,"Poor",$R742&lt;=300,"Very Poor",$R742&lt;=500,"Hazardous")</f>
        <v>Poor</v>
      </c>
      <c r="T742" t="s">
        <v>25</v>
      </c>
      <c r="X742" s="2"/>
      <c r="Y742" s="2"/>
    </row>
    <row r="743" spans="1:25" x14ac:dyDescent="0.3">
      <c r="A743" s="2">
        <v>45440</v>
      </c>
      <c r="B743" t="s">
        <v>21</v>
      </c>
      <c r="C743" s="4">
        <v>101.3</v>
      </c>
      <c r="D743" s="4">
        <v>168.1</v>
      </c>
      <c r="E743" s="4">
        <v>39.6</v>
      </c>
      <c r="F743" s="4">
        <v>12.31</v>
      </c>
      <c r="G743" s="4">
        <v>53.9</v>
      </c>
      <c r="H743" s="4">
        <v>2.2000000000000002</v>
      </c>
      <c r="I743" s="4">
        <v>33.4</v>
      </c>
      <c r="J743" s="4">
        <v>60.5</v>
      </c>
      <c r="K743" s="4">
        <v>1.42</v>
      </c>
      <c r="L743" s="4">
        <v>168.83333333333329</v>
      </c>
      <c r="M743" s="4">
        <v>168.1</v>
      </c>
      <c r="N743" s="4">
        <v>49.5</v>
      </c>
      <c r="O743" s="4">
        <v>30.774999999999999</v>
      </c>
      <c r="P743" s="4">
        <v>134.75</v>
      </c>
      <c r="Q743" s="4">
        <v>110</v>
      </c>
      <c r="R743" s="4">
        <v>169</v>
      </c>
      <c r="S743" s="4" t="str" cm="1">
        <f t="array" ref="S743">_xlfn.IFS($R743&lt;=50,"Good",$R743&lt;=100,"Moderate",$R743&lt;=200,"Poor",$R743&lt;=300,"Very Poor",$R743&lt;=500,"Hazardous")</f>
        <v>Poor</v>
      </c>
      <c r="T743" t="s">
        <v>25</v>
      </c>
      <c r="X743" s="2"/>
      <c r="Y743" s="2"/>
    </row>
    <row r="744" spans="1:25" x14ac:dyDescent="0.3">
      <c r="A744" s="2">
        <v>45440</v>
      </c>
      <c r="B744" t="s">
        <v>22</v>
      </c>
      <c r="C744" s="4">
        <v>38.4</v>
      </c>
      <c r="D744" s="4">
        <v>82.7</v>
      </c>
      <c r="E744" s="4">
        <v>36.799999999999997</v>
      </c>
      <c r="F744" s="4">
        <v>8.8699999999999992</v>
      </c>
      <c r="G744" s="4">
        <v>55</v>
      </c>
      <c r="H744" s="4">
        <v>1.1100000000000001</v>
      </c>
      <c r="I744" s="4">
        <v>28.1</v>
      </c>
      <c r="J744" s="4">
        <v>62.6</v>
      </c>
      <c r="K744" s="4">
        <v>1.88</v>
      </c>
      <c r="L744" s="4">
        <v>64</v>
      </c>
      <c r="M744" s="4">
        <v>82.7</v>
      </c>
      <c r="N744" s="4">
        <v>46</v>
      </c>
      <c r="O744" s="4">
        <v>22.175000000000001</v>
      </c>
      <c r="P744" s="4">
        <v>137.5</v>
      </c>
      <c r="Q744" s="4">
        <v>55.500000000000007</v>
      </c>
      <c r="R744" s="4">
        <v>138</v>
      </c>
      <c r="S744" s="4" t="str" cm="1">
        <f t="array" ref="S744">_xlfn.IFS($R744&lt;=50,"Good",$R744&lt;=100,"Moderate",$R744&lt;=200,"Poor",$R744&lt;=300,"Very Poor",$R744&lt;=500,"Hazardous")</f>
        <v>Poor</v>
      </c>
      <c r="T744" t="s">
        <v>27</v>
      </c>
      <c r="X744" s="2"/>
      <c r="Y744" s="2"/>
    </row>
    <row r="745" spans="1:25" x14ac:dyDescent="0.3">
      <c r="A745" s="2">
        <v>45440</v>
      </c>
      <c r="B745" t="s">
        <v>23</v>
      </c>
      <c r="C745" s="4">
        <v>32.200000000000003</v>
      </c>
      <c r="D745" s="4">
        <v>14.7</v>
      </c>
      <c r="E745" s="4">
        <v>31.1</v>
      </c>
      <c r="F745" s="4">
        <v>10.37</v>
      </c>
      <c r="G745" s="4">
        <v>22.4</v>
      </c>
      <c r="H745" s="4">
        <v>1.06</v>
      </c>
      <c r="I745" s="4">
        <v>31.3</v>
      </c>
      <c r="J745" s="4">
        <v>69.400000000000006</v>
      </c>
      <c r="K745" s="4">
        <v>1.2</v>
      </c>
      <c r="L745" s="4">
        <v>53.666666666666671</v>
      </c>
      <c r="M745" s="4">
        <v>14.7</v>
      </c>
      <c r="N745" s="4">
        <v>38.875</v>
      </c>
      <c r="O745" s="4">
        <v>25.925000000000001</v>
      </c>
      <c r="P745" s="4">
        <v>55.999999999999993</v>
      </c>
      <c r="Q745" s="4">
        <v>53.000000000000007</v>
      </c>
      <c r="R745" s="4">
        <v>56</v>
      </c>
      <c r="S745" s="4" t="str" cm="1">
        <f t="array" ref="S745">_xlfn.IFS($R745&lt;=50,"Good",$R745&lt;=100,"Moderate",$R745&lt;=200,"Poor",$R745&lt;=300,"Very Poor",$R745&lt;=500,"Hazardous")</f>
        <v>Moderate</v>
      </c>
      <c r="T745" t="s">
        <v>27</v>
      </c>
      <c r="X745" s="2"/>
      <c r="Y745" s="2"/>
    </row>
    <row r="746" spans="1:25" x14ac:dyDescent="0.3">
      <c r="A746" s="2">
        <v>45440</v>
      </c>
      <c r="B746" t="s">
        <v>24</v>
      </c>
      <c r="C746" s="4">
        <v>98.9</v>
      </c>
      <c r="D746" s="4">
        <v>206.4</v>
      </c>
      <c r="E746" s="4">
        <v>24.6</v>
      </c>
      <c r="F746" s="4">
        <v>4.2699999999999996</v>
      </c>
      <c r="G746" s="4">
        <v>76.8</v>
      </c>
      <c r="H746" s="4">
        <v>1.22</v>
      </c>
      <c r="I746" s="4">
        <v>12.5</v>
      </c>
      <c r="J746" s="4">
        <v>34.799999999999997</v>
      </c>
      <c r="K746" s="4">
        <v>2.7</v>
      </c>
      <c r="L746" s="4">
        <v>164.83333333333329</v>
      </c>
      <c r="M746" s="4">
        <v>206.4</v>
      </c>
      <c r="N746" s="4">
        <v>30.75</v>
      </c>
      <c r="O746" s="4">
        <v>10.675000000000001</v>
      </c>
      <c r="P746" s="4">
        <v>192</v>
      </c>
      <c r="Q746" s="4">
        <v>61</v>
      </c>
      <c r="R746" s="4">
        <v>206</v>
      </c>
      <c r="S746" s="4" t="str" cm="1">
        <f t="array" ref="S746">_xlfn.IFS($R746&lt;=50,"Good",$R746&lt;=100,"Moderate",$R746&lt;=200,"Poor",$R746&lt;=300,"Very Poor",$R746&lt;=500,"Hazardous")</f>
        <v>Very Poor</v>
      </c>
      <c r="T746" t="s">
        <v>28</v>
      </c>
      <c r="X746" s="2"/>
      <c r="Y746" s="2"/>
    </row>
    <row r="747" spans="1:25" x14ac:dyDescent="0.3">
      <c r="A747" s="2">
        <v>45441</v>
      </c>
      <c r="B747" t="s">
        <v>20</v>
      </c>
      <c r="C747" s="4">
        <v>28.9</v>
      </c>
      <c r="D747" s="4">
        <v>109.5</v>
      </c>
      <c r="E747" s="4">
        <v>52.5</v>
      </c>
      <c r="F747" s="4">
        <v>17.61</v>
      </c>
      <c r="G747" s="4">
        <v>37.6</v>
      </c>
      <c r="H747" s="4">
        <v>2.12</v>
      </c>
      <c r="I747" s="4">
        <v>38</v>
      </c>
      <c r="J747" s="4">
        <v>85.8</v>
      </c>
      <c r="K747" s="4">
        <v>2.84</v>
      </c>
      <c r="L747" s="4">
        <v>48.166666666666657</v>
      </c>
      <c r="M747" s="4">
        <v>109.5</v>
      </c>
      <c r="N747" s="4">
        <v>65.625</v>
      </c>
      <c r="O747" s="4">
        <v>44.024999999999999</v>
      </c>
      <c r="P747" s="4">
        <v>94</v>
      </c>
      <c r="Q747" s="4">
        <v>106</v>
      </c>
      <c r="R747" s="4">
        <v>110</v>
      </c>
      <c r="S747" s="4" t="str" cm="1">
        <f t="array" ref="S747">_xlfn.IFS($R747&lt;=50,"Good",$R747&lt;=100,"Moderate",$R747&lt;=200,"Poor",$R747&lt;=300,"Very Poor",$R747&lt;=500,"Hazardous")</f>
        <v>Poor</v>
      </c>
      <c r="T747" t="s">
        <v>28</v>
      </c>
      <c r="X747" s="2"/>
      <c r="Y747" s="2"/>
    </row>
    <row r="748" spans="1:25" x14ac:dyDescent="0.3">
      <c r="A748" s="2">
        <v>45441</v>
      </c>
      <c r="B748" t="s">
        <v>21</v>
      </c>
      <c r="C748" s="4">
        <v>2</v>
      </c>
      <c r="D748" s="4">
        <v>184.6</v>
      </c>
      <c r="E748" s="4">
        <v>82.5</v>
      </c>
      <c r="F748" s="4">
        <v>9.49</v>
      </c>
      <c r="G748" s="4">
        <v>104.5</v>
      </c>
      <c r="H748" s="4">
        <v>2.14</v>
      </c>
      <c r="I748" s="4">
        <v>32</v>
      </c>
      <c r="J748" s="4">
        <v>79.599999999999994</v>
      </c>
      <c r="K748" s="4">
        <v>2.9</v>
      </c>
      <c r="L748" s="4">
        <v>3.333333333333333</v>
      </c>
      <c r="M748" s="4">
        <v>184.6</v>
      </c>
      <c r="N748" s="4">
        <v>103.125</v>
      </c>
      <c r="O748" s="4">
        <v>23.725000000000001</v>
      </c>
      <c r="P748" s="4">
        <v>261.25</v>
      </c>
      <c r="Q748" s="4">
        <v>107</v>
      </c>
      <c r="R748" s="4">
        <v>261</v>
      </c>
      <c r="S748" s="4" t="str" cm="1">
        <f t="array" ref="S748">_xlfn.IFS($R748&lt;=50,"Good",$R748&lt;=100,"Moderate",$R748&lt;=200,"Poor",$R748&lt;=300,"Very Poor",$R748&lt;=500,"Hazardous")</f>
        <v>Very Poor</v>
      </c>
      <c r="T748" t="s">
        <v>27</v>
      </c>
      <c r="X748" s="2"/>
      <c r="Y748" s="2"/>
    </row>
    <row r="749" spans="1:25" x14ac:dyDescent="0.3">
      <c r="A749" s="2">
        <v>45441</v>
      </c>
      <c r="B749" t="s">
        <v>22</v>
      </c>
      <c r="C749" s="4">
        <v>2</v>
      </c>
      <c r="D749" s="4">
        <v>85.5</v>
      </c>
      <c r="E749" s="4">
        <v>65.5</v>
      </c>
      <c r="F749" s="4">
        <v>3.76</v>
      </c>
      <c r="G749" s="4">
        <v>32.700000000000003</v>
      </c>
      <c r="H749" s="4">
        <v>0.54</v>
      </c>
      <c r="I749" s="4">
        <v>40.5</v>
      </c>
      <c r="J749" s="4">
        <v>90.3</v>
      </c>
      <c r="K749" s="4">
        <v>1.44</v>
      </c>
      <c r="L749" s="4">
        <v>3.333333333333333</v>
      </c>
      <c r="M749" s="4">
        <v>85.5</v>
      </c>
      <c r="N749" s="4">
        <v>81.875</v>
      </c>
      <c r="O749" s="4">
        <v>9.3999999999999986</v>
      </c>
      <c r="P749" s="4">
        <v>81.75</v>
      </c>
      <c r="Q749" s="4">
        <v>27</v>
      </c>
      <c r="R749" s="4">
        <v>86</v>
      </c>
      <c r="S749" s="4" t="str" cm="1">
        <f t="array" ref="S749">_xlfn.IFS($R749&lt;=50,"Good",$R749&lt;=100,"Moderate",$R749&lt;=200,"Poor",$R749&lt;=300,"Very Poor",$R749&lt;=500,"Hazardous")</f>
        <v>Moderate</v>
      </c>
      <c r="T749" t="s">
        <v>28</v>
      </c>
      <c r="X749" s="2"/>
      <c r="Y749" s="2"/>
    </row>
    <row r="750" spans="1:25" x14ac:dyDescent="0.3">
      <c r="A750" s="2">
        <v>45441</v>
      </c>
      <c r="B750" t="s">
        <v>23</v>
      </c>
      <c r="C750" s="4">
        <v>64.400000000000006</v>
      </c>
      <c r="D750" s="4">
        <v>79.2</v>
      </c>
      <c r="E750" s="4">
        <v>57.3</v>
      </c>
      <c r="F750" s="4">
        <v>10.55</v>
      </c>
      <c r="G750" s="4">
        <v>60.3</v>
      </c>
      <c r="H750" s="4">
        <v>1.4</v>
      </c>
      <c r="I750" s="4">
        <v>48.5</v>
      </c>
      <c r="J750" s="4">
        <v>41.5</v>
      </c>
      <c r="K750" s="4">
        <v>0.45</v>
      </c>
      <c r="L750" s="4">
        <v>107.3333333333333</v>
      </c>
      <c r="M750" s="4">
        <v>79.2</v>
      </c>
      <c r="N750" s="4">
        <v>71.625</v>
      </c>
      <c r="O750" s="4">
        <v>26.375</v>
      </c>
      <c r="P750" s="4">
        <v>150.75</v>
      </c>
      <c r="Q750" s="4">
        <v>69.999999999999986</v>
      </c>
      <c r="R750" s="4">
        <v>151</v>
      </c>
      <c r="S750" s="4" t="str" cm="1">
        <f t="array" ref="S750">_xlfn.IFS($R750&lt;=50,"Good",$R750&lt;=100,"Moderate",$R750&lt;=200,"Poor",$R750&lt;=300,"Very Poor",$R750&lt;=500,"Hazardous")</f>
        <v>Poor</v>
      </c>
      <c r="T750" t="s">
        <v>27</v>
      </c>
      <c r="X750" s="2"/>
      <c r="Y750" s="2"/>
    </row>
    <row r="751" spans="1:25" x14ac:dyDescent="0.3">
      <c r="A751" s="2">
        <v>45441</v>
      </c>
      <c r="B751" t="s">
        <v>24</v>
      </c>
      <c r="C751" s="4">
        <v>53</v>
      </c>
      <c r="D751" s="4">
        <v>28.5</v>
      </c>
      <c r="E751" s="4">
        <v>16.7</v>
      </c>
      <c r="F751" s="4">
        <v>3.29</v>
      </c>
      <c r="G751" s="4">
        <v>18.600000000000001</v>
      </c>
      <c r="H751" s="4">
        <v>0.69</v>
      </c>
      <c r="I751" s="4">
        <v>31.6</v>
      </c>
      <c r="J751" s="4">
        <v>50.9</v>
      </c>
      <c r="K751" s="4">
        <v>2.78</v>
      </c>
      <c r="L751" s="4">
        <v>88.333333333333329</v>
      </c>
      <c r="M751" s="4">
        <v>28.5</v>
      </c>
      <c r="N751" s="4">
        <v>20.875</v>
      </c>
      <c r="O751" s="4">
        <v>8.2249999999999996</v>
      </c>
      <c r="P751" s="4">
        <v>46.500000000000007</v>
      </c>
      <c r="Q751" s="4">
        <v>34.499999999999993</v>
      </c>
      <c r="R751" s="4">
        <v>88</v>
      </c>
      <c r="S751" s="4" t="str" cm="1">
        <f t="array" ref="S751">_xlfn.IFS($R751&lt;=50,"Good",$R751&lt;=100,"Moderate",$R751&lt;=200,"Poor",$R751&lt;=300,"Very Poor",$R751&lt;=500,"Hazardous")</f>
        <v>Moderate</v>
      </c>
      <c r="T751" t="s">
        <v>25</v>
      </c>
      <c r="X751" s="2"/>
      <c r="Y751" s="2"/>
    </row>
    <row r="752" spans="1:25" x14ac:dyDescent="0.3">
      <c r="A752" s="2">
        <v>45442</v>
      </c>
      <c r="B752" t="s">
        <v>20</v>
      </c>
      <c r="C752" s="4">
        <v>99.9</v>
      </c>
      <c r="D752" s="4">
        <v>85.1</v>
      </c>
      <c r="E752" s="4">
        <v>45.7</v>
      </c>
      <c r="F752" s="4">
        <v>11.3</v>
      </c>
      <c r="G752" s="4">
        <v>1</v>
      </c>
      <c r="H752" s="4">
        <v>0.05</v>
      </c>
      <c r="I752" s="4">
        <v>30.4</v>
      </c>
      <c r="J752" s="4">
        <v>68.900000000000006</v>
      </c>
      <c r="K752" s="4">
        <v>4.9800000000000004</v>
      </c>
      <c r="L752" s="4">
        <v>166.5</v>
      </c>
      <c r="M752" s="4">
        <v>85.1</v>
      </c>
      <c r="N752" s="4">
        <v>57.125</v>
      </c>
      <c r="O752" s="4">
        <v>28.25</v>
      </c>
      <c r="P752" s="4">
        <v>2.5</v>
      </c>
      <c r="Q752" s="4">
        <v>2.5</v>
      </c>
      <c r="R752" s="4">
        <v>166</v>
      </c>
      <c r="S752" s="4" t="str" cm="1">
        <f t="array" ref="S752">_xlfn.IFS($R752&lt;=50,"Good",$R752&lt;=100,"Moderate",$R752&lt;=200,"Poor",$R752&lt;=300,"Very Poor",$R752&lt;=500,"Hazardous")</f>
        <v>Poor</v>
      </c>
      <c r="T752" t="s">
        <v>25</v>
      </c>
      <c r="X752" s="2"/>
      <c r="Y752" s="2"/>
    </row>
    <row r="753" spans="1:25" x14ac:dyDescent="0.3">
      <c r="A753" s="2">
        <v>45442</v>
      </c>
      <c r="B753" t="s">
        <v>21</v>
      </c>
      <c r="C753" s="4">
        <v>80.900000000000006</v>
      </c>
      <c r="D753" s="4">
        <v>211.5</v>
      </c>
      <c r="E753" s="4">
        <v>51.4</v>
      </c>
      <c r="F753" s="4">
        <v>11.86</v>
      </c>
      <c r="G753" s="4">
        <v>102.1</v>
      </c>
      <c r="H753" s="4">
        <v>0.05</v>
      </c>
      <c r="I753" s="4">
        <v>30.9</v>
      </c>
      <c r="J753" s="4">
        <v>98.4</v>
      </c>
      <c r="K753" s="4">
        <v>2.84</v>
      </c>
      <c r="L753" s="4">
        <v>134.83333333333329</v>
      </c>
      <c r="M753" s="4">
        <v>211.5</v>
      </c>
      <c r="N753" s="4">
        <v>64.25</v>
      </c>
      <c r="O753" s="4">
        <v>29.65</v>
      </c>
      <c r="P753" s="4">
        <v>255.25</v>
      </c>
      <c r="Q753" s="4">
        <v>2.5</v>
      </c>
      <c r="R753" s="4">
        <v>255</v>
      </c>
      <c r="S753" s="4" t="str" cm="1">
        <f t="array" ref="S753">_xlfn.IFS($R753&lt;=50,"Good",$R753&lt;=100,"Moderate",$R753&lt;=200,"Poor",$R753&lt;=300,"Very Poor",$R753&lt;=500,"Hazardous")</f>
        <v>Very Poor</v>
      </c>
      <c r="T753" t="s">
        <v>27</v>
      </c>
      <c r="X753" s="2"/>
      <c r="Y753" s="2"/>
    </row>
    <row r="754" spans="1:25" x14ac:dyDescent="0.3">
      <c r="A754" s="2">
        <v>45442</v>
      </c>
      <c r="B754" t="s">
        <v>22</v>
      </c>
      <c r="C754" s="4">
        <v>104</v>
      </c>
      <c r="D754" s="4">
        <v>78.099999999999994</v>
      </c>
      <c r="E754" s="4">
        <v>42.1</v>
      </c>
      <c r="F754" s="4">
        <v>7.76</v>
      </c>
      <c r="G754" s="4">
        <v>1</v>
      </c>
      <c r="H754" s="4">
        <v>0.47</v>
      </c>
      <c r="I754" s="4">
        <v>20.3</v>
      </c>
      <c r="J754" s="4">
        <v>74.8</v>
      </c>
      <c r="K754" s="4">
        <v>3.55</v>
      </c>
      <c r="L754" s="4">
        <v>173.33333333333329</v>
      </c>
      <c r="M754" s="4">
        <v>78.099999999999994</v>
      </c>
      <c r="N754" s="4">
        <v>52.625000000000007</v>
      </c>
      <c r="O754" s="4">
        <v>19.399999999999999</v>
      </c>
      <c r="P754" s="4">
        <v>2.5</v>
      </c>
      <c r="Q754" s="4">
        <v>23.5</v>
      </c>
      <c r="R754" s="4">
        <v>173</v>
      </c>
      <c r="S754" s="4" t="str" cm="1">
        <f t="array" ref="S754">_xlfn.IFS($R754&lt;=50,"Good",$R754&lt;=100,"Moderate",$R754&lt;=200,"Poor",$R754&lt;=300,"Very Poor",$R754&lt;=500,"Hazardous")</f>
        <v>Poor</v>
      </c>
      <c r="T754" t="s">
        <v>25</v>
      </c>
      <c r="X754" s="2"/>
      <c r="Y754" s="2"/>
    </row>
    <row r="755" spans="1:25" x14ac:dyDescent="0.3">
      <c r="A755" s="2">
        <v>45442</v>
      </c>
      <c r="B755" t="s">
        <v>23</v>
      </c>
      <c r="C755" s="4">
        <v>69.7</v>
      </c>
      <c r="D755" s="4">
        <v>169.4</v>
      </c>
      <c r="E755" s="4">
        <v>41.7</v>
      </c>
      <c r="F755" s="4">
        <v>14.01</v>
      </c>
      <c r="G755" s="4">
        <v>40.200000000000003</v>
      </c>
      <c r="H755" s="4">
        <v>1.23</v>
      </c>
      <c r="I755" s="4">
        <v>26.1</v>
      </c>
      <c r="J755" s="4">
        <v>72.3</v>
      </c>
      <c r="K755" s="4">
        <v>1.99</v>
      </c>
      <c r="L755" s="4">
        <v>116.1666666666667</v>
      </c>
      <c r="M755" s="4">
        <v>169.4</v>
      </c>
      <c r="N755" s="4">
        <v>52.125000000000007</v>
      </c>
      <c r="O755" s="4">
        <v>35.024999999999999</v>
      </c>
      <c r="P755" s="4">
        <v>100.5</v>
      </c>
      <c r="Q755" s="4">
        <v>61.5</v>
      </c>
      <c r="R755" s="4">
        <v>169</v>
      </c>
      <c r="S755" s="4" t="str" cm="1">
        <f t="array" ref="S755">_xlfn.IFS($R755&lt;=50,"Good",$R755&lt;=100,"Moderate",$R755&lt;=200,"Poor",$R755&lt;=300,"Very Poor",$R755&lt;=500,"Hazardous")</f>
        <v>Poor</v>
      </c>
      <c r="T755" t="s">
        <v>28</v>
      </c>
      <c r="X755" s="2"/>
      <c r="Y755" s="2"/>
    </row>
    <row r="756" spans="1:25" x14ac:dyDescent="0.3">
      <c r="A756" s="2">
        <v>45442</v>
      </c>
      <c r="B756" t="s">
        <v>24</v>
      </c>
      <c r="C756" s="4">
        <v>98.2</v>
      </c>
      <c r="D756" s="4">
        <v>57.3</v>
      </c>
      <c r="E756" s="4">
        <v>25.3</v>
      </c>
      <c r="F756" s="4">
        <v>12.58</v>
      </c>
      <c r="G756" s="4">
        <v>41.6</v>
      </c>
      <c r="H756" s="4">
        <v>1.02</v>
      </c>
      <c r="I756" s="4">
        <v>34.200000000000003</v>
      </c>
      <c r="J756" s="4">
        <v>49.1</v>
      </c>
      <c r="K756" s="4">
        <v>2.76</v>
      </c>
      <c r="L756" s="4">
        <v>163.66666666666671</v>
      </c>
      <c r="M756" s="4">
        <v>57.3</v>
      </c>
      <c r="N756" s="4">
        <v>31.625</v>
      </c>
      <c r="O756" s="4">
        <v>31.45</v>
      </c>
      <c r="P756" s="4">
        <v>104</v>
      </c>
      <c r="Q756" s="4">
        <v>51.000000000000007</v>
      </c>
      <c r="R756" s="4">
        <v>164</v>
      </c>
      <c r="S756" s="4" t="str" cm="1">
        <f t="array" ref="S756">_xlfn.IFS($R756&lt;=50,"Good",$R756&lt;=100,"Moderate",$R756&lt;=200,"Poor",$R756&lt;=300,"Very Poor",$R756&lt;=500,"Hazardous")</f>
        <v>Poor</v>
      </c>
      <c r="T756" t="s">
        <v>25</v>
      </c>
      <c r="X756" s="2"/>
      <c r="Y756" s="2"/>
    </row>
    <row r="757" spans="1:25" x14ac:dyDescent="0.3">
      <c r="A757" s="2">
        <v>45443</v>
      </c>
      <c r="B757" t="s">
        <v>20</v>
      </c>
      <c r="C757" s="4">
        <v>117.3</v>
      </c>
      <c r="D757" s="4">
        <v>244.2</v>
      </c>
      <c r="E757" s="4">
        <v>87.9</v>
      </c>
      <c r="F757" s="4">
        <v>7.58</v>
      </c>
      <c r="G757" s="4">
        <v>81.400000000000006</v>
      </c>
      <c r="H757" s="4">
        <v>0.73</v>
      </c>
      <c r="I757" s="4">
        <v>21.7</v>
      </c>
      <c r="J757" s="4">
        <v>17.7</v>
      </c>
      <c r="K757" s="4">
        <v>4.51</v>
      </c>
      <c r="L757" s="4">
        <v>195.5</v>
      </c>
      <c r="M757" s="4">
        <v>244.2</v>
      </c>
      <c r="N757" s="4">
        <v>109.875</v>
      </c>
      <c r="O757" s="4">
        <v>18.95</v>
      </c>
      <c r="P757" s="4">
        <v>203.5</v>
      </c>
      <c r="Q757" s="4">
        <v>36.5</v>
      </c>
      <c r="R757" s="4">
        <v>244</v>
      </c>
      <c r="S757" s="4" t="str" cm="1">
        <f t="array" ref="S757">_xlfn.IFS($R757&lt;=50,"Good",$R757&lt;=100,"Moderate",$R757&lt;=200,"Poor",$R757&lt;=300,"Very Poor",$R757&lt;=500,"Hazardous")</f>
        <v>Very Poor</v>
      </c>
      <c r="T757" t="s">
        <v>28</v>
      </c>
      <c r="X757" s="2"/>
      <c r="Y757" s="2"/>
    </row>
    <row r="758" spans="1:25" x14ac:dyDescent="0.3">
      <c r="A758" s="2">
        <v>45443</v>
      </c>
      <c r="B758" t="s">
        <v>21</v>
      </c>
      <c r="C758" s="4">
        <v>42.6</v>
      </c>
      <c r="D758" s="4">
        <v>140.5</v>
      </c>
      <c r="E758" s="4">
        <v>33.5</v>
      </c>
      <c r="F758" s="4">
        <v>14.34</v>
      </c>
      <c r="G758" s="4">
        <v>38.299999999999997</v>
      </c>
      <c r="H758" s="4">
        <v>0.52</v>
      </c>
      <c r="I758" s="4">
        <v>31.1</v>
      </c>
      <c r="J758" s="4">
        <v>34.200000000000003</v>
      </c>
      <c r="K758" s="4">
        <v>1.5</v>
      </c>
      <c r="L758" s="4">
        <v>71.000000000000014</v>
      </c>
      <c r="M758" s="4">
        <v>140.5</v>
      </c>
      <c r="N758" s="4">
        <v>41.875</v>
      </c>
      <c r="O758" s="4">
        <v>35.85</v>
      </c>
      <c r="P758" s="4">
        <v>95.749999999999986</v>
      </c>
      <c r="Q758" s="4">
        <v>26</v>
      </c>
      <c r="R758" s="4">
        <v>140</v>
      </c>
      <c r="S758" s="4" t="str" cm="1">
        <f t="array" ref="S758">_xlfn.IFS($R758&lt;=50,"Good",$R758&lt;=100,"Moderate",$R758&lt;=200,"Poor",$R758&lt;=300,"Very Poor",$R758&lt;=500,"Hazardous")</f>
        <v>Poor</v>
      </c>
      <c r="T758" t="s">
        <v>28</v>
      </c>
      <c r="X758" s="2"/>
      <c r="Y758" s="2"/>
    </row>
    <row r="759" spans="1:25" x14ac:dyDescent="0.3">
      <c r="A759" s="2">
        <v>45443</v>
      </c>
      <c r="B759" t="s">
        <v>22</v>
      </c>
      <c r="C759" s="4">
        <v>2</v>
      </c>
      <c r="D759" s="4">
        <v>32.799999999999997</v>
      </c>
      <c r="E759" s="4">
        <v>46.1</v>
      </c>
      <c r="F759" s="4">
        <v>0.5</v>
      </c>
      <c r="G759" s="4">
        <v>2.8</v>
      </c>
      <c r="H759" s="4">
        <v>1.1399999999999999</v>
      </c>
      <c r="I759" s="4">
        <v>24.2</v>
      </c>
      <c r="J759" s="4">
        <v>95.9</v>
      </c>
      <c r="K759" s="4">
        <v>4.7</v>
      </c>
      <c r="L759" s="4">
        <v>3.333333333333333</v>
      </c>
      <c r="M759" s="4">
        <v>32.799999999999997</v>
      </c>
      <c r="N759" s="4">
        <v>57.625</v>
      </c>
      <c r="O759" s="4">
        <v>1.25</v>
      </c>
      <c r="P759" s="4">
        <v>6.9999999999999991</v>
      </c>
      <c r="Q759" s="4">
        <v>56.999999999999993</v>
      </c>
      <c r="R759" s="4">
        <v>58</v>
      </c>
      <c r="S759" s="4" t="str" cm="1">
        <f t="array" ref="S759">_xlfn.IFS($R759&lt;=50,"Good",$R759&lt;=100,"Moderate",$R759&lt;=200,"Poor",$R759&lt;=300,"Very Poor",$R759&lt;=500,"Hazardous")</f>
        <v>Moderate</v>
      </c>
      <c r="T759" t="s">
        <v>26</v>
      </c>
      <c r="X759" s="2"/>
      <c r="Y759" s="2"/>
    </row>
    <row r="760" spans="1:25" x14ac:dyDescent="0.3">
      <c r="A760" s="2">
        <v>45443</v>
      </c>
      <c r="B760" t="s">
        <v>23</v>
      </c>
      <c r="C760" s="4">
        <v>34</v>
      </c>
      <c r="D760" s="4">
        <v>153.4</v>
      </c>
      <c r="E760" s="4">
        <v>60</v>
      </c>
      <c r="F760" s="4">
        <v>5.01</v>
      </c>
      <c r="G760" s="4">
        <v>2.6</v>
      </c>
      <c r="H760" s="4">
        <v>1.19</v>
      </c>
      <c r="I760" s="4">
        <v>26.8</v>
      </c>
      <c r="J760" s="4">
        <v>52.2</v>
      </c>
      <c r="K760" s="4">
        <v>3.03</v>
      </c>
      <c r="L760" s="4">
        <v>56.666666666666657</v>
      </c>
      <c r="M760" s="4">
        <v>153.4</v>
      </c>
      <c r="N760" s="4">
        <v>75</v>
      </c>
      <c r="O760" s="4">
        <v>12.525</v>
      </c>
      <c r="P760" s="4">
        <v>6.5000000000000009</v>
      </c>
      <c r="Q760" s="4">
        <v>59.5</v>
      </c>
      <c r="R760" s="4">
        <v>153</v>
      </c>
      <c r="S760" s="4" t="str" cm="1">
        <f t="array" ref="S760">_xlfn.IFS($R760&lt;=50,"Good",$R760&lt;=100,"Moderate",$R760&lt;=200,"Poor",$R760&lt;=300,"Very Poor",$R760&lt;=500,"Hazardous")</f>
        <v>Poor</v>
      </c>
      <c r="T760" t="s">
        <v>28</v>
      </c>
      <c r="X760" s="2"/>
      <c r="Y760" s="2"/>
    </row>
    <row r="761" spans="1:25" x14ac:dyDescent="0.3">
      <c r="A761" s="2">
        <v>45443</v>
      </c>
      <c r="B761" t="s">
        <v>24</v>
      </c>
      <c r="C761" s="4">
        <v>41.2</v>
      </c>
      <c r="D761" s="4">
        <v>56</v>
      </c>
      <c r="E761" s="4">
        <v>51.9</v>
      </c>
      <c r="F761" s="4">
        <v>10.92</v>
      </c>
      <c r="G761" s="4">
        <v>11.6</v>
      </c>
      <c r="H761" s="4">
        <v>1.93</v>
      </c>
      <c r="I761" s="4">
        <v>15.6</v>
      </c>
      <c r="J761" s="4">
        <v>49.6</v>
      </c>
      <c r="K761" s="4">
        <v>2.69</v>
      </c>
      <c r="L761" s="4">
        <v>68.666666666666671</v>
      </c>
      <c r="M761" s="4">
        <v>56</v>
      </c>
      <c r="N761" s="4">
        <v>64.875</v>
      </c>
      <c r="O761" s="4">
        <v>27.3</v>
      </c>
      <c r="P761" s="4">
        <v>29</v>
      </c>
      <c r="Q761" s="4">
        <v>96.5</v>
      </c>
      <c r="R761" s="4">
        <v>96</v>
      </c>
      <c r="S761" s="4" t="str" cm="1">
        <f t="array" ref="S761">_xlfn.IFS($R761&lt;=50,"Good",$R761&lt;=100,"Moderate",$R761&lt;=200,"Poor",$R761&lt;=300,"Very Poor",$R761&lt;=500,"Hazardous")</f>
        <v>Moderate</v>
      </c>
      <c r="T761" t="s">
        <v>29</v>
      </c>
      <c r="X761" s="2"/>
      <c r="Y761" s="2"/>
    </row>
    <row r="762" spans="1:25" x14ac:dyDescent="0.3">
      <c r="A762" s="2">
        <v>45444</v>
      </c>
      <c r="B762" t="s">
        <v>20</v>
      </c>
      <c r="C762" s="4">
        <v>37.6</v>
      </c>
      <c r="D762" s="4">
        <v>79.2</v>
      </c>
      <c r="E762" s="4">
        <v>75.8</v>
      </c>
      <c r="F762" s="4">
        <v>3.45</v>
      </c>
      <c r="G762" s="4">
        <v>116.2</v>
      </c>
      <c r="H762" s="4">
        <v>1.35</v>
      </c>
      <c r="I762" s="4">
        <v>25.6</v>
      </c>
      <c r="J762" s="4">
        <v>68.599999999999994</v>
      </c>
      <c r="K762" s="4">
        <v>5.54</v>
      </c>
      <c r="L762" s="4">
        <v>62.666666666666657</v>
      </c>
      <c r="M762" s="4">
        <v>79.2</v>
      </c>
      <c r="N762" s="4">
        <v>94.75</v>
      </c>
      <c r="O762" s="4">
        <v>8.625</v>
      </c>
      <c r="P762" s="4">
        <v>290.5</v>
      </c>
      <c r="Q762" s="4">
        <v>67.5</v>
      </c>
      <c r="R762" s="4">
        <v>290</v>
      </c>
      <c r="S762" s="4" t="str" cm="1">
        <f t="array" ref="S762">_xlfn.IFS($R762&lt;=50,"Good",$R762&lt;=100,"Moderate",$R762&lt;=200,"Poor",$R762&lt;=300,"Very Poor",$R762&lt;=500,"Hazardous")</f>
        <v>Very Poor</v>
      </c>
      <c r="T762" t="s">
        <v>27</v>
      </c>
      <c r="X762" s="2"/>
      <c r="Y762" s="2"/>
    </row>
    <row r="763" spans="1:25" x14ac:dyDescent="0.3">
      <c r="A763" s="2">
        <v>45444</v>
      </c>
      <c r="B763" t="s">
        <v>21</v>
      </c>
      <c r="C763" s="4">
        <v>30.2</v>
      </c>
      <c r="D763" s="4">
        <v>52.8</v>
      </c>
      <c r="E763" s="4">
        <v>29.9</v>
      </c>
      <c r="F763" s="4">
        <v>8.16</v>
      </c>
      <c r="G763" s="4">
        <v>1</v>
      </c>
      <c r="H763" s="4">
        <v>1.21</v>
      </c>
      <c r="I763" s="4">
        <v>36.9</v>
      </c>
      <c r="J763" s="4">
        <v>62.7</v>
      </c>
      <c r="K763" s="4">
        <v>2.15</v>
      </c>
      <c r="L763" s="4">
        <v>50.333333333333343</v>
      </c>
      <c r="M763" s="4">
        <v>52.8</v>
      </c>
      <c r="N763" s="4">
        <v>37.375</v>
      </c>
      <c r="O763" s="4">
        <v>20.399999999999999</v>
      </c>
      <c r="P763" s="4">
        <v>2.5</v>
      </c>
      <c r="Q763" s="4">
        <v>60.5</v>
      </c>
      <c r="R763" s="4">
        <v>60</v>
      </c>
      <c r="S763" s="4" t="str" cm="1">
        <f t="array" ref="S763">_xlfn.IFS($R763&lt;=50,"Good",$R763&lt;=100,"Moderate",$R763&lt;=200,"Poor",$R763&lt;=300,"Very Poor",$R763&lt;=500,"Hazardous")</f>
        <v>Moderate</v>
      </c>
      <c r="T763" t="s">
        <v>29</v>
      </c>
      <c r="X763" s="2"/>
      <c r="Y763" s="2"/>
    </row>
    <row r="764" spans="1:25" x14ac:dyDescent="0.3">
      <c r="A764" s="2">
        <v>45444</v>
      </c>
      <c r="B764" t="s">
        <v>22</v>
      </c>
      <c r="C764" s="4">
        <v>31.5</v>
      </c>
      <c r="D764" s="4">
        <v>132.19999999999999</v>
      </c>
      <c r="E764" s="4">
        <v>21.6</v>
      </c>
      <c r="F764" s="4">
        <v>13.1</v>
      </c>
      <c r="G764" s="4">
        <v>83.9</v>
      </c>
      <c r="H764" s="4">
        <v>1.03</v>
      </c>
      <c r="I764" s="4">
        <v>24.9</v>
      </c>
      <c r="J764" s="4">
        <v>78.599999999999994</v>
      </c>
      <c r="K764" s="4">
        <v>3.81</v>
      </c>
      <c r="L764" s="4">
        <v>52.5</v>
      </c>
      <c r="M764" s="4">
        <v>132.19999999999999</v>
      </c>
      <c r="N764" s="4">
        <v>27</v>
      </c>
      <c r="O764" s="4">
        <v>32.75</v>
      </c>
      <c r="P764" s="4">
        <v>209.75</v>
      </c>
      <c r="Q764" s="4">
        <v>51.500000000000007</v>
      </c>
      <c r="R764" s="4">
        <v>210</v>
      </c>
      <c r="S764" s="4" t="str" cm="1">
        <f t="array" ref="S764">_xlfn.IFS($R764&lt;=50,"Good",$R764&lt;=100,"Moderate",$R764&lt;=200,"Poor",$R764&lt;=300,"Very Poor",$R764&lt;=500,"Hazardous")</f>
        <v>Very Poor</v>
      </c>
      <c r="T764" t="s">
        <v>27</v>
      </c>
      <c r="X764" s="2"/>
      <c r="Y764" s="2"/>
    </row>
    <row r="765" spans="1:25" x14ac:dyDescent="0.3">
      <c r="A765" s="2">
        <v>45444</v>
      </c>
      <c r="B765" t="s">
        <v>23</v>
      </c>
      <c r="C765" s="4">
        <v>28.7</v>
      </c>
      <c r="D765" s="4">
        <v>70.7</v>
      </c>
      <c r="E765" s="4">
        <v>14.8</v>
      </c>
      <c r="F765" s="4">
        <v>8.0399999999999991</v>
      </c>
      <c r="G765" s="4">
        <v>56.7</v>
      </c>
      <c r="H765" s="4">
        <v>0.31</v>
      </c>
      <c r="I765" s="4">
        <v>21.8</v>
      </c>
      <c r="J765" s="4">
        <v>35.700000000000003</v>
      </c>
      <c r="K765" s="4">
        <v>1.42</v>
      </c>
      <c r="L765" s="4">
        <v>47.833333333333329</v>
      </c>
      <c r="M765" s="4">
        <v>70.7</v>
      </c>
      <c r="N765" s="4">
        <v>18.5</v>
      </c>
      <c r="O765" s="4">
        <v>20.100000000000001</v>
      </c>
      <c r="P765" s="4">
        <v>141.75</v>
      </c>
      <c r="Q765" s="4">
        <v>15.5</v>
      </c>
      <c r="R765" s="4">
        <v>142</v>
      </c>
      <c r="S765" s="4" t="str" cm="1">
        <f t="array" ref="S765">_xlfn.IFS($R765&lt;=50,"Good",$R765&lt;=100,"Moderate",$R765&lt;=200,"Poor",$R765&lt;=300,"Very Poor",$R765&lt;=500,"Hazardous")</f>
        <v>Poor</v>
      </c>
      <c r="T765" t="s">
        <v>27</v>
      </c>
      <c r="X765" s="2"/>
      <c r="Y765" s="2"/>
    </row>
    <row r="766" spans="1:25" x14ac:dyDescent="0.3">
      <c r="A766" s="2">
        <v>45444</v>
      </c>
      <c r="B766" t="s">
        <v>24</v>
      </c>
      <c r="C766" s="4">
        <v>67.3</v>
      </c>
      <c r="D766" s="4">
        <v>66.900000000000006</v>
      </c>
      <c r="E766" s="4">
        <v>34.299999999999997</v>
      </c>
      <c r="F766" s="4">
        <v>0.5</v>
      </c>
      <c r="G766" s="4">
        <v>49.1</v>
      </c>
      <c r="H766" s="4">
        <v>1.03</v>
      </c>
      <c r="I766" s="4">
        <v>19.899999999999999</v>
      </c>
      <c r="J766" s="4">
        <v>56.6</v>
      </c>
      <c r="K766" s="4">
        <v>3.22</v>
      </c>
      <c r="L766" s="4">
        <v>112.1666666666667</v>
      </c>
      <c r="M766" s="4">
        <v>66.900000000000006</v>
      </c>
      <c r="N766" s="4">
        <v>42.875</v>
      </c>
      <c r="O766" s="4">
        <v>1.25</v>
      </c>
      <c r="P766" s="4">
        <v>122.75</v>
      </c>
      <c r="Q766" s="4">
        <v>51.500000000000007</v>
      </c>
      <c r="R766" s="4">
        <v>123</v>
      </c>
      <c r="S766" s="4" t="str" cm="1">
        <f t="array" ref="S766">_xlfn.IFS($R766&lt;=50,"Good",$R766&lt;=100,"Moderate",$R766&lt;=200,"Poor",$R766&lt;=300,"Very Poor",$R766&lt;=500,"Hazardous")</f>
        <v>Poor</v>
      </c>
      <c r="T766" t="s">
        <v>27</v>
      </c>
      <c r="X766" s="2"/>
      <c r="Y766" s="2"/>
    </row>
    <row r="767" spans="1:25" x14ac:dyDescent="0.3">
      <c r="A767" s="2">
        <v>45445</v>
      </c>
      <c r="B767" t="s">
        <v>20</v>
      </c>
      <c r="C767" s="4">
        <v>32.700000000000003</v>
      </c>
      <c r="D767" s="4">
        <v>28.9</v>
      </c>
      <c r="E767" s="4">
        <v>74.599999999999994</v>
      </c>
      <c r="F767" s="4">
        <v>4.45</v>
      </c>
      <c r="G767" s="4">
        <v>43.2</v>
      </c>
      <c r="H767" s="4">
        <v>1.66</v>
      </c>
      <c r="I767" s="4">
        <v>49.7</v>
      </c>
      <c r="J767" s="4">
        <v>37.6</v>
      </c>
      <c r="K767" s="4">
        <v>3.04</v>
      </c>
      <c r="L767" s="4">
        <v>54.500000000000007</v>
      </c>
      <c r="M767" s="4">
        <v>28.9</v>
      </c>
      <c r="N767" s="4">
        <v>93.25</v>
      </c>
      <c r="O767" s="4">
        <v>11.125</v>
      </c>
      <c r="P767" s="4">
        <v>108</v>
      </c>
      <c r="Q767" s="4">
        <v>82.999999999999986</v>
      </c>
      <c r="R767" s="4">
        <v>108</v>
      </c>
      <c r="S767" s="4" t="str" cm="1">
        <f t="array" ref="S767">_xlfn.IFS($R767&lt;=50,"Good",$R767&lt;=100,"Moderate",$R767&lt;=200,"Poor",$R767&lt;=300,"Very Poor",$R767&lt;=500,"Hazardous")</f>
        <v>Poor</v>
      </c>
      <c r="T767" t="s">
        <v>27</v>
      </c>
      <c r="X767" s="2"/>
      <c r="Y767" s="2"/>
    </row>
    <row r="768" spans="1:25" x14ac:dyDescent="0.3">
      <c r="A768" s="2">
        <v>45445</v>
      </c>
      <c r="B768" t="s">
        <v>21</v>
      </c>
      <c r="C768" s="4">
        <v>38.799999999999997</v>
      </c>
      <c r="D768" s="4">
        <v>87.7</v>
      </c>
      <c r="E768" s="4">
        <v>30.6</v>
      </c>
      <c r="F768" s="4">
        <v>2.37</v>
      </c>
      <c r="G768" s="4">
        <v>48.7</v>
      </c>
      <c r="H768" s="4">
        <v>0.32</v>
      </c>
      <c r="I768" s="4">
        <v>31.6</v>
      </c>
      <c r="J768" s="4">
        <v>61</v>
      </c>
      <c r="K768" s="4">
        <v>3.01</v>
      </c>
      <c r="L768" s="4">
        <v>64.666666666666657</v>
      </c>
      <c r="M768" s="4">
        <v>87.7</v>
      </c>
      <c r="N768" s="4">
        <v>38.25</v>
      </c>
      <c r="O768" s="4">
        <v>5.9250000000000007</v>
      </c>
      <c r="P768" s="4">
        <v>121.75</v>
      </c>
      <c r="Q768" s="4">
        <v>16</v>
      </c>
      <c r="R768" s="4">
        <v>122</v>
      </c>
      <c r="S768" s="4" t="str" cm="1">
        <f t="array" ref="S768">_xlfn.IFS($R768&lt;=50,"Good",$R768&lt;=100,"Moderate",$R768&lt;=200,"Poor",$R768&lt;=300,"Very Poor",$R768&lt;=500,"Hazardous")</f>
        <v>Poor</v>
      </c>
      <c r="T768" t="s">
        <v>27</v>
      </c>
      <c r="X768" s="2"/>
      <c r="Y768" s="2"/>
    </row>
    <row r="769" spans="1:25" x14ac:dyDescent="0.3">
      <c r="A769" s="2">
        <v>45445</v>
      </c>
      <c r="B769" t="s">
        <v>22</v>
      </c>
      <c r="C769" s="4">
        <v>35</v>
      </c>
      <c r="D769" s="4">
        <v>74.5</v>
      </c>
      <c r="E769" s="4">
        <v>38.6</v>
      </c>
      <c r="F769" s="4">
        <v>1.66</v>
      </c>
      <c r="G769" s="4">
        <v>29.5</v>
      </c>
      <c r="H769" s="4">
        <v>0.52</v>
      </c>
      <c r="I769" s="4">
        <v>18.8</v>
      </c>
      <c r="J769" s="4">
        <v>22</v>
      </c>
      <c r="K769" s="4">
        <v>4.1100000000000003</v>
      </c>
      <c r="L769" s="4">
        <v>58.333333333333343</v>
      </c>
      <c r="M769" s="4">
        <v>74.5</v>
      </c>
      <c r="N769" s="4">
        <v>48.25</v>
      </c>
      <c r="O769" s="4">
        <v>4.1500000000000004</v>
      </c>
      <c r="P769" s="4">
        <v>73.75</v>
      </c>
      <c r="Q769" s="4">
        <v>26</v>
      </c>
      <c r="R769" s="4">
        <v>74</v>
      </c>
      <c r="S769" s="4" t="str" cm="1">
        <f t="array" ref="S769">_xlfn.IFS($R769&lt;=50,"Good",$R769&lt;=100,"Moderate",$R769&lt;=200,"Poor",$R769&lt;=300,"Very Poor",$R769&lt;=500,"Hazardous")</f>
        <v>Moderate</v>
      </c>
      <c r="T769" t="s">
        <v>28</v>
      </c>
      <c r="X769" s="2"/>
      <c r="Y769" s="2"/>
    </row>
    <row r="770" spans="1:25" x14ac:dyDescent="0.3">
      <c r="A770" s="2">
        <v>45445</v>
      </c>
      <c r="B770" t="s">
        <v>23</v>
      </c>
      <c r="C770" s="4">
        <v>31.5</v>
      </c>
      <c r="D770" s="4">
        <v>151.80000000000001</v>
      </c>
      <c r="E770" s="4">
        <v>53.1</v>
      </c>
      <c r="F770" s="4">
        <v>1.26</v>
      </c>
      <c r="G770" s="4">
        <v>12.8</v>
      </c>
      <c r="H770" s="4">
        <v>2.19</v>
      </c>
      <c r="I770" s="4">
        <v>37.299999999999997</v>
      </c>
      <c r="J770" s="4">
        <v>59.4</v>
      </c>
      <c r="K770" s="4">
        <v>2.81</v>
      </c>
      <c r="L770" s="4">
        <v>52.5</v>
      </c>
      <c r="M770" s="4">
        <v>151.80000000000001</v>
      </c>
      <c r="N770" s="4">
        <v>66.375</v>
      </c>
      <c r="O770" s="4">
        <v>3.15</v>
      </c>
      <c r="P770" s="4">
        <v>32</v>
      </c>
      <c r="Q770" s="4">
        <v>109.5</v>
      </c>
      <c r="R770" s="4">
        <v>152</v>
      </c>
      <c r="S770" s="4" t="str" cm="1">
        <f t="array" ref="S770">_xlfn.IFS($R770&lt;=50,"Good",$R770&lt;=100,"Moderate",$R770&lt;=200,"Poor",$R770&lt;=300,"Very Poor",$R770&lt;=500,"Hazardous")</f>
        <v>Poor</v>
      </c>
      <c r="T770" t="s">
        <v>28</v>
      </c>
      <c r="X770" s="2"/>
      <c r="Y770" s="2"/>
    </row>
    <row r="771" spans="1:25" x14ac:dyDescent="0.3">
      <c r="A771" s="2">
        <v>45445</v>
      </c>
      <c r="B771" t="s">
        <v>24</v>
      </c>
      <c r="C771" s="4">
        <v>36.1</v>
      </c>
      <c r="D771" s="4">
        <v>128.4</v>
      </c>
      <c r="E771" s="4">
        <v>27</v>
      </c>
      <c r="F771" s="4">
        <v>0.5</v>
      </c>
      <c r="G771" s="4">
        <v>7.7</v>
      </c>
      <c r="H771" s="4">
        <v>1.07</v>
      </c>
      <c r="I771" s="4">
        <v>17.100000000000001</v>
      </c>
      <c r="J771" s="4">
        <v>58.8</v>
      </c>
      <c r="K771" s="4">
        <v>1.71</v>
      </c>
      <c r="L771" s="4">
        <v>60.166666666666657</v>
      </c>
      <c r="M771" s="4">
        <v>128.4</v>
      </c>
      <c r="N771" s="4">
        <v>33.75</v>
      </c>
      <c r="O771" s="4">
        <v>1.25</v>
      </c>
      <c r="P771" s="4">
        <v>19.25</v>
      </c>
      <c r="Q771" s="4">
        <v>53.500000000000007</v>
      </c>
      <c r="R771" s="4">
        <v>128</v>
      </c>
      <c r="S771" s="4" t="str" cm="1">
        <f t="array" ref="S771">_xlfn.IFS($R771&lt;=50,"Good",$R771&lt;=100,"Moderate",$R771&lt;=200,"Poor",$R771&lt;=300,"Very Poor",$R771&lt;=500,"Hazardous")</f>
        <v>Poor</v>
      </c>
      <c r="T771" t="s">
        <v>28</v>
      </c>
      <c r="X771" s="2"/>
      <c r="Y771" s="2"/>
    </row>
    <row r="772" spans="1:25" x14ac:dyDescent="0.3">
      <c r="A772" s="2">
        <v>45446</v>
      </c>
      <c r="B772" t="s">
        <v>20</v>
      </c>
      <c r="C772" s="4">
        <v>33.6</v>
      </c>
      <c r="D772" s="4">
        <v>157.5</v>
      </c>
      <c r="E772" s="4">
        <v>46</v>
      </c>
      <c r="F772" s="4">
        <v>7.32</v>
      </c>
      <c r="G772" s="4">
        <v>71.3</v>
      </c>
      <c r="H772" s="4">
        <v>1.37</v>
      </c>
      <c r="I772" s="4">
        <v>35.1</v>
      </c>
      <c r="J772" s="4">
        <v>51.7</v>
      </c>
      <c r="K772" s="4">
        <v>1.98</v>
      </c>
      <c r="L772" s="4">
        <v>56</v>
      </c>
      <c r="M772" s="4">
        <v>157.5</v>
      </c>
      <c r="N772" s="4">
        <v>57.5</v>
      </c>
      <c r="O772" s="4">
        <v>18.3</v>
      </c>
      <c r="P772" s="4">
        <v>178.25</v>
      </c>
      <c r="Q772" s="4">
        <v>68.5</v>
      </c>
      <c r="R772" s="4">
        <v>178</v>
      </c>
      <c r="S772" s="4" t="str" cm="1">
        <f t="array" ref="S772">_xlfn.IFS($R772&lt;=50,"Good",$R772&lt;=100,"Moderate",$R772&lt;=200,"Poor",$R772&lt;=300,"Very Poor",$R772&lt;=500,"Hazardous")</f>
        <v>Poor</v>
      </c>
      <c r="T772" t="s">
        <v>27</v>
      </c>
      <c r="X772" s="2"/>
      <c r="Y772" s="2"/>
    </row>
    <row r="773" spans="1:25" x14ac:dyDescent="0.3">
      <c r="A773" s="2">
        <v>45446</v>
      </c>
      <c r="B773" t="s">
        <v>21</v>
      </c>
      <c r="C773" s="4">
        <v>21</v>
      </c>
      <c r="D773" s="4">
        <v>94.3</v>
      </c>
      <c r="E773" s="4">
        <v>64.3</v>
      </c>
      <c r="F773" s="4">
        <v>14.5</v>
      </c>
      <c r="G773" s="4">
        <v>80</v>
      </c>
      <c r="H773" s="4">
        <v>0.12</v>
      </c>
      <c r="I773" s="4">
        <v>32.6</v>
      </c>
      <c r="J773" s="4">
        <v>26.9</v>
      </c>
      <c r="K773" s="4">
        <v>3.58</v>
      </c>
      <c r="L773" s="4">
        <v>35</v>
      </c>
      <c r="M773" s="4">
        <v>94.3</v>
      </c>
      <c r="N773" s="4">
        <v>80.375</v>
      </c>
      <c r="O773" s="4">
        <v>36.25</v>
      </c>
      <c r="P773" s="4">
        <v>200</v>
      </c>
      <c r="Q773" s="4">
        <v>6</v>
      </c>
      <c r="R773" s="4">
        <v>200</v>
      </c>
      <c r="S773" s="4" t="str" cm="1">
        <f t="array" ref="S773">_xlfn.IFS($R773&lt;=50,"Good",$R773&lt;=100,"Moderate",$R773&lt;=200,"Poor",$R773&lt;=300,"Very Poor",$R773&lt;=500,"Hazardous")</f>
        <v>Poor</v>
      </c>
      <c r="T773" t="s">
        <v>27</v>
      </c>
      <c r="X773" s="2"/>
      <c r="Y773" s="2"/>
    </row>
    <row r="774" spans="1:25" x14ac:dyDescent="0.3">
      <c r="A774" s="2">
        <v>45446</v>
      </c>
      <c r="B774" t="s">
        <v>22</v>
      </c>
      <c r="C774" s="4">
        <v>37.200000000000003</v>
      </c>
      <c r="D774" s="4">
        <v>123.2</v>
      </c>
      <c r="E774" s="4">
        <v>13.9</v>
      </c>
      <c r="F774" s="4">
        <v>10.53</v>
      </c>
      <c r="G774" s="4">
        <v>3.2</v>
      </c>
      <c r="H774" s="4">
        <v>0.61</v>
      </c>
      <c r="I774" s="4">
        <v>18</v>
      </c>
      <c r="J774" s="4">
        <v>28.4</v>
      </c>
      <c r="K774" s="4">
        <v>2.61</v>
      </c>
      <c r="L774" s="4">
        <v>62.000000000000007</v>
      </c>
      <c r="M774" s="4">
        <v>123.2</v>
      </c>
      <c r="N774" s="4">
        <v>17.375</v>
      </c>
      <c r="O774" s="4">
        <v>26.324999999999999</v>
      </c>
      <c r="P774" s="4">
        <v>8</v>
      </c>
      <c r="Q774" s="4">
        <v>30.5</v>
      </c>
      <c r="R774" s="4">
        <v>123</v>
      </c>
      <c r="S774" s="4" t="str" cm="1">
        <f t="array" ref="S774">_xlfn.IFS($R774&lt;=50,"Good",$R774&lt;=100,"Moderate",$R774&lt;=200,"Poor",$R774&lt;=300,"Very Poor",$R774&lt;=500,"Hazardous")</f>
        <v>Poor</v>
      </c>
      <c r="T774" t="s">
        <v>28</v>
      </c>
      <c r="X774" s="2"/>
      <c r="Y774" s="2"/>
    </row>
    <row r="775" spans="1:25" x14ac:dyDescent="0.3">
      <c r="A775" s="2">
        <v>45446</v>
      </c>
      <c r="B775" t="s">
        <v>23</v>
      </c>
      <c r="C775" s="4">
        <v>91.3</v>
      </c>
      <c r="D775" s="4">
        <v>224</v>
      </c>
      <c r="E775" s="4">
        <v>37.6</v>
      </c>
      <c r="F775" s="4">
        <v>10.87</v>
      </c>
      <c r="G775" s="4">
        <v>45.8</v>
      </c>
      <c r="H775" s="4">
        <v>1.2</v>
      </c>
      <c r="I775" s="4">
        <v>22.6</v>
      </c>
      <c r="J775" s="4">
        <v>63.5</v>
      </c>
      <c r="K775" s="4">
        <v>3.14</v>
      </c>
      <c r="L775" s="4">
        <v>152.16666666666671</v>
      </c>
      <c r="M775" s="4">
        <v>224</v>
      </c>
      <c r="N775" s="4">
        <v>47</v>
      </c>
      <c r="O775" s="4">
        <v>27.175000000000001</v>
      </c>
      <c r="P775" s="4">
        <v>114.5</v>
      </c>
      <c r="Q775" s="4">
        <v>60</v>
      </c>
      <c r="R775" s="4">
        <v>224</v>
      </c>
      <c r="S775" s="4" t="str" cm="1">
        <f t="array" ref="S775">_xlfn.IFS($R775&lt;=50,"Good",$R775&lt;=100,"Moderate",$R775&lt;=200,"Poor",$R775&lt;=300,"Very Poor",$R775&lt;=500,"Hazardous")</f>
        <v>Very Poor</v>
      </c>
      <c r="T775" t="s">
        <v>28</v>
      </c>
      <c r="X775" s="2"/>
      <c r="Y775" s="2"/>
    </row>
    <row r="776" spans="1:25" x14ac:dyDescent="0.3">
      <c r="A776" s="2">
        <v>45446</v>
      </c>
      <c r="B776" t="s">
        <v>24</v>
      </c>
      <c r="C776" s="4">
        <v>37.5</v>
      </c>
      <c r="D776" s="4">
        <v>101.5</v>
      </c>
      <c r="E776" s="4">
        <v>38.6</v>
      </c>
      <c r="F776" s="4">
        <v>10.68</v>
      </c>
      <c r="G776" s="4">
        <v>14.7</v>
      </c>
      <c r="H776" s="4">
        <v>1.03</v>
      </c>
      <c r="I776" s="4">
        <v>38.4</v>
      </c>
      <c r="J776" s="4">
        <v>81</v>
      </c>
      <c r="K776" s="4">
        <v>4.62</v>
      </c>
      <c r="L776" s="4">
        <v>62.5</v>
      </c>
      <c r="M776" s="4">
        <v>101.5</v>
      </c>
      <c r="N776" s="4">
        <v>48.25</v>
      </c>
      <c r="O776" s="4">
        <v>26.7</v>
      </c>
      <c r="P776" s="4">
        <v>36.75</v>
      </c>
      <c r="Q776" s="4">
        <v>51.500000000000007</v>
      </c>
      <c r="R776" s="4">
        <v>102</v>
      </c>
      <c r="S776" s="4" t="str" cm="1">
        <f t="array" ref="S776">_xlfn.IFS($R776&lt;=50,"Good",$R776&lt;=100,"Moderate",$R776&lt;=200,"Poor",$R776&lt;=300,"Very Poor",$R776&lt;=500,"Hazardous")</f>
        <v>Poor</v>
      </c>
      <c r="T776" t="s">
        <v>28</v>
      </c>
      <c r="X776" s="2"/>
      <c r="Y776" s="2"/>
    </row>
    <row r="777" spans="1:25" x14ac:dyDescent="0.3">
      <c r="A777" s="2">
        <v>45447</v>
      </c>
      <c r="B777" t="s">
        <v>20</v>
      </c>
      <c r="C777" s="4">
        <v>55.9</v>
      </c>
      <c r="D777" s="4">
        <v>128.1</v>
      </c>
      <c r="E777" s="4">
        <v>59.8</v>
      </c>
      <c r="F777" s="4">
        <v>14.54</v>
      </c>
      <c r="G777" s="4">
        <v>1</v>
      </c>
      <c r="H777" s="4">
        <v>0.38</v>
      </c>
      <c r="I777" s="4">
        <v>34.200000000000003</v>
      </c>
      <c r="J777" s="4">
        <v>55</v>
      </c>
      <c r="K777" s="4">
        <v>1.69</v>
      </c>
      <c r="L777" s="4">
        <v>93.166666666666657</v>
      </c>
      <c r="M777" s="4">
        <v>128.1</v>
      </c>
      <c r="N777" s="4">
        <v>74.75</v>
      </c>
      <c r="O777" s="4">
        <v>36.35</v>
      </c>
      <c r="P777" s="4">
        <v>2.5</v>
      </c>
      <c r="Q777" s="4">
        <v>19</v>
      </c>
      <c r="R777" s="4">
        <v>128</v>
      </c>
      <c r="S777" s="4" t="str" cm="1">
        <f t="array" ref="S777">_xlfn.IFS($R777&lt;=50,"Good",$R777&lt;=100,"Moderate",$R777&lt;=200,"Poor",$R777&lt;=300,"Very Poor",$R777&lt;=500,"Hazardous")</f>
        <v>Poor</v>
      </c>
      <c r="T777" t="s">
        <v>28</v>
      </c>
      <c r="X777" s="2"/>
      <c r="Y777" s="2"/>
    </row>
    <row r="778" spans="1:25" x14ac:dyDescent="0.3">
      <c r="A778" s="2">
        <v>45447</v>
      </c>
      <c r="B778" t="s">
        <v>21</v>
      </c>
      <c r="C778" s="4">
        <v>22.4</v>
      </c>
      <c r="D778" s="4">
        <v>86.7</v>
      </c>
      <c r="E778" s="4">
        <v>17</v>
      </c>
      <c r="F778" s="4">
        <v>18.46</v>
      </c>
      <c r="G778" s="4">
        <v>49.3</v>
      </c>
      <c r="H778" s="4">
        <v>1.17</v>
      </c>
      <c r="I778" s="4">
        <v>29.1</v>
      </c>
      <c r="J778" s="4">
        <v>77.3</v>
      </c>
      <c r="K778" s="4">
        <v>3.64</v>
      </c>
      <c r="L778" s="4">
        <v>37.333333333333329</v>
      </c>
      <c r="M778" s="4">
        <v>86.7</v>
      </c>
      <c r="N778" s="4">
        <v>21.25</v>
      </c>
      <c r="O778" s="4">
        <v>46.150000000000013</v>
      </c>
      <c r="P778" s="4">
        <v>123.25</v>
      </c>
      <c r="Q778" s="4">
        <v>58.5</v>
      </c>
      <c r="R778" s="4">
        <v>123</v>
      </c>
      <c r="S778" s="4" t="str" cm="1">
        <f t="array" ref="S778">_xlfn.IFS($R778&lt;=50,"Good",$R778&lt;=100,"Moderate",$R778&lt;=200,"Poor",$R778&lt;=300,"Very Poor",$R778&lt;=500,"Hazardous")</f>
        <v>Poor</v>
      </c>
      <c r="T778" t="s">
        <v>27</v>
      </c>
      <c r="X778" s="2"/>
      <c r="Y778" s="2"/>
    </row>
    <row r="779" spans="1:25" x14ac:dyDescent="0.3">
      <c r="A779" s="2">
        <v>45447</v>
      </c>
      <c r="B779" t="s">
        <v>22</v>
      </c>
      <c r="C779" s="4">
        <v>70.099999999999994</v>
      </c>
      <c r="D779" s="4">
        <v>62.4</v>
      </c>
      <c r="E779" s="4">
        <v>29.7</v>
      </c>
      <c r="F779" s="4">
        <v>9</v>
      </c>
      <c r="G779" s="4">
        <v>25.5</v>
      </c>
      <c r="H779" s="4">
        <v>0.91</v>
      </c>
      <c r="I779" s="4">
        <v>27.8</v>
      </c>
      <c r="J779" s="4">
        <v>74.099999999999994</v>
      </c>
      <c r="K779" s="4">
        <v>0.37</v>
      </c>
      <c r="L779" s="4">
        <v>116.8333333333333</v>
      </c>
      <c r="M779" s="4">
        <v>62.4</v>
      </c>
      <c r="N779" s="4">
        <v>37.125</v>
      </c>
      <c r="O779" s="4">
        <v>22.5</v>
      </c>
      <c r="P779" s="4">
        <v>63.75</v>
      </c>
      <c r="Q779" s="4">
        <v>45.5</v>
      </c>
      <c r="R779" s="4">
        <v>117</v>
      </c>
      <c r="S779" s="4" t="str" cm="1">
        <f t="array" ref="S779">_xlfn.IFS($R779&lt;=50,"Good",$R779&lt;=100,"Moderate",$R779&lt;=200,"Poor",$R779&lt;=300,"Very Poor",$R779&lt;=500,"Hazardous")</f>
        <v>Poor</v>
      </c>
      <c r="T779" t="s">
        <v>25</v>
      </c>
      <c r="X779" s="2"/>
      <c r="Y779" s="2"/>
    </row>
    <row r="780" spans="1:25" x14ac:dyDescent="0.3">
      <c r="A780" s="2">
        <v>45447</v>
      </c>
      <c r="B780" t="s">
        <v>23</v>
      </c>
      <c r="C780" s="4">
        <v>65.2</v>
      </c>
      <c r="D780" s="4">
        <v>84.8</v>
      </c>
      <c r="E780" s="4">
        <v>47.3</v>
      </c>
      <c r="F780" s="4">
        <v>9.51</v>
      </c>
      <c r="G780" s="4">
        <v>80.2</v>
      </c>
      <c r="H780" s="4">
        <v>1.61</v>
      </c>
      <c r="I780" s="4">
        <v>34.4</v>
      </c>
      <c r="J780" s="4">
        <v>86</v>
      </c>
      <c r="K780" s="4">
        <v>2.85</v>
      </c>
      <c r="L780" s="4">
        <v>108.6666666666667</v>
      </c>
      <c r="M780" s="4">
        <v>84.8</v>
      </c>
      <c r="N780" s="4">
        <v>59.125</v>
      </c>
      <c r="O780" s="4">
        <v>23.774999999999999</v>
      </c>
      <c r="P780" s="4">
        <v>200.5</v>
      </c>
      <c r="Q780" s="4">
        <v>80.5</v>
      </c>
      <c r="R780" s="4">
        <v>200</v>
      </c>
      <c r="S780" s="4" t="str" cm="1">
        <f t="array" ref="S780">_xlfn.IFS($R780&lt;=50,"Good",$R780&lt;=100,"Moderate",$R780&lt;=200,"Poor",$R780&lt;=300,"Very Poor",$R780&lt;=500,"Hazardous")</f>
        <v>Poor</v>
      </c>
      <c r="T780" t="s">
        <v>27</v>
      </c>
      <c r="X780" s="2"/>
      <c r="Y780" s="2"/>
    </row>
    <row r="781" spans="1:25" x14ac:dyDescent="0.3">
      <c r="A781" s="2">
        <v>45447</v>
      </c>
      <c r="B781" t="s">
        <v>24</v>
      </c>
      <c r="C781" s="4">
        <v>53.6</v>
      </c>
      <c r="D781" s="4">
        <v>151.69999999999999</v>
      </c>
      <c r="E781" s="4">
        <v>52.5</v>
      </c>
      <c r="F781" s="4">
        <v>5.68</v>
      </c>
      <c r="G781" s="4">
        <v>55.1</v>
      </c>
      <c r="H781" s="4">
        <v>1.04</v>
      </c>
      <c r="I781" s="4">
        <v>19</v>
      </c>
      <c r="J781" s="4">
        <v>83.2</v>
      </c>
      <c r="K781" s="4">
        <v>3.07</v>
      </c>
      <c r="L781" s="4">
        <v>89.333333333333329</v>
      </c>
      <c r="M781" s="4">
        <v>151.69999999999999</v>
      </c>
      <c r="N781" s="4">
        <v>65.625</v>
      </c>
      <c r="O781" s="4">
        <v>14.2</v>
      </c>
      <c r="P781" s="4">
        <v>137.75</v>
      </c>
      <c r="Q781" s="4">
        <v>52.000000000000007</v>
      </c>
      <c r="R781" s="4">
        <v>152</v>
      </c>
      <c r="S781" s="4" t="str" cm="1">
        <f t="array" ref="S781">_xlfn.IFS($R781&lt;=50,"Good",$R781&lt;=100,"Moderate",$R781&lt;=200,"Poor",$R781&lt;=300,"Very Poor",$R781&lt;=500,"Hazardous")</f>
        <v>Poor</v>
      </c>
      <c r="T781" t="s">
        <v>28</v>
      </c>
      <c r="X781" s="2"/>
      <c r="Y781" s="2"/>
    </row>
    <row r="782" spans="1:25" x14ac:dyDescent="0.3">
      <c r="A782" s="2">
        <v>45448</v>
      </c>
      <c r="B782" t="s">
        <v>20</v>
      </c>
      <c r="C782" s="4">
        <v>111.7</v>
      </c>
      <c r="D782" s="4">
        <v>20.7</v>
      </c>
      <c r="E782" s="4">
        <v>31.2</v>
      </c>
      <c r="F782" s="4">
        <v>7.51</v>
      </c>
      <c r="G782" s="4">
        <v>78.7</v>
      </c>
      <c r="H782" s="4">
        <v>1.32</v>
      </c>
      <c r="I782" s="4">
        <v>27.2</v>
      </c>
      <c r="J782" s="4">
        <v>39.700000000000003</v>
      </c>
      <c r="K782" s="4">
        <v>1.1100000000000001</v>
      </c>
      <c r="L782" s="4">
        <v>186.16666666666671</v>
      </c>
      <c r="M782" s="4">
        <v>20.7</v>
      </c>
      <c r="N782" s="4">
        <v>39</v>
      </c>
      <c r="O782" s="4">
        <v>18.774999999999999</v>
      </c>
      <c r="P782" s="4">
        <v>196.75</v>
      </c>
      <c r="Q782" s="4">
        <v>66</v>
      </c>
      <c r="R782" s="4">
        <v>197</v>
      </c>
      <c r="S782" s="4" t="str" cm="1">
        <f t="array" ref="S782">_xlfn.IFS($R782&lt;=50,"Good",$R782&lt;=100,"Moderate",$R782&lt;=200,"Poor",$R782&lt;=300,"Very Poor",$R782&lt;=500,"Hazardous")</f>
        <v>Poor</v>
      </c>
      <c r="T782" t="s">
        <v>27</v>
      </c>
      <c r="X782" s="2"/>
      <c r="Y782" s="2"/>
    </row>
    <row r="783" spans="1:25" x14ac:dyDescent="0.3">
      <c r="A783" s="2">
        <v>45448</v>
      </c>
      <c r="B783" t="s">
        <v>21</v>
      </c>
      <c r="C783" s="4">
        <v>69.7</v>
      </c>
      <c r="D783" s="4">
        <v>38.200000000000003</v>
      </c>
      <c r="E783" s="4">
        <v>34.4</v>
      </c>
      <c r="F783" s="4">
        <v>10.5</v>
      </c>
      <c r="G783" s="4">
        <v>19.3</v>
      </c>
      <c r="H783" s="4">
        <v>2.16</v>
      </c>
      <c r="I783" s="4">
        <v>33.6</v>
      </c>
      <c r="J783" s="4">
        <v>31.7</v>
      </c>
      <c r="K783" s="4">
        <v>1.38</v>
      </c>
      <c r="L783" s="4">
        <v>116.1666666666667</v>
      </c>
      <c r="M783" s="4">
        <v>38.200000000000003</v>
      </c>
      <c r="N783" s="4">
        <v>43</v>
      </c>
      <c r="O783" s="4">
        <v>26.25</v>
      </c>
      <c r="P783" s="4">
        <v>48.25</v>
      </c>
      <c r="Q783" s="4">
        <v>108</v>
      </c>
      <c r="R783" s="4">
        <v>116</v>
      </c>
      <c r="S783" s="4" t="str" cm="1">
        <f t="array" ref="S783">_xlfn.IFS($R783&lt;=50,"Good",$R783&lt;=100,"Moderate",$R783&lt;=200,"Poor",$R783&lt;=300,"Very Poor",$R783&lt;=500,"Hazardous")</f>
        <v>Poor</v>
      </c>
      <c r="T783" t="s">
        <v>25</v>
      </c>
      <c r="X783" s="2"/>
      <c r="Y783" s="2"/>
    </row>
    <row r="784" spans="1:25" x14ac:dyDescent="0.3">
      <c r="A784" s="2">
        <v>45448</v>
      </c>
      <c r="B784" t="s">
        <v>22</v>
      </c>
      <c r="C784" s="4">
        <v>2</v>
      </c>
      <c r="D784" s="4">
        <v>55.5</v>
      </c>
      <c r="E784" s="4">
        <v>45.8</v>
      </c>
      <c r="F784" s="4">
        <v>4.51</v>
      </c>
      <c r="G784" s="4">
        <v>48.9</v>
      </c>
      <c r="H784" s="4">
        <v>0.22</v>
      </c>
      <c r="I784" s="4">
        <v>30.6</v>
      </c>
      <c r="J784" s="4">
        <v>50</v>
      </c>
      <c r="K784" s="4">
        <v>2.5099999999999998</v>
      </c>
      <c r="L784" s="4">
        <v>3.333333333333333</v>
      </c>
      <c r="M784" s="4">
        <v>55.5</v>
      </c>
      <c r="N784" s="4">
        <v>57.249999999999993</v>
      </c>
      <c r="O784" s="4">
        <v>11.275</v>
      </c>
      <c r="P784" s="4">
        <v>122.25</v>
      </c>
      <c r="Q784" s="4">
        <v>11</v>
      </c>
      <c r="R784" s="4">
        <v>122</v>
      </c>
      <c r="S784" s="4" t="str" cm="1">
        <f t="array" ref="S784">_xlfn.IFS($R784&lt;=50,"Good",$R784&lt;=100,"Moderate",$R784&lt;=200,"Poor",$R784&lt;=300,"Very Poor",$R784&lt;=500,"Hazardous")</f>
        <v>Poor</v>
      </c>
      <c r="T784" t="s">
        <v>27</v>
      </c>
      <c r="X784" s="2"/>
      <c r="Y784" s="2"/>
    </row>
    <row r="785" spans="1:25" x14ac:dyDescent="0.3">
      <c r="A785" s="2">
        <v>45448</v>
      </c>
      <c r="B785" t="s">
        <v>23</v>
      </c>
      <c r="C785" s="4">
        <v>45.8</v>
      </c>
      <c r="D785" s="4">
        <v>35</v>
      </c>
      <c r="E785" s="4">
        <v>17.600000000000001</v>
      </c>
      <c r="F785" s="4">
        <v>10.27</v>
      </c>
      <c r="G785" s="4">
        <v>50</v>
      </c>
      <c r="H785" s="4">
        <v>1.46</v>
      </c>
      <c r="I785" s="4">
        <v>27.3</v>
      </c>
      <c r="J785" s="4">
        <v>62.6</v>
      </c>
      <c r="K785" s="4">
        <v>0.43</v>
      </c>
      <c r="L785" s="4">
        <v>76.333333333333329</v>
      </c>
      <c r="M785" s="4">
        <v>35</v>
      </c>
      <c r="N785" s="4">
        <v>22</v>
      </c>
      <c r="O785" s="4">
        <v>25.675000000000001</v>
      </c>
      <c r="P785" s="4">
        <v>125</v>
      </c>
      <c r="Q785" s="4">
        <v>73</v>
      </c>
      <c r="R785" s="4">
        <v>125</v>
      </c>
      <c r="S785" s="4" t="str" cm="1">
        <f t="array" ref="S785">_xlfn.IFS($R785&lt;=50,"Good",$R785&lt;=100,"Moderate",$R785&lt;=200,"Poor",$R785&lt;=300,"Very Poor",$R785&lt;=500,"Hazardous")</f>
        <v>Poor</v>
      </c>
      <c r="T785" t="s">
        <v>27</v>
      </c>
      <c r="X785" s="2"/>
      <c r="Y785" s="2"/>
    </row>
    <row r="786" spans="1:25" x14ac:dyDescent="0.3">
      <c r="A786" s="2">
        <v>45448</v>
      </c>
      <c r="B786" t="s">
        <v>24</v>
      </c>
      <c r="C786" s="4">
        <v>45.7</v>
      </c>
      <c r="D786" s="4">
        <v>104.2</v>
      </c>
      <c r="E786" s="4">
        <v>74</v>
      </c>
      <c r="F786" s="4">
        <v>10.06</v>
      </c>
      <c r="G786" s="4">
        <v>86.2</v>
      </c>
      <c r="H786" s="4">
        <v>1.37</v>
      </c>
      <c r="I786" s="4">
        <v>20</v>
      </c>
      <c r="J786" s="4">
        <v>62.1</v>
      </c>
      <c r="K786" s="4">
        <v>3.28</v>
      </c>
      <c r="L786" s="4">
        <v>76.166666666666671</v>
      </c>
      <c r="M786" s="4">
        <v>104.2</v>
      </c>
      <c r="N786" s="4">
        <v>92.5</v>
      </c>
      <c r="O786" s="4">
        <v>25.15</v>
      </c>
      <c r="P786" s="4">
        <v>215.5</v>
      </c>
      <c r="Q786" s="4">
        <v>68.5</v>
      </c>
      <c r="R786" s="4">
        <v>216</v>
      </c>
      <c r="S786" s="4" t="str" cm="1">
        <f t="array" ref="S786">_xlfn.IFS($R786&lt;=50,"Good",$R786&lt;=100,"Moderate",$R786&lt;=200,"Poor",$R786&lt;=300,"Very Poor",$R786&lt;=500,"Hazardous")</f>
        <v>Very Poor</v>
      </c>
      <c r="T786" t="s">
        <v>27</v>
      </c>
      <c r="X786" s="2"/>
      <c r="Y786" s="2"/>
    </row>
    <row r="787" spans="1:25" x14ac:dyDescent="0.3">
      <c r="A787" s="2">
        <v>45449</v>
      </c>
      <c r="B787" t="s">
        <v>20</v>
      </c>
      <c r="C787" s="4">
        <v>29.3</v>
      </c>
      <c r="D787" s="4">
        <v>89.2</v>
      </c>
      <c r="E787" s="4">
        <v>37.6</v>
      </c>
      <c r="F787" s="4">
        <v>14.75</v>
      </c>
      <c r="G787" s="4">
        <v>1</v>
      </c>
      <c r="H787" s="4">
        <v>1.77</v>
      </c>
      <c r="I787" s="4">
        <v>18.399999999999999</v>
      </c>
      <c r="J787" s="4">
        <v>35.299999999999997</v>
      </c>
      <c r="K787" s="4">
        <v>3.92</v>
      </c>
      <c r="L787" s="4">
        <v>48.833333333333343</v>
      </c>
      <c r="M787" s="4">
        <v>89.2</v>
      </c>
      <c r="N787" s="4">
        <v>47</v>
      </c>
      <c r="O787" s="4">
        <v>36.875</v>
      </c>
      <c r="P787" s="4">
        <v>2.5</v>
      </c>
      <c r="Q787" s="4">
        <v>88.5</v>
      </c>
      <c r="R787" s="4">
        <v>89</v>
      </c>
      <c r="S787" s="4" t="str" cm="1">
        <f t="array" ref="S787">_xlfn.IFS($R787&lt;=50,"Good",$R787&lt;=100,"Moderate",$R787&lt;=200,"Poor",$R787&lt;=300,"Very Poor",$R787&lt;=500,"Hazardous")</f>
        <v>Moderate</v>
      </c>
      <c r="T787" t="s">
        <v>28</v>
      </c>
      <c r="X787" s="2"/>
      <c r="Y787" s="2"/>
    </row>
    <row r="788" spans="1:25" x14ac:dyDescent="0.3">
      <c r="A788" s="2">
        <v>45449</v>
      </c>
      <c r="B788" t="s">
        <v>21</v>
      </c>
      <c r="C788" s="4">
        <v>82</v>
      </c>
      <c r="D788" s="4">
        <v>195.3</v>
      </c>
      <c r="E788" s="4">
        <v>61</v>
      </c>
      <c r="F788" s="4">
        <v>18.3</v>
      </c>
      <c r="G788" s="4">
        <v>67.5</v>
      </c>
      <c r="H788" s="4">
        <v>1.1100000000000001</v>
      </c>
      <c r="I788" s="4">
        <v>27.4</v>
      </c>
      <c r="J788" s="4">
        <v>82.4</v>
      </c>
      <c r="K788" s="4">
        <v>1.56</v>
      </c>
      <c r="L788" s="4">
        <v>136.66666666666671</v>
      </c>
      <c r="M788" s="4">
        <v>195.3</v>
      </c>
      <c r="N788" s="4">
        <v>76.25</v>
      </c>
      <c r="O788" s="4">
        <v>45.75</v>
      </c>
      <c r="P788" s="4">
        <v>168.75</v>
      </c>
      <c r="Q788" s="4">
        <v>55.500000000000007</v>
      </c>
      <c r="R788" s="4">
        <v>195</v>
      </c>
      <c r="S788" s="4" t="str" cm="1">
        <f t="array" ref="S788">_xlfn.IFS($R788&lt;=50,"Good",$R788&lt;=100,"Moderate",$R788&lt;=200,"Poor",$R788&lt;=300,"Very Poor",$R788&lt;=500,"Hazardous")</f>
        <v>Poor</v>
      </c>
      <c r="T788" t="s">
        <v>28</v>
      </c>
      <c r="X788" s="2"/>
      <c r="Y788" s="2"/>
    </row>
    <row r="789" spans="1:25" x14ac:dyDescent="0.3">
      <c r="A789" s="2">
        <v>45449</v>
      </c>
      <c r="B789" t="s">
        <v>22</v>
      </c>
      <c r="C789" s="4">
        <v>30.7</v>
      </c>
      <c r="D789" s="4">
        <v>77.099999999999994</v>
      </c>
      <c r="E789" s="4">
        <v>2.2000000000000002</v>
      </c>
      <c r="F789" s="4">
        <v>6.6</v>
      </c>
      <c r="G789" s="4">
        <v>1</v>
      </c>
      <c r="H789" s="4">
        <v>0.94</v>
      </c>
      <c r="I789" s="4">
        <v>31.1</v>
      </c>
      <c r="J789" s="4">
        <v>51.4</v>
      </c>
      <c r="K789" s="4">
        <v>4.51</v>
      </c>
      <c r="L789" s="4">
        <v>51.166666666666657</v>
      </c>
      <c r="M789" s="4">
        <v>77.099999999999994</v>
      </c>
      <c r="N789" s="4">
        <v>2.75</v>
      </c>
      <c r="O789" s="4">
        <v>16.5</v>
      </c>
      <c r="P789" s="4">
        <v>2.5</v>
      </c>
      <c r="Q789" s="4">
        <v>47</v>
      </c>
      <c r="R789" s="4">
        <v>77</v>
      </c>
      <c r="S789" s="4" t="str" cm="1">
        <f t="array" ref="S789">_xlfn.IFS($R789&lt;=50,"Good",$R789&lt;=100,"Moderate",$R789&lt;=200,"Poor",$R789&lt;=300,"Very Poor",$R789&lt;=500,"Hazardous")</f>
        <v>Moderate</v>
      </c>
      <c r="T789" t="s">
        <v>28</v>
      </c>
      <c r="X789" s="2"/>
      <c r="Y789" s="2"/>
    </row>
    <row r="790" spans="1:25" x14ac:dyDescent="0.3">
      <c r="A790" s="2">
        <v>45449</v>
      </c>
      <c r="B790" t="s">
        <v>23</v>
      </c>
      <c r="C790" s="4">
        <v>12.9</v>
      </c>
      <c r="D790" s="4">
        <v>153.19999999999999</v>
      </c>
      <c r="E790" s="4">
        <v>46.8</v>
      </c>
      <c r="F790" s="4">
        <v>0.5</v>
      </c>
      <c r="G790" s="4">
        <v>107.8</v>
      </c>
      <c r="H790" s="4">
        <v>0.93</v>
      </c>
      <c r="I790" s="4">
        <v>18.899999999999999</v>
      </c>
      <c r="J790" s="4">
        <v>34.700000000000003</v>
      </c>
      <c r="K790" s="4">
        <v>2.2400000000000002</v>
      </c>
      <c r="L790" s="4">
        <v>21.5</v>
      </c>
      <c r="M790" s="4">
        <v>153.19999999999999</v>
      </c>
      <c r="N790" s="4">
        <v>58.5</v>
      </c>
      <c r="O790" s="4">
        <v>1.25</v>
      </c>
      <c r="P790" s="4">
        <v>269.5</v>
      </c>
      <c r="Q790" s="4">
        <v>46.5</v>
      </c>
      <c r="R790" s="4">
        <v>270</v>
      </c>
      <c r="S790" s="4" t="str" cm="1">
        <f t="array" ref="S790">_xlfn.IFS($R790&lt;=50,"Good",$R790&lt;=100,"Moderate",$R790&lt;=200,"Poor",$R790&lt;=300,"Very Poor",$R790&lt;=500,"Hazardous")</f>
        <v>Very Poor</v>
      </c>
      <c r="T790" t="s">
        <v>27</v>
      </c>
      <c r="X790" s="2"/>
      <c r="Y790" s="2"/>
    </row>
    <row r="791" spans="1:25" x14ac:dyDescent="0.3">
      <c r="A791" s="2">
        <v>45449</v>
      </c>
      <c r="B791" t="s">
        <v>24</v>
      </c>
      <c r="C791" s="4">
        <v>49.4</v>
      </c>
      <c r="D791" s="4">
        <v>111</v>
      </c>
      <c r="E791" s="4">
        <v>34.4</v>
      </c>
      <c r="F791" s="4">
        <v>9.83</v>
      </c>
      <c r="G791" s="4">
        <v>33.299999999999997</v>
      </c>
      <c r="H791" s="4">
        <v>0.05</v>
      </c>
      <c r="I791" s="4">
        <v>24</v>
      </c>
      <c r="J791" s="4">
        <v>17.399999999999999</v>
      </c>
      <c r="K791" s="4">
        <v>3.42</v>
      </c>
      <c r="L791" s="4">
        <v>82.333333333333329</v>
      </c>
      <c r="M791" s="4">
        <v>111</v>
      </c>
      <c r="N791" s="4">
        <v>43</v>
      </c>
      <c r="O791" s="4">
        <v>24.574999999999999</v>
      </c>
      <c r="P791" s="4">
        <v>83.249999999999986</v>
      </c>
      <c r="Q791" s="4">
        <v>2.5</v>
      </c>
      <c r="R791" s="4">
        <v>111</v>
      </c>
      <c r="S791" s="4" t="str" cm="1">
        <f t="array" ref="S791">_xlfn.IFS($R791&lt;=50,"Good",$R791&lt;=100,"Moderate",$R791&lt;=200,"Poor",$R791&lt;=300,"Very Poor",$R791&lt;=500,"Hazardous")</f>
        <v>Poor</v>
      </c>
      <c r="T791" t="s">
        <v>28</v>
      </c>
      <c r="X791" s="2"/>
      <c r="Y791" s="2"/>
    </row>
    <row r="792" spans="1:25" x14ac:dyDescent="0.3">
      <c r="A792" s="2">
        <v>45450</v>
      </c>
      <c r="B792" t="s">
        <v>20</v>
      </c>
      <c r="C792" s="4">
        <v>28.2</v>
      </c>
      <c r="D792" s="4">
        <v>119.4</v>
      </c>
      <c r="E792" s="4">
        <v>65.599999999999994</v>
      </c>
      <c r="F792" s="4">
        <v>3</v>
      </c>
      <c r="G792" s="4">
        <v>76.5</v>
      </c>
      <c r="H792" s="4">
        <v>0.86</v>
      </c>
      <c r="I792" s="4">
        <v>37.299999999999997</v>
      </c>
      <c r="J792" s="4">
        <v>53.4</v>
      </c>
      <c r="K792" s="4">
        <v>1.49</v>
      </c>
      <c r="L792" s="4">
        <v>47</v>
      </c>
      <c r="M792" s="4">
        <v>119.4</v>
      </c>
      <c r="N792" s="4">
        <v>81.999999999999986</v>
      </c>
      <c r="O792" s="4">
        <v>7.5</v>
      </c>
      <c r="P792" s="4">
        <v>191.25</v>
      </c>
      <c r="Q792" s="4">
        <v>43</v>
      </c>
      <c r="R792" s="4">
        <v>191</v>
      </c>
      <c r="S792" s="4" t="str" cm="1">
        <f t="array" ref="S792">_xlfn.IFS($R792&lt;=50,"Good",$R792&lt;=100,"Moderate",$R792&lt;=200,"Poor",$R792&lt;=300,"Very Poor",$R792&lt;=500,"Hazardous")</f>
        <v>Poor</v>
      </c>
      <c r="T792" t="s">
        <v>27</v>
      </c>
      <c r="X792" s="2"/>
      <c r="Y792" s="2"/>
    </row>
    <row r="793" spans="1:25" x14ac:dyDescent="0.3">
      <c r="A793" s="2">
        <v>45450</v>
      </c>
      <c r="B793" t="s">
        <v>21</v>
      </c>
      <c r="C793" s="4">
        <v>80.599999999999994</v>
      </c>
      <c r="D793" s="4">
        <v>93.9</v>
      </c>
      <c r="E793" s="4">
        <v>28.2</v>
      </c>
      <c r="F793" s="4">
        <v>5.61</v>
      </c>
      <c r="G793" s="4">
        <v>48.6</v>
      </c>
      <c r="H793" s="4">
        <v>2.0099999999999998</v>
      </c>
      <c r="I793" s="4">
        <v>11.5</v>
      </c>
      <c r="J793" s="4">
        <v>60.4</v>
      </c>
      <c r="K793" s="4">
        <v>3.25</v>
      </c>
      <c r="L793" s="4">
        <v>134.33333333333329</v>
      </c>
      <c r="M793" s="4">
        <v>93.9</v>
      </c>
      <c r="N793" s="4">
        <v>35.25</v>
      </c>
      <c r="O793" s="4">
        <v>14.025</v>
      </c>
      <c r="P793" s="4">
        <v>121.5</v>
      </c>
      <c r="Q793" s="4">
        <v>100.5</v>
      </c>
      <c r="R793" s="4">
        <v>134</v>
      </c>
      <c r="S793" s="4" t="str" cm="1">
        <f t="array" ref="S793">_xlfn.IFS($R793&lt;=50,"Good",$R793&lt;=100,"Moderate",$R793&lt;=200,"Poor",$R793&lt;=300,"Very Poor",$R793&lt;=500,"Hazardous")</f>
        <v>Poor</v>
      </c>
      <c r="T793" t="s">
        <v>25</v>
      </c>
      <c r="X793" s="2"/>
      <c r="Y793" s="2"/>
    </row>
    <row r="794" spans="1:25" x14ac:dyDescent="0.3">
      <c r="A794" s="2">
        <v>45450</v>
      </c>
      <c r="B794" t="s">
        <v>22</v>
      </c>
      <c r="C794" s="4">
        <v>50</v>
      </c>
      <c r="D794" s="4">
        <v>150.9</v>
      </c>
      <c r="E794" s="4">
        <v>33.1</v>
      </c>
      <c r="F794" s="4">
        <v>5.38</v>
      </c>
      <c r="G794" s="4">
        <v>52.1</v>
      </c>
      <c r="H794" s="4">
        <v>0.96</v>
      </c>
      <c r="I794" s="4">
        <v>22.3</v>
      </c>
      <c r="J794" s="4">
        <v>69.3</v>
      </c>
      <c r="K794" s="4">
        <v>1.72</v>
      </c>
      <c r="L794" s="4">
        <v>83.333333333333329</v>
      </c>
      <c r="M794" s="4">
        <v>150.9</v>
      </c>
      <c r="N794" s="4">
        <v>41.375</v>
      </c>
      <c r="O794" s="4">
        <v>13.45</v>
      </c>
      <c r="P794" s="4">
        <v>130.25</v>
      </c>
      <c r="Q794" s="4">
        <v>48</v>
      </c>
      <c r="R794" s="4">
        <v>151</v>
      </c>
      <c r="S794" s="4" t="str" cm="1">
        <f t="array" ref="S794">_xlfn.IFS($R794&lt;=50,"Good",$R794&lt;=100,"Moderate",$R794&lt;=200,"Poor",$R794&lt;=300,"Very Poor",$R794&lt;=500,"Hazardous")</f>
        <v>Poor</v>
      </c>
      <c r="T794" t="s">
        <v>28</v>
      </c>
      <c r="X794" s="2"/>
      <c r="Y794" s="2"/>
    </row>
    <row r="795" spans="1:25" x14ac:dyDescent="0.3">
      <c r="A795" s="2">
        <v>45450</v>
      </c>
      <c r="B795" t="s">
        <v>23</v>
      </c>
      <c r="C795" s="4">
        <v>33.299999999999997</v>
      </c>
      <c r="D795" s="4">
        <v>70.7</v>
      </c>
      <c r="E795" s="4">
        <v>57.6</v>
      </c>
      <c r="F795" s="4">
        <v>0.5</v>
      </c>
      <c r="G795" s="4">
        <v>49.9</v>
      </c>
      <c r="H795" s="4">
        <v>0.98</v>
      </c>
      <c r="I795" s="4">
        <v>13.2</v>
      </c>
      <c r="J795" s="4">
        <v>65.599999999999994</v>
      </c>
      <c r="K795" s="4">
        <v>3.07</v>
      </c>
      <c r="L795" s="4">
        <v>55.499999999999993</v>
      </c>
      <c r="M795" s="4">
        <v>70.7</v>
      </c>
      <c r="N795" s="4">
        <v>72.000000000000014</v>
      </c>
      <c r="O795" s="4">
        <v>1.25</v>
      </c>
      <c r="P795" s="4">
        <v>124.75</v>
      </c>
      <c r="Q795" s="4">
        <v>49</v>
      </c>
      <c r="R795" s="4">
        <v>125</v>
      </c>
      <c r="S795" s="4" t="str" cm="1">
        <f t="array" ref="S795">_xlfn.IFS($R795&lt;=50,"Good",$R795&lt;=100,"Moderate",$R795&lt;=200,"Poor",$R795&lt;=300,"Very Poor",$R795&lt;=500,"Hazardous")</f>
        <v>Poor</v>
      </c>
      <c r="T795" t="s">
        <v>27</v>
      </c>
      <c r="X795" s="2"/>
      <c r="Y795" s="2"/>
    </row>
    <row r="796" spans="1:25" x14ac:dyDescent="0.3">
      <c r="A796" s="2">
        <v>45450</v>
      </c>
      <c r="B796" t="s">
        <v>24</v>
      </c>
      <c r="C796" s="4">
        <v>68.400000000000006</v>
      </c>
      <c r="D796" s="4">
        <v>5</v>
      </c>
      <c r="E796" s="4">
        <v>63.6</v>
      </c>
      <c r="F796" s="4">
        <v>3.79</v>
      </c>
      <c r="G796" s="4">
        <v>62.9</v>
      </c>
      <c r="H796" s="4">
        <v>1.45</v>
      </c>
      <c r="I796" s="4">
        <v>18.899999999999999</v>
      </c>
      <c r="J796" s="4">
        <v>71.900000000000006</v>
      </c>
      <c r="K796" s="4">
        <v>2.54</v>
      </c>
      <c r="L796" s="4">
        <v>114</v>
      </c>
      <c r="M796" s="4">
        <v>5</v>
      </c>
      <c r="N796" s="4">
        <v>79.5</v>
      </c>
      <c r="O796" s="4">
        <v>9.4750000000000014</v>
      </c>
      <c r="P796" s="4">
        <v>157.25</v>
      </c>
      <c r="Q796" s="4">
        <v>72.5</v>
      </c>
      <c r="R796" s="4">
        <v>157</v>
      </c>
      <c r="S796" s="4" t="str" cm="1">
        <f t="array" ref="S796">_xlfn.IFS($R796&lt;=50,"Good",$R796&lt;=100,"Moderate",$R796&lt;=200,"Poor",$R796&lt;=300,"Very Poor",$R796&lt;=500,"Hazardous")</f>
        <v>Poor</v>
      </c>
      <c r="T796" t="s">
        <v>27</v>
      </c>
      <c r="X796" s="2"/>
      <c r="Y796" s="2"/>
    </row>
    <row r="797" spans="1:25" x14ac:dyDescent="0.3">
      <c r="A797" s="2">
        <v>45451</v>
      </c>
      <c r="B797" t="s">
        <v>20</v>
      </c>
      <c r="C797" s="4">
        <v>2</v>
      </c>
      <c r="D797" s="4">
        <v>174.9</v>
      </c>
      <c r="E797" s="4">
        <v>27.1</v>
      </c>
      <c r="F797" s="4">
        <v>3.43</v>
      </c>
      <c r="G797" s="4">
        <v>34.4</v>
      </c>
      <c r="H797" s="4">
        <v>1.25</v>
      </c>
      <c r="I797" s="4">
        <v>24.6</v>
      </c>
      <c r="J797" s="4">
        <v>69.900000000000006</v>
      </c>
      <c r="K797" s="4">
        <v>0.89</v>
      </c>
      <c r="L797" s="4">
        <v>3.333333333333333</v>
      </c>
      <c r="M797" s="4">
        <v>174.9</v>
      </c>
      <c r="N797" s="4">
        <v>33.875</v>
      </c>
      <c r="O797" s="4">
        <v>8.5750000000000011</v>
      </c>
      <c r="P797" s="4">
        <v>86</v>
      </c>
      <c r="Q797" s="4">
        <v>62.5</v>
      </c>
      <c r="R797" s="4">
        <v>175</v>
      </c>
      <c r="S797" s="4" t="str" cm="1">
        <f t="array" ref="S797">_xlfn.IFS($R797&lt;=50,"Good",$R797&lt;=100,"Moderate",$R797&lt;=200,"Poor",$R797&lt;=300,"Very Poor",$R797&lt;=500,"Hazardous")</f>
        <v>Poor</v>
      </c>
      <c r="T797" t="s">
        <v>28</v>
      </c>
      <c r="X797" s="2"/>
      <c r="Y797" s="2"/>
    </row>
    <row r="798" spans="1:25" x14ac:dyDescent="0.3">
      <c r="A798" s="2">
        <v>45451</v>
      </c>
      <c r="B798" t="s">
        <v>21</v>
      </c>
      <c r="C798" s="4">
        <v>37.700000000000003</v>
      </c>
      <c r="D798" s="4">
        <v>113</v>
      </c>
      <c r="E798" s="4">
        <v>83</v>
      </c>
      <c r="F798" s="4">
        <v>7.43</v>
      </c>
      <c r="G798" s="4">
        <v>83.9</v>
      </c>
      <c r="H798" s="4">
        <v>1.22</v>
      </c>
      <c r="I798" s="4">
        <v>21.6</v>
      </c>
      <c r="J798" s="4">
        <v>55.6</v>
      </c>
      <c r="K798" s="4">
        <v>2.2999999999999998</v>
      </c>
      <c r="L798" s="4">
        <v>62.833333333333343</v>
      </c>
      <c r="M798" s="4">
        <v>113</v>
      </c>
      <c r="N798" s="4">
        <v>103.75</v>
      </c>
      <c r="O798" s="4">
        <v>18.574999999999999</v>
      </c>
      <c r="P798" s="4">
        <v>209.75</v>
      </c>
      <c r="Q798" s="4">
        <v>61</v>
      </c>
      <c r="R798" s="4">
        <v>210</v>
      </c>
      <c r="S798" s="4" t="str" cm="1">
        <f t="array" ref="S798">_xlfn.IFS($R798&lt;=50,"Good",$R798&lt;=100,"Moderate",$R798&lt;=200,"Poor",$R798&lt;=300,"Very Poor",$R798&lt;=500,"Hazardous")</f>
        <v>Very Poor</v>
      </c>
      <c r="T798" t="s">
        <v>27</v>
      </c>
      <c r="X798" s="2"/>
      <c r="Y798" s="2"/>
    </row>
    <row r="799" spans="1:25" x14ac:dyDescent="0.3">
      <c r="A799" s="2">
        <v>45451</v>
      </c>
      <c r="B799" t="s">
        <v>22</v>
      </c>
      <c r="C799" s="4">
        <v>59.4</v>
      </c>
      <c r="D799" s="4">
        <v>153.9</v>
      </c>
      <c r="E799" s="4">
        <v>39.700000000000003</v>
      </c>
      <c r="F799" s="4">
        <v>10.59</v>
      </c>
      <c r="G799" s="4">
        <v>15.1</v>
      </c>
      <c r="H799" s="4">
        <v>0.72</v>
      </c>
      <c r="I799" s="4">
        <v>19.899999999999999</v>
      </c>
      <c r="J799" s="4">
        <v>65.7</v>
      </c>
      <c r="K799" s="4">
        <v>2.0699999999999998</v>
      </c>
      <c r="L799" s="4">
        <v>98.999999999999986</v>
      </c>
      <c r="M799" s="4">
        <v>153.9</v>
      </c>
      <c r="N799" s="4">
        <v>49.625</v>
      </c>
      <c r="O799" s="4">
        <v>26.475000000000001</v>
      </c>
      <c r="P799" s="4">
        <v>37.75</v>
      </c>
      <c r="Q799" s="4">
        <v>36</v>
      </c>
      <c r="R799" s="4">
        <v>154</v>
      </c>
      <c r="S799" s="4" t="str" cm="1">
        <f t="array" ref="S799">_xlfn.IFS($R799&lt;=50,"Good",$R799&lt;=100,"Moderate",$R799&lt;=200,"Poor",$R799&lt;=300,"Very Poor",$R799&lt;=500,"Hazardous")</f>
        <v>Poor</v>
      </c>
      <c r="T799" t="s">
        <v>28</v>
      </c>
      <c r="X799" s="2"/>
      <c r="Y799" s="2"/>
    </row>
    <row r="800" spans="1:25" x14ac:dyDescent="0.3">
      <c r="A800" s="2">
        <v>45451</v>
      </c>
      <c r="B800" t="s">
        <v>23</v>
      </c>
      <c r="C800" s="4">
        <v>65.5</v>
      </c>
      <c r="D800" s="4">
        <v>51.3</v>
      </c>
      <c r="E800" s="4">
        <v>36.700000000000003</v>
      </c>
      <c r="F800" s="4">
        <v>9.15</v>
      </c>
      <c r="G800" s="4">
        <v>1</v>
      </c>
      <c r="H800" s="4">
        <v>1.98</v>
      </c>
      <c r="I800" s="4">
        <v>23</v>
      </c>
      <c r="J800" s="4">
        <v>23.5</v>
      </c>
      <c r="K800" s="4">
        <v>2.69</v>
      </c>
      <c r="L800" s="4">
        <v>109.1666666666667</v>
      </c>
      <c r="M800" s="4">
        <v>51.3</v>
      </c>
      <c r="N800" s="4">
        <v>45.875000000000007</v>
      </c>
      <c r="O800" s="4">
        <v>22.875</v>
      </c>
      <c r="P800" s="4">
        <v>2.5</v>
      </c>
      <c r="Q800" s="4">
        <v>99</v>
      </c>
      <c r="R800" s="4">
        <v>109</v>
      </c>
      <c r="S800" s="4" t="str" cm="1">
        <f t="array" ref="S800">_xlfn.IFS($R800&lt;=50,"Good",$R800&lt;=100,"Moderate",$R800&lt;=200,"Poor",$R800&lt;=300,"Very Poor",$R800&lt;=500,"Hazardous")</f>
        <v>Poor</v>
      </c>
      <c r="T800" t="s">
        <v>25</v>
      </c>
      <c r="X800" s="2"/>
      <c r="Y800" s="2"/>
    </row>
    <row r="801" spans="1:25" x14ac:dyDescent="0.3">
      <c r="A801" s="2">
        <v>45451</v>
      </c>
      <c r="B801" t="s">
        <v>24</v>
      </c>
      <c r="C801" s="4">
        <v>53.7</v>
      </c>
      <c r="D801" s="4">
        <v>101.3</v>
      </c>
      <c r="E801" s="4">
        <v>57</v>
      </c>
      <c r="F801" s="4">
        <v>10.33</v>
      </c>
      <c r="G801" s="4">
        <v>52.2</v>
      </c>
      <c r="H801" s="4">
        <v>1.29</v>
      </c>
      <c r="I801" s="4">
        <v>24.3</v>
      </c>
      <c r="J801" s="4">
        <v>92</v>
      </c>
      <c r="K801" s="4">
        <v>1.22</v>
      </c>
      <c r="L801" s="4">
        <v>89.500000000000014</v>
      </c>
      <c r="M801" s="4">
        <v>101.3</v>
      </c>
      <c r="N801" s="4">
        <v>71.25</v>
      </c>
      <c r="O801" s="4">
        <v>25.824999999999999</v>
      </c>
      <c r="P801" s="4">
        <v>130.5</v>
      </c>
      <c r="Q801" s="4">
        <v>64.5</v>
      </c>
      <c r="R801" s="4">
        <v>130</v>
      </c>
      <c r="S801" s="4" t="str" cm="1">
        <f t="array" ref="S801">_xlfn.IFS($R801&lt;=50,"Good",$R801&lt;=100,"Moderate",$R801&lt;=200,"Poor",$R801&lt;=300,"Very Poor",$R801&lt;=500,"Hazardous")</f>
        <v>Poor</v>
      </c>
      <c r="T801" t="s">
        <v>27</v>
      </c>
      <c r="X801" s="2"/>
      <c r="Y801" s="2"/>
    </row>
    <row r="802" spans="1:25" x14ac:dyDescent="0.3">
      <c r="A802" s="2">
        <v>45452</v>
      </c>
      <c r="B802" t="s">
        <v>20</v>
      </c>
      <c r="C802" s="4">
        <v>59.1</v>
      </c>
      <c r="D802" s="4">
        <v>114</v>
      </c>
      <c r="E802" s="4">
        <v>56.4</v>
      </c>
      <c r="F802" s="4">
        <v>3.48</v>
      </c>
      <c r="G802" s="4">
        <v>1</v>
      </c>
      <c r="H802" s="4">
        <v>1.19</v>
      </c>
      <c r="I802" s="4">
        <v>27</v>
      </c>
      <c r="J802" s="4">
        <v>86.8</v>
      </c>
      <c r="K802" s="4">
        <v>0.98</v>
      </c>
      <c r="L802" s="4">
        <v>98.5</v>
      </c>
      <c r="M802" s="4">
        <v>114</v>
      </c>
      <c r="N802" s="4">
        <v>70.5</v>
      </c>
      <c r="O802" s="4">
        <v>8.6999999999999993</v>
      </c>
      <c r="P802" s="4">
        <v>2.5</v>
      </c>
      <c r="Q802" s="4">
        <v>59.5</v>
      </c>
      <c r="R802" s="4">
        <v>114</v>
      </c>
      <c r="S802" s="4" t="str" cm="1">
        <f t="array" ref="S802">_xlfn.IFS($R802&lt;=50,"Good",$R802&lt;=100,"Moderate",$R802&lt;=200,"Poor",$R802&lt;=300,"Very Poor",$R802&lt;=500,"Hazardous")</f>
        <v>Poor</v>
      </c>
      <c r="T802" t="s">
        <v>28</v>
      </c>
      <c r="X802" s="2"/>
      <c r="Y802" s="2"/>
    </row>
    <row r="803" spans="1:25" x14ac:dyDescent="0.3">
      <c r="A803" s="2">
        <v>45452</v>
      </c>
      <c r="B803" t="s">
        <v>21</v>
      </c>
      <c r="C803" s="4">
        <v>94.6</v>
      </c>
      <c r="D803" s="4">
        <v>262</v>
      </c>
      <c r="E803" s="4">
        <v>37.4</v>
      </c>
      <c r="F803" s="4">
        <v>1.55</v>
      </c>
      <c r="G803" s="4">
        <v>37.299999999999997</v>
      </c>
      <c r="H803" s="4">
        <v>1.21</v>
      </c>
      <c r="I803" s="4">
        <v>28.9</v>
      </c>
      <c r="J803" s="4">
        <v>49.4</v>
      </c>
      <c r="K803" s="4">
        <v>4.37</v>
      </c>
      <c r="L803" s="4">
        <v>157.66666666666671</v>
      </c>
      <c r="M803" s="4">
        <v>262</v>
      </c>
      <c r="N803" s="4">
        <v>46.75</v>
      </c>
      <c r="O803" s="4">
        <v>3.875</v>
      </c>
      <c r="P803" s="4">
        <v>93.25</v>
      </c>
      <c r="Q803" s="4">
        <v>60.5</v>
      </c>
      <c r="R803" s="4">
        <v>262</v>
      </c>
      <c r="S803" s="4" t="str" cm="1">
        <f t="array" ref="S803">_xlfn.IFS($R803&lt;=50,"Good",$R803&lt;=100,"Moderate",$R803&lt;=200,"Poor",$R803&lt;=300,"Very Poor",$R803&lt;=500,"Hazardous")</f>
        <v>Very Poor</v>
      </c>
      <c r="T803" t="s">
        <v>28</v>
      </c>
      <c r="X803" s="2"/>
      <c r="Y803" s="2"/>
    </row>
    <row r="804" spans="1:25" x14ac:dyDescent="0.3">
      <c r="A804" s="2">
        <v>45452</v>
      </c>
      <c r="B804" t="s">
        <v>22</v>
      </c>
      <c r="C804" s="4">
        <v>20.2</v>
      </c>
      <c r="D804" s="4">
        <v>11.9</v>
      </c>
      <c r="E804" s="4">
        <v>51</v>
      </c>
      <c r="F804" s="4">
        <v>0.5</v>
      </c>
      <c r="G804" s="4">
        <v>33.200000000000003</v>
      </c>
      <c r="H804" s="4">
        <v>2.33</v>
      </c>
      <c r="I804" s="4">
        <v>24.9</v>
      </c>
      <c r="J804" s="4">
        <v>39.799999999999997</v>
      </c>
      <c r="K804" s="4">
        <v>2.4300000000000002</v>
      </c>
      <c r="L804" s="4">
        <v>33.666666666666657</v>
      </c>
      <c r="M804" s="4">
        <v>11.9</v>
      </c>
      <c r="N804" s="4">
        <v>63.75</v>
      </c>
      <c r="O804" s="4">
        <v>1.25</v>
      </c>
      <c r="P804" s="4">
        <v>83</v>
      </c>
      <c r="Q804" s="4">
        <v>116.5</v>
      </c>
      <c r="R804" s="4">
        <v>116</v>
      </c>
      <c r="S804" s="4" t="str" cm="1">
        <f t="array" ref="S804">_xlfn.IFS($R804&lt;=50,"Good",$R804&lt;=100,"Moderate",$R804&lt;=200,"Poor",$R804&lt;=300,"Very Poor",$R804&lt;=500,"Hazardous")</f>
        <v>Poor</v>
      </c>
      <c r="T804" t="s">
        <v>29</v>
      </c>
      <c r="X804" s="2"/>
      <c r="Y804" s="2"/>
    </row>
    <row r="805" spans="1:25" x14ac:dyDescent="0.3">
      <c r="A805" s="2">
        <v>45452</v>
      </c>
      <c r="B805" t="s">
        <v>23</v>
      </c>
      <c r="C805" s="4">
        <v>46.8</v>
      </c>
      <c r="D805" s="4">
        <v>103.7</v>
      </c>
      <c r="E805" s="4">
        <v>46.6</v>
      </c>
      <c r="F805" s="4">
        <v>2.2400000000000002</v>
      </c>
      <c r="G805" s="4">
        <v>82.2</v>
      </c>
      <c r="H805" s="4">
        <v>1.08</v>
      </c>
      <c r="I805" s="4">
        <v>30.1</v>
      </c>
      <c r="J805" s="4">
        <v>48.7</v>
      </c>
      <c r="K805" s="4">
        <v>4.04</v>
      </c>
      <c r="L805" s="4">
        <v>78</v>
      </c>
      <c r="M805" s="4">
        <v>103.7</v>
      </c>
      <c r="N805" s="4">
        <v>58.25</v>
      </c>
      <c r="O805" s="4">
        <v>5.6000000000000014</v>
      </c>
      <c r="P805" s="4">
        <v>205.5</v>
      </c>
      <c r="Q805" s="4">
        <v>54.000000000000007</v>
      </c>
      <c r="R805" s="4">
        <v>206</v>
      </c>
      <c r="S805" s="4" t="str" cm="1">
        <f t="array" ref="S805">_xlfn.IFS($R805&lt;=50,"Good",$R805&lt;=100,"Moderate",$R805&lt;=200,"Poor",$R805&lt;=300,"Very Poor",$R805&lt;=500,"Hazardous")</f>
        <v>Very Poor</v>
      </c>
      <c r="T805" t="s">
        <v>27</v>
      </c>
      <c r="X805" s="2"/>
      <c r="Y805" s="2"/>
    </row>
    <row r="806" spans="1:25" x14ac:dyDescent="0.3">
      <c r="A806" s="2">
        <v>45452</v>
      </c>
      <c r="B806" t="s">
        <v>24</v>
      </c>
      <c r="C806" s="4">
        <v>46</v>
      </c>
      <c r="D806" s="4">
        <v>120.3</v>
      </c>
      <c r="E806" s="4">
        <v>23.2</v>
      </c>
      <c r="F806" s="4">
        <v>2.65</v>
      </c>
      <c r="G806" s="4">
        <v>62.9</v>
      </c>
      <c r="H806" s="4">
        <v>0.82</v>
      </c>
      <c r="I806" s="4">
        <v>19</v>
      </c>
      <c r="J806" s="4">
        <v>48.4</v>
      </c>
      <c r="K806" s="4">
        <v>3.84</v>
      </c>
      <c r="L806" s="4">
        <v>76.666666666666657</v>
      </c>
      <c r="M806" s="4">
        <v>120.3</v>
      </c>
      <c r="N806" s="4">
        <v>29</v>
      </c>
      <c r="O806" s="4">
        <v>6.625</v>
      </c>
      <c r="P806" s="4">
        <v>157.25</v>
      </c>
      <c r="Q806" s="4">
        <v>40.999999999999993</v>
      </c>
      <c r="R806" s="4">
        <v>157</v>
      </c>
      <c r="S806" s="4" t="str" cm="1">
        <f t="array" ref="S806">_xlfn.IFS($R806&lt;=50,"Good",$R806&lt;=100,"Moderate",$R806&lt;=200,"Poor",$R806&lt;=300,"Very Poor",$R806&lt;=500,"Hazardous")</f>
        <v>Poor</v>
      </c>
      <c r="T806" t="s">
        <v>27</v>
      </c>
      <c r="X806" s="2"/>
      <c r="Y806" s="2"/>
    </row>
    <row r="807" spans="1:25" x14ac:dyDescent="0.3">
      <c r="A807" s="2">
        <v>45453</v>
      </c>
      <c r="B807" t="s">
        <v>20</v>
      </c>
      <c r="C807" s="4">
        <v>37.799999999999997</v>
      </c>
      <c r="D807" s="4">
        <v>103.9</v>
      </c>
      <c r="E807" s="4">
        <v>41.7</v>
      </c>
      <c r="F807" s="4">
        <v>0.5</v>
      </c>
      <c r="G807" s="4">
        <v>3.7</v>
      </c>
      <c r="H807" s="4">
        <v>1.29</v>
      </c>
      <c r="I807" s="4">
        <v>19.8</v>
      </c>
      <c r="J807" s="4">
        <v>79</v>
      </c>
      <c r="K807" s="4">
        <v>3.66</v>
      </c>
      <c r="L807" s="4">
        <v>63</v>
      </c>
      <c r="M807" s="4">
        <v>103.9</v>
      </c>
      <c r="N807" s="4">
        <v>52.125000000000007</v>
      </c>
      <c r="O807" s="4">
        <v>1.25</v>
      </c>
      <c r="P807" s="4">
        <v>9.2500000000000018</v>
      </c>
      <c r="Q807" s="4">
        <v>64.5</v>
      </c>
      <c r="R807" s="4">
        <v>104</v>
      </c>
      <c r="S807" s="4" t="str" cm="1">
        <f t="array" ref="S807">_xlfn.IFS($R807&lt;=50,"Good",$R807&lt;=100,"Moderate",$R807&lt;=200,"Poor",$R807&lt;=300,"Very Poor",$R807&lt;=500,"Hazardous")</f>
        <v>Poor</v>
      </c>
      <c r="T807" t="s">
        <v>28</v>
      </c>
      <c r="X807" s="2"/>
      <c r="Y807" s="2"/>
    </row>
    <row r="808" spans="1:25" x14ac:dyDescent="0.3">
      <c r="A808" s="2">
        <v>45453</v>
      </c>
      <c r="B808" t="s">
        <v>21</v>
      </c>
      <c r="C808" s="4">
        <v>81.599999999999994</v>
      </c>
      <c r="D808" s="4">
        <v>229.2</v>
      </c>
      <c r="E808" s="4">
        <v>43.3</v>
      </c>
      <c r="F808" s="4">
        <v>11.24</v>
      </c>
      <c r="G808" s="4">
        <v>31.7</v>
      </c>
      <c r="H808" s="4">
        <v>2.67</v>
      </c>
      <c r="I808" s="4">
        <v>38.9</v>
      </c>
      <c r="J808" s="4">
        <v>60.2</v>
      </c>
      <c r="K808" s="4">
        <v>2.96</v>
      </c>
      <c r="L808" s="4">
        <v>136</v>
      </c>
      <c r="M808" s="4">
        <v>229.2</v>
      </c>
      <c r="N808" s="4">
        <v>54.125</v>
      </c>
      <c r="O808" s="4">
        <v>28.1</v>
      </c>
      <c r="P808" s="4">
        <v>79.25</v>
      </c>
      <c r="Q808" s="4">
        <v>133.5</v>
      </c>
      <c r="R808" s="4">
        <v>229</v>
      </c>
      <c r="S808" s="4" t="str" cm="1">
        <f t="array" ref="S808">_xlfn.IFS($R808&lt;=50,"Good",$R808&lt;=100,"Moderate",$R808&lt;=200,"Poor",$R808&lt;=300,"Very Poor",$R808&lt;=500,"Hazardous")</f>
        <v>Very Poor</v>
      </c>
      <c r="T808" t="s">
        <v>28</v>
      </c>
      <c r="X808" s="2"/>
      <c r="Y808" s="2"/>
    </row>
    <row r="809" spans="1:25" x14ac:dyDescent="0.3">
      <c r="A809" s="2">
        <v>45453</v>
      </c>
      <c r="B809" t="s">
        <v>22</v>
      </c>
      <c r="C809" s="4">
        <v>76.599999999999994</v>
      </c>
      <c r="D809" s="4">
        <v>84.5</v>
      </c>
      <c r="E809" s="4">
        <v>24.2</v>
      </c>
      <c r="F809" s="4">
        <v>9.4</v>
      </c>
      <c r="G809" s="4">
        <v>39.9</v>
      </c>
      <c r="H809" s="4">
        <v>1</v>
      </c>
      <c r="I809" s="4">
        <v>19.2</v>
      </c>
      <c r="J809" s="4">
        <v>29.1</v>
      </c>
      <c r="K809" s="4">
        <v>2.78</v>
      </c>
      <c r="L809" s="4">
        <v>127.6666666666667</v>
      </c>
      <c r="M809" s="4">
        <v>84.5</v>
      </c>
      <c r="N809" s="4">
        <v>30.25</v>
      </c>
      <c r="O809" s="4">
        <v>23.5</v>
      </c>
      <c r="P809" s="4">
        <v>99.749999999999986</v>
      </c>
      <c r="Q809" s="4">
        <v>50</v>
      </c>
      <c r="R809" s="4">
        <v>128</v>
      </c>
      <c r="S809" s="4" t="str" cm="1">
        <f t="array" ref="S809">_xlfn.IFS($R809&lt;=50,"Good",$R809&lt;=100,"Moderate",$R809&lt;=200,"Poor",$R809&lt;=300,"Very Poor",$R809&lt;=500,"Hazardous")</f>
        <v>Poor</v>
      </c>
      <c r="T809" t="s">
        <v>25</v>
      </c>
      <c r="X809" s="2"/>
      <c r="Y809" s="2"/>
    </row>
    <row r="810" spans="1:25" x14ac:dyDescent="0.3">
      <c r="A810" s="2">
        <v>45453</v>
      </c>
      <c r="B810" t="s">
        <v>23</v>
      </c>
      <c r="C810" s="4">
        <v>69.7</v>
      </c>
      <c r="D810" s="4">
        <v>85.2</v>
      </c>
      <c r="E810" s="4">
        <v>59</v>
      </c>
      <c r="F810" s="4">
        <v>3.58</v>
      </c>
      <c r="G810" s="4">
        <v>13.6</v>
      </c>
      <c r="H810" s="4">
        <v>0.93</v>
      </c>
      <c r="I810" s="4">
        <v>24.4</v>
      </c>
      <c r="J810" s="4">
        <v>73.900000000000006</v>
      </c>
      <c r="K810" s="4">
        <v>1.57</v>
      </c>
      <c r="L810" s="4">
        <v>116.1666666666667</v>
      </c>
      <c r="M810" s="4">
        <v>85.2</v>
      </c>
      <c r="N810" s="4">
        <v>73.75</v>
      </c>
      <c r="O810" s="4">
        <v>8.9499999999999993</v>
      </c>
      <c r="P810" s="4">
        <v>34</v>
      </c>
      <c r="Q810" s="4">
        <v>46.5</v>
      </c>
      <c r="R810" s="4">
        <v>116</v>
      </c>
      <c r="S810" s="4" t="str" cm="1">
        <f t="array" ref="S810">_xlfn.IFS($R810&lt;=50,"Good",$R810&lt;=100,"Moderate",$R810&lt;=200,"Poor",$R810&lt;=300,"Very Poor",$R810&lt;=500,"Hazardous")</f>
        <v>Poor</v>
      </c>
      <c r="T810" t="s">
        <v>25</v>
      </c>
      <c r="X810" s="2"/>
      <c r="Y810" s="2"/>
    </row>
    <row r="811" spans="1:25" x14ac:dyDescent="0.3">
      <c r="A811" s="2">
        <v>45453</v>
      </c>
      <c r="B811" t="s">
        <v>24</v>
      </c>
      <c r="C811" s="4">
        <v>88.9</v>
      </c>
      <c r="D811" s="4">
        <v>209.5</v>
      </c>
      <c r="E811" s="4">
        <v>38.9</v>
      </c>
      <c r="F811" s="4">
        <v>12.54</v>
      </c>
      <c r="G811" s="4">
        <v>14.9</v>
      </c>
      <c r="H811" s="4">
        <v>1.62</v>
      </c>
      <c r="I811" s="4">
        <v>32.299999999999997</v>
      </c>
      <c r="J811" s="4">
        <v>75.5</v>
      </c>
      <c r="K811" s="4">
        <v>2.98</v>
      </c>
      <c r="L811" s="4">
        <v>148.16666666666671</v>
      </c>
      <c r="M811" s="4">
        <v>209.5</v>
      </c>
      <c r="N811" s="4">
        <v>48.625</v>
      </c>
      <c r="O811" s="4">
        <v>31.349999999999991</v>
      </c>
      <c r="P811" s="4">
        <v>37.25</v>
      </c>
      <c r="Q811" s="4">
        <v>81</v>
      </c>
      <c r="R811" s="4">
        <v>210</v>
      </c>
      <c r="S811" s="4" t="str" cm="1">
        <f t="array" ref="S811">_xlfn.IFS($R811&lt;=50,"Good",$R811&lt;=100,"Moderate",$R811&lt;=200,"Poor",$R811&lt;=300,"Very Poor",$R811&lt;=500,"Hazardous")</f>
        <v>Very Poor</v>
      </c>
      <c r="T811" t="s">
        <v>28</v>
      </c>
      <c r="X811" s="2"/>
      <c r="Y811" s="2"/>
    </row>
    <row r="812" spans="1:25" x14ac:dyDescent="0.3">
      <c r="A812" s="2">
        <v>45454</v>
      </c>
      <c r="B812" t="s">
        <v>20</v>
      </c>
      <c r="C812" s="4">
        <v>2</v>
      </c>
      <c r="D812" s="4">
        <v>75</v>
      </c>
      <c r="E812" s="4">
        <v>29.9</v>
      </c>
      <c r="F812" s="4">
        <v>2.86</v>
      </c>
      <c r="G812" s="4">
        <v>49.5</v>
      </c>
      <c r="H812" s="4">
        <v>0.87</v>
      </c>
      <c r="I812" s="4">
        <v>19.2</v>
      </c>
      <c r="J812" s="4">
        <v>40.9</v>
      </c>
      <c r="K812" s="4">
        <v>1.64</v>
      </c>
      <c r="L812" s="4">
        <v>3.333333333333333</v>
      </c>
      <c r="M812" s="4">
        <v>75</v>
      </c>
      <c r="N812" s="4">
        <v>37.375</v>
      </c>
      <c r="O812" s="4">
        <v>7.15</v>
      </c>
      <c r="P812" s="4">
        <v>123.75</v>
      </c>
      <c r="Q812" s="4">
        <v>43.5</v>
      </c>
      <c r="R812" s="4">
        <v>124</v>
      </c>
      <c r="S812" s="4" t="str" cm="1">
        <f t="array" ref="S812">_xlfn.IFS($R812&lt;=50,"Good",$R812&lt;=100,"Moderate",$R812&lt;=200,"Poor",$R812&lt;=300,"Very Poor",$R812&lt;=500,"Hazardous")</f>
        <v>Poor</v>
      </c>
      <c r="T812" t="s">
        <v>27</v>
      </c>
      <c r="X812" s="2"/>
      <c r="Y812" s="2"/>
    </row>
    <row r="813" spans="1:25" x14ac:dyDescent="0.3">
      <c r="A813" s="2">
        <v>45454</v>
      </c>
      <c r="B813" t="s">
        <v>21</v>
      </c>
      <c r="C813" s="4">
        <v>93.6</v>
      </c>
      <c r="D813" s="4">
        <v>80.3</v>
      </c>
      <c r="E813" s="4">
        <v>34.700000000000003</v>
      </c>
      <c r="F813" s="4">
        <v>5.72</v>
      </c>
      <c r="G813" s="4">
        <v>60.6</v>
      </c>
      <c r="H813" s="4">
        <v>1.47</v>
      </c>
      <c r="I813" s="4">
        <v>3.7</v>
      </c>
      <c r="J813" s="4">
        <v>78.400000000000006</v>
      </c>
      <c r="K813" s="4">
        <v>4.22</v>
      </c>
      <c r="L813" s="4">
        <v>156</v>
      </c>
      <c r="M813" s="4">
        <v>80.3</v>
      </c>
      <c r="N813" s="4">
        <v>43.375000000000007</v>
      </c>
      <c r="O813" s="4">
        <v>14.3</v>
      </c>
      <c r="P813" s="4">
        <v>151.5</v>
      </c>
      <c r="Q813" s="4">
        <v>73.5</v>
      </c>
      <c r="R813" s="4">
        <v>156</v>
      </c>
      <c r="S813" s="4" t="str" cm="1">
        <f t="array" ref="S813">_xlfn.IFS($R813&lt;=50,"Good",$R813&lt;=100,"Moderate",$R813&lt;=200,"Poor",$R813&lt;=300,"Very Poor",$R813&lt;=500,"Hazardous")</f>
        <v>Poor</v>
      </c>
      <c r="T813" t="s">
        <v>25</v>
      </c>
      <c r="X813" s="2"/>
      <c r="Y813" s="2"/>
    </row>
    <row r="814" spans="1:25" x14ac:dyDescent="0.3">
      <c r="A814" s="2">
        <v>45454</v>
      </c>
      <c r="B814" t="s">
        <v>22</v>
      </c>
      <c r="C814" s="4">
        <v>21.7</v>
      </c>
      <c r="D814" s="4">
        <v>46.9</v>
      </c>
      <c r="E814" s="4">
        <v>27.4</v>
      </c>
      <c r="F814" s="4">
        <v>3.21</v>
      </c>
      <c r="G814" s="4">
        <v>43.3</v>
      </c>
      <c r="H814" s="4">
        <v>0.05</v>
      </c>
      <c r="I814" s="4">
        <v>17.2</v>
      </c>
      <c r="J814" s="4">
        <v>87.7</v>
      </c>
      <c r="K814" s="4">
        <v>1.39</v>
      </c>
      <c r="L814" s="4">
        <v>36.166666666666657</v>
      </c>
      <c r="M814" s="4">
        <v>46.9</v>
      </c>
      <c r="N814" s="4">
        <v>34.249999999999993</v>
      </c>
      <c r="O814" s="4">
        <v>8.0249999999999986</v>
      </c>
      <c r="P814" s="4">
        <v>108.25</v>
      </c>
      <c r="Q814" s="4">
        <v>2.5</v>
      </c>
      <c r="R814" s="4">
        <v>108</v>
      </c>
      <c r="S814" s="4" t="str" cm="1">
        <f t="array" ref="S814">_xlfn.IFS($R814&lt;=50,"Good",$R814&lt;=100,"Moderate",$R814&lt;=200,"Poor",$R814&lt;=300,"Very Poor",$R814&lt;=500,"Hazardous")</f>
        <v>Poor</v>
      </c>
      <c r="T814" t="s">
        <v>27</v>
      </c>
      <c r="X814" s="2"/>
      <c r="Y814" s="2"/>
    </row>
    <row r="815" spans="1:25" x14ac:dyDescent="0.3">
      <c r="A815" s="2">
        <v>45454</v>
      </c>
      <c r="B815" t="s">
        <v>23</v>
      </c>
      <c r="C815" s="4">
        <v>77.8</v>
      </c>
      <c r="D815" s="4">
        <v>113.1</v>
      </c>
      <c r="E815" s="4">
        <v>7.1</v>
      </c>
      <c r="F815" s="4">
        <v>8.94</v>
      </c>
      <c r="G815" s="4">
        <v>37.1</v>
      </c>
      <c r="H815" s="4">
        <v>0.74</v>
      </c>
      <c r="I815" s="4">
        <v>26.7</v>
      </c>
      <c r="J815" s="4">
        <v>68.5</v>
      </c>
      <c r="K815" s="4">
        <v>3.35</v>
      </c>
      <c r="L815" s="4">
        <v>129.66666666666671</v>
      </c>
      <c r="M815" s="4">
        <v>113.1</v>
      </c>
      <c r="N815" s="4">
        <v>8.875</v>
      </c>
      <c r="O815" s="4">
        <v>22.35</v>
      </c>
      <c r="P815" s="4">
        <v>92.75</v>
      </c>
      <c r="Q815" s="4">
        <v>37</v>
      </c>
      <c r="R815" s="4">
        <v>130</v>
      </c>
      <c r="S815" s="4" t="str" cm="1">
        <f t="array" ref="S815">_xlfn.IFS($R815&lt;=50,"Good",$R815&lt;=100,"Moderate",$R815&lt;=200,"Poor",$R815&lt;=300,"Very Poor",$R815&lt;=500,"Hazardous")</f>
        <v>Poor</v>
      </c>
      <c r="T815" t="s">
        <v>25</v>
      </c>
      <c r="X815" s="2"/>
      <c r="Y815" s="2"/>
    </row>
    <row r="816" spans="1:25" x14ac:dyDescent="0.3">
      <c r="A816" s="2">
        <v>45454</v>
      </c>
      <c r="B816" t="s">
        <v>24</v>
      </c>
      <c r="C816" s="4">
        <v>83.9</v>
      </c>
      <c r="D816" s="4">
        <v>127.1</v>
      </c>
      <c r="E816" s="4">
        <v>15.4</v>
      </c>
      <c r="F816" s="4">
        <v>4.96</v>
      </c>
      <c r="G816" s="4">
        <v>124.9</v>
      </c>
      <c r="H816" s="4">
        <v>1.44</v>
      </c>
      <c r="I816" s="4">
        <v>41.6</v>
      </c>
      <c r="J816" s="4">
        <v>85.1</v>
      </c>
      <c r="K816" s="4">
        <v>3.29</v>
      </c>
      <c r="L816" s="4">
        <v>139.83333333333329</v>
      </c>
      <c r="M816" s="4">
        <v>127.1</v>
      </c>
      <c r="N816" s="4">
        <v>19.25</v>
      </c>
      <c r="O816" s="4">
        <v>12.4</v>
      </c>
      <c r="P816" s="4">
        <v>312.25</v>
      </c>
      <c r="Q816" s="4">
        <v>72</v>
      </c>
      <c r="R816" s="4">
        <v>312</v>
      </c>
      <c r="S816" s="4" t="str" cm="1">
        <f t="array" ref="S816">_xlfn.IFS($R816&lt;=50,"Good",$R816&lt;=100,"Moderate",$R816&lt;=200,"Poor",$R816&lt;=300,"Very Poor",$R816&lt;=500,"Hazardous")</f>
        <v>Hazardous</v>
      </c>
      <c r="T816" t="s">
        <v>27</v>
      </c>
      <c r="X816" s="2"/>
      <c r="Y816" s="2"/>
    </row>
    <row r="817" spans="1:25" x14ac:dyDescent="0.3">
      <c r="A817" s="2">
        <v>45455</v>
      </c>
      <c r="B817" t="s">
        <v>20</v>
      </c>
      <c r="C817" s="4">
        <v>63.5</v>
      </c>
      <c r="D817" s="4">
        <v>108.4</v>
      </c>
      <c r="E817" s="4">
        <v>9.4</v>
      </c>
      <c r="F817" s="4">
        <v>7.44</v>
      </c>
      <c r="G817" s="4">
        <v>80.8</v>
      </c>
      <c r="H817" s="4">
        <v>0.77</v>
      </c>
      <c r="I817" s="4">
        <v>27.9</v>
      </c>
      <c r="J817" s="4">
        <v>75.3</v>
      </c>
      <c r="K817" s="4">
        <v>1.41</v>
      </c>
      <c r="L817" s="4">
        <v>105.8333333333333</v>
      </c>
      <c r="M817" s="4">
        <v>108.4</v>
      </c>
      <c r="N817" s="4">
        <v>11.75</v>
      </c>
      <c r="O817" s="4">
        <v>18.600000000000001</v>
      </c>
      <c r="P817" s="4">
        <v>202</v>
      </c>
      <c r="Q817" s="4">
        <v>38.5</v>
      </c>
      <c r="R817" s="4">
        <v>202</v>
      </c>
      <c r="S817" s="4" t="str" cm="1">
        <f t="array" ref="S817">_xlfn.IFS($R817&lt;=50,"Good",$R817&lt;=100,"Moderate",$R817&lt;=200,"Poor",$R817&lt;=300,"Very Poor",$R817&lt;=500,"Hazardous")</f>
        <v>Very Poor</v>
      </c>
      <c r="T817" t="s">
        <v>27</v>
      </c>
      <c r="X817" s="2"/>
      <c r="Y817" s="2"/>
    </row>
    <row r="818" spans="1:25" x14ac:dyDescent="0.3">
      <c r="A818" s="2">
        <v>45455</v>
      </c>
      <c r="B818" t="s">
        <v>21</v>
      </c>
      <c r="C818" s="4">
        <v>46.5</v>
      </c>
      <c r="D818" s="4">
        <v>58.9</v>
      </c>
      <c r="E818" s="4">
        <v>28.6</v>
      </c>
      <c r="F818" s="4">
        <v>1.56</v>
      </c>
      <c r="G818" s="4">
        <v>21.9</v>
      </c>
      <c r="H818" s="4">
        <v>2.0499999999999998</v>
      </c>
      <c r="I818" s="4">
        <v>18.600000000000001</v>
      </c>
      <c r="J818" s="4">
        <v>62.3</v>
      </c>
      <c r="K818" s="4">
        <v>1.9</v>
      </c>
      <c r="L818" s="4">
        <v>77.5</v>
      </c>
      <c r="M818" s="4">
        <v>58.9</v>
      </c>
      <c r="N818" s="4">
        <v>35.750000000000007</v>
      </c>
      <c r="O818" s="4">
        <v>3.9</v>
      </c>
      <c r="P818" s="4">
        <v>54.749999999999993</v>
      </c>
      <c r="Q818" s="4">
        <v>102.5</v>
      </c>
      <c r="R818" s="4">
        <v>102</v>
      </c>
      <c r="S818" s="4" t="str" cm="1">
        <f t="array" ref="S818">_xlfn.IFS($R818&lt;=50,"Good",$R818&lt;=100,"Moderate",$R818&lt;=200,"Poor",$R818&lt;=300,"Very Poor",$R818&lt;=500,"Hazardous")</f>
        <v>Poor</v>
      </c>
      <c r="T818" t="s">
        <v>29</v>
      </c>
      <c r="X818" s="2"/>
      <c r="Y818" s="2"/>
    </row>
    <row r="819" spans="1:25" x14ac:dyDescent="0.3">
      <c r="A819" s="2">
        <v>45455</v>
      </c>
      <c r="B819" t="s">
        <v>22</v>
      </c>
      <c r="C819" s="4">
        <v>72.5</v>
      </c>
      <c r="D819" s="4">
        <v>151</v>
      </c>
      <c r="E819" s="4">
        <v>47.3</v>
      </c>
      <c r="F819" s="4">
        <v>7.24</v>
      </c>
      <c r="G819" s="4">
        <v>32.5</v>
      </c>
      <c r="H819" s="4">
        <v>0.37</v>
      </c>
      <c r="I819" s="4">
        <v>38.6</v>
      </c>
      <c r="J819" s="4">
        <v>46.3</v>
      </c>
      <c r="K819" s="4">
        <v>3.3</v>
      </c>
      <c r="L819" s="4">
        <v>120.8333333333333</v>
      </c>
      <c r="M819" s="4">
        <v>151</v>
      </c>
      <c r="N819" s="4">
        <v>59.125</v>
      </c>
      <c r="O819" s="4">
        <v>18.100000000000001</v>
      </c>
      <c r="P819" s="4">
        <v>81.25</v>
      </c>
      <c r="Q819" s="4">
        <v>18.5</v>
      </c>
      <c r="R819" s="4">
        <v>151</v>
      </c>
      <c r="S819" s="4" t="str" cm="1">
        <f t="array" ref="S819">_xlfn.IFS($R819&lt;=50,"Good",$R819&lt;=100,"Moderate",$R819&lt;=200,"Poor",$R819&lt;=300,"Very Poor",$R819&lt;=500,"Hazardous")</f>
        <v>Poor</v>
      </c>
      <c r="T819" t="s">
        <v>28</v>
      </c>
      <c r="X819" s="2"/>
      <c r="Y819" s="2"/>
    </row>
    <row r="820" spans="1:25" x14ac:dyDescent="0.3">
      <c r="A820" s="2">
        <v>45455</v>
      </c>
      <c r="B820" t="s">
        <v>23</v>
      </c>
      <c r="C820" s="4">
        <v>73.400000000000006</v>
      </c>
      <c r="D820" s="4">
        <v>69.3</v>
      </c>
      <c r="E820" s="4">
        <v>52.6</v>
      </c>
      <c r="F820" s="4">
        <v>9.4600000000000009</v>
      </c>
      <c r="G820" s="4">
        <v>83.2</v>
      </c>
      <c r="H820" s="4">
        <v>0.73</v>
      </c>
      <c r="I820" s="4">
        <v>16</v>
      </c>
      <c r="J820" s="4">
        <v>50.9</v>
      </c>
      <c r="K820" s="4">
        <v>2.75</v>
      </c>
      <c r="L820" s="4">
        <v>122.3333333333333</v>
      </c>
      <c r="M820" s="4">
        <v>69.3</v>
      </c>
      <c r="N820" s="4">
        <v>65.75</v>
      </c>
      <c r="O820" s="4">
        <v>23.65</v>
      </c>
      <c r="P820" s="4">
        <v>208</v>
      </c>
      <c r="Q820" s="4">
        <v>36.5</v>
      </c>
      <c r="R820" s="4">
        <v>208</v>
      </c>
      <c r="S820" s="4" t="str" cm="1">
        <f t="array" ref="S820">_xlfn.IFS($R820&lt;=50,"Good",$R820&lt;=100,"Moderate",$R820&lt;=200,"Poor",$R820&lt;=300,"Very Poor",$R820&lt;=500,"Hazardous")</f>
        <v>Very Poor</v>
      </c>
      <c r="T820" t="s">
        <v>27</v>
      </c>
      <c r="X820" s="2"/>
      <c r="Y820" s="2"/>
    </row>
    <row r="821" spans="1:25" x14ac:dyDescent="0.3">
      <c r="A821" s="2">
        <v>45455</v>
      </c>
      <c r="B821" t="s">
        <v>24</v>
      </c>
      <c r="C821" s="4">
        <v>54.3</v>
      </c>
      <c r="D821" s="4">
        <v>84.8</v>
      </c>
      <c r="E821" s="4">
        <v>6</v>
      </c>
      <c r="F821" s="4">
        <v>9.11</v>
      </c>
      <c r="G821" s="4">
        <v>98.2</v>
      </c>
      <c r="H821" s="4">
        <v>1.3</v>
      </c>
      <c r="I821" s="4">
        <v>29.3</v>
      </c>
      <c r="J821" s="4">
        <v>70.3</v>
      </c>
      <c r="K821" s="4">
        <v>3.48</v>
      </c>
      <c r="L821" s="4">
        <v>90.5</v>
      </c>
      <c r="M821" s="4">
        <v>84.8</v>
      </c>
      <c r="N821" s="4">
        <v>7.5</v>
      </c>
      <c r="O821" s="4">
        <v>22.774999999999999</v>
      </c>
      <c r="P821" s="4">
        <v>245.5</v>
      </c>
      <c r="Q821" s="4">
        <v>65</v>
      </c>
      <c r="R821" s="4">
        <v>246</v>
      </c>
      <c r="S821" s="4" t="str" cm="1">
        <f t="array" ref="S821">_xlfn.IFS($R821&lt;=50,"Good",$R821&lt;=100,"Moderate",$R821&lt;=200,"Poor",$R821&lt;=300,"Very Poor",$R821&lt;=500,"Hazardous")</f>
        <v>Very Poor</v>
      </c>
      <c r="T821" t="s">
        <v>27</v>
      </c>
      <c r="X821" s="2"/>
      <c r="Y821" s="2"/>
    </row>
    <row r="822" spans="1:25" x14ac:dyDescent="0.3">
      <c r="A822" s="2">
        <v>45456</v>
      </c>
      <c r="B822" t="s">
        <v>20</v>
      </c>
      <c r="C822" s="4">
        <v>80.900000000000006</v>
      </c>
      <c r="D822" s="4">
        <v>132.19999999999999</v>
      </c>
      <c r="E822" s="4">
        <v>35.6</v>
      </c>
      <c r="F822" s="4">
        <v>3.7</v>
      </c>
      <c r="G822" s="4">
        <v>38.799999999999997</v>
      </c>
      <c r="H822" s="4">
        <v>1.28</v>
      </c>
      <c r="I822" s="4">
        <v>22.8</v>
      </c>
      <c r="J822" s="4">
        <v>65.7</v>
      </c>
      <c r="K822" s="4">
        <v>3.03</v>
      </c>
      <c r="L822" s="4">
        <v>134.83333333333329</v>
      </c>
      <c r="M822" s="4">
        <v>132.19999999999999</v>
      </c>
      <c r="N822" s="4">
        <v>44.500000000000007</v>
      </c>
      <c r="O822" s="4">
        <v>9.2500000000000018</v>
      </c>
      <c r="P822" s="4">
        <v>96.999999999999986</v>
      </c>
      <c r="Q822" s="4">
        <v>64</v>
      </c>
      <c r="R822" s="4">
        <v>135</v>
      </c>
      <c r="S822" s="4" t="str" cm="1">
        <f t="array" ref="S822">_xlfn.IFS($R822&lt;=50,"Good",$R822&lt;=100,"Moderate",$R822&lt;=200,"Poor",$R822&lt;=300,"Very Poor",$R822&lt;=500,"Hazardous")</f>
        <v>Poor</v>
      </c>
      <c r="T822" t="s">
        <v>25</v>
      </c>
      <c r="X822" s="2"/>
      <c r="Y822" s="2"/>
    </row>
    <row r="823" spans="1:25" x14ac:dyDescent="0.3">
      <c r="A823" s="2">
        <v>45456</v>
      </c>
      <c r="B823" t="s">
        <v>21</v>
      </c>
      <c r="C823" s="4">
        <v>85</v>
      </c>
      <c r="D823" s="4">
        <v>197</v>
      </c>
      <c r="E823" s="4">
        <v>46.6</v>
      </c>
      <c r="F823" s="4">
        <v>1.46</v>
      </c>
      <c r="G823" s="4">
        <v>39.200000000000003</v>
      </c>
      <c r="H823" s="4">
        <v>1.23</v>
      </c>
      <c r="I823" s="4">
        <v>12.1</v>
      </c>
      <c r="J823" s="4">
        <v>85</v>
      </c>
      <c r="K823" s="4">
        <v>2.67</v>
      </c>
      <c r="L823" s="4">
        <v>141.66666666666671</v>
      </c>
      <c r="M823" s="4">
        <v>197</v>
      </c>
      <c r="N823" s="4">
        <v>58.25</v>
      </c>
      <c r="O823" s="4">
        <v>3.65</v>
      </c>
      <c r="P823" s="4">
        <v>98</v>
      </c>
      <c r="Q823" s="4">
        <v>61.5</v>
      </c>
      <c r="R823" s="4">
        <v>197</v>
      </c>
      <c r="S823" s="4" t="str" cm="1">
        <f t="array" ref="S823">_xlfn.IFS($R823&lt;=50,"Good",$R823&lt;=100,"Moderate",$R823&lt;=200,"Poor",$R823&lt;=300,"Very Poor",$R823&lt;=500,"Hazardous")</f>
        <v>Poor</v>
      </c>
      <c r="T823" t="s">
        <v>28</v>
      </c>
      <c r="X823" s="2"/>
      <c r="Y823" s="2"/>
    </row>
    <row r="824" spans="1:25" x14ac:dyDescent="0.3">
      <c r="A824" s="2">
        <v>45456</v>
      </c>
      <c r="B824" t="s">
        <v>22</v>
      </c>
      <c r="C824" s="4">
        <v>54.3</v>
      </c>
      <c r="D824" s="4">
        <v>153.5</v>
      </c>
      <c r="E824" s="4">
        <v>24.6</v>
      </c>
      <c r="F824" s="4">
        <v>8.26</v>
      </c>
      <c r="G824" s="4">
        <v>35.4</v>
      </c>
      <c r="H824" s="4">
        <v>0.83</v>
      </c>
      <c r="I824" s="4">
        <v>19.600000000000001</v>
      </c>
      <c r="J824" s="4">
        <v>90</v>
      </c>
      <c r="K824" s="4">
        <v>2.0499999999999998</v>
      </c>
      <c r="L824" s="4">
        <v>90.5</v>
      </c>
      <c r="M824" s="4">
        <v>153.5</v>
      </c>
      <c r="N824" s="4">
        <v>30.75</v>
      </c>
      <c r="O824" s="4">
        <v>20.65</v>
      </c>
      <c r="P824" s="4">
        <v>88.5</v>
      </c>
      <c r="Q824" s="4">
        <v>41.499999999999993</v>
      </c>
      <c r="R824" s="4">
        <v>154</v>
      </c>
      <c r="S824" s="4" t="str" cm="1">
        <f t="array" ref="S824">_xlfn.IFS($R824&lt;=50,"Good",$R824&lt;=100,"Moderate",$R824&lt;=200,"Poor",$R824&lt;=300,"Very Poor",$R824&lt;=500,"Hazardous")</f>
        <v>Poor</v>
      </c>
      <c r="T824" t="s">
        <v>28</v>
      </c>
      <c r="X824" s="2"/>
      <c r="Y824" s="2"/>
    </row>
    <row r="825" spans="1:25" x14ac:dyDescent="0.3">
      <c r="A825" s="2">
        <v>45456</v>
      </c>
      <c r="B825" t="s">
        <v>23</v>
      </c>
      <c r="C825" s="4">
        <v>64.8</v>
      </c>
      <c r="D825" s="4">
        <v>6</v>
      </c>
      <c r="E825" s="4">
        <v>54.9</v>
      </c>
      <c r="F825" s="4">
        <v>10.61</v>
      </c>
      <c r="G825" s="4">
        <v>42.4</v>
      </c>
      <c r="H825" s="4">
        <v>0.85</v>
      </c>
      <c r="I825" s="4">
        <v>27.8</v>
      </c>
      <c r="J825" s="4">
        <v>100</v>
      </c>
      <c r="K825" s="4">
        <v>0.38</v>
      </c>
      <c r="L825" s="4">
        <v>108</v>
      </c>
      <c r="M825" s="4">
        <v>6</v>
      </c>
      <c r="N825" s="4">
        <v>68.624999999999986</v>
      </c>
      <c r="O825" s="4">
        <v>26.524999999999999</v>
      </c>
      <c r="P825" s="4">
        <v>106</v>
      </c>
      <c r="Q825" s="4">
        <v>42.499999999999993</v>
      </c>
      <c r="R825" s="4">
        <v>108</v>
      </c>
      <c r="S825" s="4" t="str" cm="1">
        <f t="array" ref="S825">_xlfn.IFS($R825&lt;=50,"Good",$R825&lt;=100,"Moderate",$R825&lt;=200,"Poor",$R825&lt;=300,"Very Poor",$R825&lt;=500,"Hazardous")</f>
        <v>Poor</v>
      </c>
      <c r="T825" t="s">
        <v>25</v>
      </c>
      <c r="X825" s="2"/>
      <c r="Y825" s="2"/>
    </row>
    <row r="826" spans="1:25" x14ac:dyDescent="0.3">
      <c r="A826" s="2">
        <v>45456</v>
      </c>
      <c r="B826" t="s">
        <v>24</v>
      </c>
      <c r="C826" s="4">
        <v>73.400000000000006</v>
      </c>
      <c r="D826" s="4">
        <v>57.5</v>
      </c>
      <c r="E826" s="4">
        <v>39.200000000000003</v>
      </c>
      <c r="F826" s="4">
        <v>5.95</v>
      </c>
      <c r="G826" s="4">
        <v>32.200000000000003</v>
      </c>
      <c r="H826" s="4">
        <v>1.05</v>
      </c>
      <c r="I826" s="4">
        <v>17.100000000000001</v>
      </c>
      <c r="J826" s="4">
        <v>78.5</v>
      </c>
      <c r="K826" s="4">
        <v>0.85</v>
      </c>
      <c r="L826" s="4">
        <v>122.3333333333333</v>
      </c>
      <c r="M826" s="4">
        <v>57.5</v>
      </c>
      <c r="N826" s="4">
        <v>49</v>
      </c>
      <c r="O826" s="4">
        <v>14.875</v>
      </c>
      <c r="P826" s="4">
        <v>80.5</v>
      </c>
      <c r="Q826" s="4">
        <v>52.500000000000007</v>
      </c>
      <c r="R826" s="4">
        <v>122</v>
      </c>
      <c r="S826" s="4" t="str" cm="1">
        <f t="array" ref="S826">_xlfn.IFS($R826&lt;=50,"Good",$R826&lt;=100,"Moderate",$R826&lt;=200,"Poor",$R826&lt;=300,"Very Poor",$R826&lt;=500,"Hazardous")</f>
        <v>Poor</v>
      </c>
      <c r="T826" t="s">
        <v>25</v>
      </c>
      <c r="X826" s="2"/>
      <c r="Y826" s="2"/>
    </row>
    <row r="827" spans="1:25" x14ac:dyDescent="0.3">
      <c r="A827" s="2">
        <v>45457</v>
      </c>
      <c r="B827" t="s">
        <v>20</v>
      </c>
      <c r="C827" s="4">
        <v>70.099999999999994</v>
      </c>
      <c r="D827" s="4">
        <v>92.4</v>
      </c>
      <c r="E827" s="4">
        <v>19.899999999999999</v>
      </c>
      <c r="F827" s="4">
        <v>8.2899999999999991</v>
      </c>
      <c r="G827" s="4">
        <v>1.2</v>
      </c>
      <c r="H827" s="4">
        <v>1.1299999999999999</v>
      </c>
      <c r="I827" s="4">
        <v>15</v>
      </c>
      <c r="J827" s="4">
        <v>68.3</v>
      </c>
      <c r="K827" s="4">
        <v>1.39</v>
      </c>
      <c r="L827" s="4">
        <v>116.8333333333333</v>
      </c>
      <c r="M827" s="4">
        <v>92.4</v>
      </c>
      <c r="N827" s="4">
        <v>24.875</v>
      </c>
      <c r="O827" s="4">
        <v>20.725000000000001</v>
      </c>
      <c r="P827" s="4">
        <v>3</v>
      </c>
      <c r="Q827" s="4">
        <v>56.499999999999993</v>
      </c>
      <c r="R827" s="4">
        <v>117</v>
      </c>
      <c r="S827" s="4" t="str" cm="1">
        <f t="array" ref="S827">_xlfn.IFS($R827&lt;=50,"Good",$R827&lt;=100,"Moderate",$R827&lt;=200,"Poor",$R827&lt;=300,"Very Poor",$R827&lt;=500,"Hazardous")</f>
        <v>Poor</v>
      </c>
      <c r="T827" t="s">
        <v>25</v>
      </c>
      <c r="X827" s="2"/>
      <c r="Y827" s="2"/>
    </row>
    <row r="828" spans="1:25" x14ac:dyDescent="0.3">
      <c r="A828" s="2">
        <v>45457</v>
      </c>
      <c r="B828" t="s">
        <v>21</v>
      </c>
      <c r="C828" s="4">
        <v>46.5</v>
      </c>
      <c r="D828" s="4">
        <v>137.6</v>
      </c>
      <c r="E828" s="4">
        <v>29.5</v>
      </c>
      <c r="F828" s="4">
        <v>7.71</v>
      </c>
      <c r="G828" s="4">
        <v>2.7</v>
      </c>
      <c r="H828" s="4">
        <v>1.58</v>
      </c>
      <c r="I828" s="4">
        <v>37.4</v>
      </c>
      <c r="J828" s="4">
        <v>100</v>
      </c>
      <c r="K828" s="4">
        <v>2.61</v>
      </c>
      <c r="L828" s="4">
        <v>77.5</v>
      </c>
      <c r="M828" s="4">
        <v>137.6</v>
      </c>
      <c r="N828" s="4">
        <v>36.875</v>
      </c>
      <c r="O828" s="4">
        <v>19.274999999999999</v>
      </c>
      <c r="P828" s="4">
        <v>6.7500000000000009</v>
      </c>
      <c r="Q828" s="4">
        <v>79</v>
      </c>
      <c r="R828" s="4">
        <v>138</v>
      </c>
      <c r="S828" s="4" t="str" cm="1">
        <f t="array" ref="S828">_xlfn.IFS($R828&lt;=50,"Good",$R828&lt;=100,"Moderate",$R828&lt;=200,"Poor",$R828&lt;=300,"Very Poor",$R828&lt;=500,"Hazardous")</f>
        <v>Poor</v>
      </c>
      <c r="T828" t="s">
        <v>28</v>
      </c>
      <c r="X828" s="2"/>
      <c r="Y828" s="2"/>
    </row>
    <row r="829" spans="1:25" x14ac:dyDescent="0.3">
      <c r="A829" s="2">
        <v>45457</v>
      </c>
      <c r="B829" t="s">
        <v>22</v>
      </c>
      <c r="C829" s="4">
        <v>63.6</v>
      </c>
      <c r="D829" s="4">
        <v>10</v>
      </c>
      <c r="E829" s="4">
        <v>57</v>
      </c>
      <c r="F829" s="4">
        <v>9.0299999999999994</v>
      </c>
      <c r="G829" s="4">
        <v>26.5</v>
      </c>
      <c r="H829" s="4">
        <v>1.48</v>
      </c>
      <c r="I829" s="4">
        <v>23.2</v>
      </c>
      <c r="J829" s="4">
        <v>51.8</v>
      </c>
      <c r="K829" s="4">
        <v>3.07</v>
      </c>
      <c r="L829" s="4">
        <v>106</v>
      </c>
      <c r="M829" s="4">
        <v>10</v>
      </c>
      <c r="N829" s="4">
        <v>71.25</v>
      </c>
      <c r="O829" s="4">
        <v>22.574999999999999</v>
      </c>
      <c r="P829" s="4">
        <v>66.25</v>
      </c>
      <c r="Q829" s="4">
        <v>74</v>
      </c>
      <c r="R829" s="4">
        <v>106</v>
      </c>
      <c r="S829" s="4" t="str" cm="1">
        <f t="array" ref="S829">_xlfn.IFS($R829&lt;=50,"Good",$R829&lt;=100,"Moderate",$R829&lt;=200,"Poor",$R829&lt;=300,"Very Poor",$R829&lt;=500,"Hazardous")</f>
        <v>Poor</v>
      </c>
      <c r="T829" t="s">
        <v>25</v>
      </c>
      <c r="X829" s="2"/>
      <c r="Y829" s="2"/>
    </row>
    <row r="830" spans="1:25" x14ac:dyDescent="0.3">
      <c r="A830" s="2">
        <v>45457</v>
      </c>
      <c r="B830" t="s">
        <v>23</v>
      </c>
      <c r="C830" s="4">
        <v>22.5</v>
      </c>
      <c r="D830" s="4">
        <v>145</v>
      </c>
      <c r="E830" s="4">
        <v>19.100000000000001</v>
      </c>
      <c r="F830" s="4">
        <v>2.2000000000000002</v>
      </c>
      <c r="G830" s="4">
        <v>17.3</v>
      </c>
      <c r="H830" s="4">
        <v>1.32</v>
      </c>
      <c r="I830" s="4">
        <v>20.7</v>
      </c>
      <c r="J830" s="4">
        <v>35.700000000000003</v>
      </c>
      <c r="K830" s="4">
        <v>1.77</v>
      </c>
      <c r="L830" s="4">
        <v>37.5</v>
      </c>
      <c r="M830" s="4">
        <v>145</v>
      </c>
      <c r="N830" s="4">
        <v>23.875</v>
      </c>
      <c r="O830" s="4">
        <v>5.5000000000000009</v>
      </c>
      <c r="P830" s="4">
        <v>43.250000000000007</v>
      </c>
      <c r="Q830" s="4">
        <v>66</v>
      </c>
      <c r="R830" s="4">
        <v>145</v>
      </c>
      <c r="S830" s="4" t="str" cm="1">
        <f t="array" ref="S830">_xlfn.IFS($R830&lt;=50,"Good",$R830&lt;=100,"Moderate",$R830&lt;=200,"Poor",$R830&lt;=300,"Very Poor",$R830&lt;=500,"Hazardous")</f>
        <v>Poor</v>
      </c>
      <c r="T830" t="s">
        <v>28</v>
      </c>
      <c r="X830" s="2"/>
      <c r="Y830" s="2"/>
    </row>
    <row r="831" spans="1:25" x14ac:dyDescent="0.3">
      <c r="A831" s="2">
        <v>45457</v>
      </c>
      <c r="B831" t="s">
        <v>24</v>
      </c>
      <c r="C831" s="4">
        <v>52</v>
      </c>
      <c r="D831" s="4">
        <v>43.2</v>
      </c>
      <c r="E831" s="4">
        <v>19.3</v>
      </c>
      <c r="F831" s="4">
        <v>16.329999999999998</v>
      </c>
      <c r="G831" s="4">
        <v>20.3</v>
      </c>
      <c r="H831" s="4">
        <v>0.89</v>
      </c>
      <c r="I831" s="4">
        <v>22.4</v>
      </c>
      <c r="J831" s="4">
        <v>52.4</v>
      </c>
      <c r="K831" s="4">
        <v>3.75</v>
      </c>
      <c r="L831" s="4">
        <v>86.666666666666671</v>
      </c>
      <c r="M831" s="4">
        <v>43.2</v>
      </c>
      <c r="N831" s="4">
        <v>24.125</v>
      </c>
      <c r="O831" s="4">
        <v>40.825000000000003</v>
      </c>
      <c r="P831" s="4">
        <v>50.75</v>
      </c>
      <c r="Q831" s="4">
        <v>44.5</v>
      </c>
      <c r="R831" s="4">
        <v>87</v>
      </c>
      <c r="S831" s="4" t="str" cm="1">
        <f t="array" ref="S831">_xlfn.IFS($R831&lt;=50,"Good",$R831&lt;=100,"Moderate",$R831&lt;=200,"Poor",$R831&lt;=300,"Very Poor",$R831&lt;=500,"Hazardous")</f>
        <v>Moderate</v>
      </c>
      <c r="T831" t="s">
        <v>25</v>
      </c>
      <c r="X831" s="2"/>
      <c r="Y831" s="2"/>
    </row>
    <row r="832" spans="1:25" x14ac:dyDescent="0.3">
      <c r="A832" s="2">
        <v>45458</v>
      </c>
      <c r="B832" t="s">
        <v>20</v>
      </c>
      <c r="C832" s="4">
        <v>81.400000000000006</v>
      </c>
      <c r="D832" s="4">
        <v>93.5</v>
      </c>
      <c r="E832" s="4">
        <v>18.600000000000001</v>
      </c>
      <c r="F832" s="4">
        <v>13.22</v>
      </c>
      <c r="G832" s="4">
        <v>43.3</v>
      </c>
      <c r="H832" s="4">
        <v>2.06</v>
      </c>
      <c r="I832" s="4">
        <v>9.3000000000000007</v>
      </c>
      <c r="J832" s="4">
        <v>63.5</v>
      </c>
      <c r="K832" s="4">
        <v>4.8</v>
      </c>
      <c r="L832" s="4">
        <v>135.66666666666671</v>
      </c>
      <c r="M832" s="4">
        <v>93.5</v>
      </c>
      <c r="N832" s="4">
        <v>23.25</v>
      </c>
      <c r="O832" s="4">
        <v>33.049999999999997</v>
      </c>
      <c r="P832" s="4">
        <v>108.25</v>
      </c>
      <c r="Q832" s="4">
        <v>103</v>
      </c>
      <c r="R832" s="4">
        <v>136</v>
      </c>
      <c r="S832" s="4" t="str" cm="1">
        <f t="array" ref="S832">_xlfn.IFS($R832&lt;=50,"Good",$R832&lt;=100,"Moderate",$R832&lt;=200,"Poor",$R832&lt;=300,"Very Poor",$R832&lt;=500,"Hazardous")</f>
        <v>Poor</v>
      </c>
      <c r="T832" t="s">
        <v>25</v>
      </c>
      <c r="X832" s="2"/>
      <c r="Y832" s="2"/>
    </row>
    <row r="833" spans="1:25" x14ac:dyDescent="0.3">
      <c r="A833" s="2">
        <v>45458</v>
      </c>
      <c r="B833" t="s">
        <v>21</v>
      </c>
      <c r="C833" s="4">
        <v>49.4</v>
      </c>
      <c r="D833" s="4">
        <v>106.5</v>
      </c>
      <c r="E833" s="4">
        <v>50.9</v>
      </c>
      <c r="F833" s="4">
        <v>5.21</v>
      </c>
      <c r="G833" s="4">
        <v>40.200000000000003</v>
      </c>
      <c r="H833" s="4">
        <v>1</v>
      </c>
      <c r="I833" s="4">
        <v>20.6</v>
      </c>
      <c r="J833" s="4">
        <v>82.1</v>
      </c>
      <c r="K833" s="4">
        <v>3.05</v>
      </c>
      <c r="L833" s="4">
        <v>82.333333333333329</v>
      </c>
      <c r="M833" s="4">
        <v>106.5</v>
      </c>
      <c r="N833" s="4">
        <v>63.625</v>
      </c>
      <c r="O833" s="4">
        <v>13.025</v>
      </c>
      <c r="P833" s="4">
        <v>100.5</v>
      </c>
      <c r="Q833" s="4">
        <v>50</v>
      </c>
      <c r="R833" s="4">
        <v>106</v>
      </c>
      <c r="S833" s="4" t="str" cm="1">
        <f t="array" ref="S833">_xlfn.IFS($R833&lt;=50,"Good",$R833&lt;=100,"Moderate",$R833&lt;=200,"Poor",$R833&lt;=300,"Very Poor",$R833&lt;=500,"Hazardous")</f>
        <v>Poor</v>
      </c>
      <c r="T833" t="s">
        <v>28</v>
      </c>
      <c r="X833" s="2"/>
      <c r="Y833" s="2"/>
    </row>
    <row r="834" spans="1:25" x14ac:dyDescent="0.3">
      <c r="A834" s="2">
        <v>45458</v>
      </c>
      <c r="B834" t="s">
        <v>22</v>
      </c>
      <c r="C834" s="4">
        <v>51.3</v>
      </c>
      <c r="D834" s="4">
        <v>128.1</v>
      </c>
      <c r="E834" s="4">
        <v>30.2</v>
      </c>
      <c r="F834" s="4">
        <v>3.14</v>
      </c>
      <c r="G834" s="4">
        <v>23.7</v>
      </c>
      <c r="H834" s="4">
        <v>0.91</v>
      </c>
      <c r="I834" s="4">
        <v>17.600000000000001</v>
      </c>
      <c r="J834" s="4">
        <v>51</v>
      </c>
      <c r="K834" s="4">
        <v>1.88</v>
      </c>
      <c r="L834" s="4">
        <v>85.499999999999986</v>
      </c>
      <c r="M834" s="4">
        <v>128.1</v>
      </c>
      <c r="N834" s="4">
        <v>37.75</v>
      </c>
      <c r="O834" s="4">
        <v>7.8500000000000014</v>
      </c>
      <c r="P834" s="4">
        <v>59.25</v>
      </c>
      <c r="Q834" s="4">
        <v>45.5</v>
      </c>
      <c r="R834" s="4">
        <v>128</v>
      </c>
      <c r="S834" s="4" t="str" cm="1">
        <f t="array" ref="S834">_xlfn.IFS($R834&lt;=50,"Good",$R834&lt;=100,"Moderate",$R834&lt;=200,"Poor",$R834&lt;=300,"Very Poor",$R834&lt;=500,"Hazardous")</f>
        <v>Poor</v>
      </c>
      <c r="T834" t="s">
        <v>28</v>
      </c>
      <c r="X834" s="2"/>
      <c r="Y834" s="2"/>
    </row>
    <row r="835" spans="1:25" x14ac:dyDescent="0.3">
      <c r="A835" s="2">
        <v>45458</v>
      </c>
      <c r="B835" t="s">
        <v>23</v>
      </c>
      <c r="C835" s="4">
        <v>99</v>
      </c>
      <c r="D835" s="4">
        <v>5</v>
      </c>
      <c r="E835" s="4">
        <v>33.1</v>
      </c>
      <c r="F835" s="4">
        <v>13.3</v>
      </c>
      <c r="G835" s="4">
        <v>43</v>
      </c>
      <c r="H835" s="4">
        <v>1.32</v>
      </c>
      <c r="I835" s="4">
        <v>25.7</v>
      </c>
      <c r="J835" s="4">
        <v>48</v>
      </c>
      <c r="K835" s="4">
        <v>0.2</v>
      </c>
      <c r="L835" s="4">
        <v>165</v>
      </c>
      <c r="M835" s="4">
        <v>5</v>
      </c>
      <c r="N835" s="4">
        <v>41.375</v>
      </c>
      <c r="O835" s="4">
        <v>33.25</v>
      </c>
      <c r="P835" s="4">
        <v>107.5</v>
      </c>
      <c r="Q835" s="4">
        <v>66</v>
      </c>
      <c r="R835" s="4">
        <v>165</v>
      </c>
      <c r="S835" s="4" t="str" cm="1">
        <f t="array" ref="S835">_xlfn.IFS($R835&lt;=50,"Good",$R835&lt;=100,"Moderate",$R835&lt;=200,"Poor",$R835&lt;=300,"Very Poor",$R835&lt;=500,"Hazardous")</f>
        <v>Poor</v>
      </c>
      <c r="T835" t="s">
        <v>25</v>
      </c>
      <c r="X835" s="2"/>
      <c r="Y835" s="2"/>
    </row>
    <row r="836" spans="1:25" x14ac:dyDescent="0.3">
      <c r="A836" s="2">
        <v>45458</v>
      </c>
      <c r="B836" t="s">
        <v>24</v>
      </c>
      <c r="C836" s="4">
        <v>58.2</v>
      </c>
      <c r="D836" s="4">
        <v>64.599999999999994</v>
      </c>
      <c r="E836" s="4">
        <v>25.5</v>
      </c>
      <c r="F836" s="4">
        <v>4.84</v>
      </c>
      <c r="G836" s="4">
        <v>92</v>
      </c>
      <c r="H836" s="4">
        <v>2.33</v>
      </c>
      <c r="I836" s="4">
        <v>26.5</v>
      </c>
      <c r="J836" s="4">
        <v>51.6</v>
      </c>
      <c r="K836" s="4">
        <v>1.59</v>
      </c>
      <c r="L836" s="4">
        <v>97</v>
      </c>
      <c r="M836" s="4">
        <v>64.599999999999994</v>
      </c>
      <c r="N836" s="4">
        <v>31.875</v>
      </c>
      <c r="O836" s="4">
        <v>12.1</v>
      </c>
      <c r="P836" s="4">
        <v>230</v>
      </c>
      <c r="Q836" s="4">
        <v>116.5</v>
      </c>
      <c r="R836" s="4">
        <v>230</v>
      </c>
      <c r="S836" s="4" t="str" cm="1">
        <f t="array" ref="S836">_xlfn.IFS($R836&lt;=50,"Good",$R836&lt;=100,"Moderate",$R836&lt;=200,"Poor",$R836&lt;=300,"Very Poor",$R836&lt;=500,"Hazardous")</f>
        <v>Very Poor</v>
      </c>
      <c r="T836" t="s">
        <v>27</v>
      </c>
      <c r="X836" s="2"/>
      <c r="Y836" s="2"/>
    </row>
    <row r="837" spans="1:25" x14ac:dyDescent="0.3">
      <c r="A837" s="2">
        <v>45459</v>
      </c>
      <c r="B837" t="s">
        <v>20</v>
      </c>
      <c r="C837" s="4">
        <v>68.099999999999994</v>
      </c>
      <c r="D837" s="4">
        <v>208.8</v>
      </c>
      <c r="E837" s="4">
        <v>36.799999999999997</v>
      </c>
      <c r="F837" s="4">
        <v>0.5</v>
      </c>
      <c r="G837" s="4">
        <v>65.3</v>
      </c>
      <c r="H837" s="4">
        <v>1.65</v>
      </c>
      <c r="I837" s="4">
        <v>13.9</v>
      </c>
      <c r="J837" s="4">
        <v>63.2</v>
      </c>
      <c r="K837" s="4">
        <v>3.04</v>
      </c>
      <c r="L837" s="4">
        <v>113.5</v>
      </c>
      <c r="M837" s="4">
        <v>208.8</v>
      </c>
      <c r="N837" s="4">
        <v>46</v>
      </c>
      <c r="O837" s="4">
        <v>1.25</v>
      </c>
      <c r="P837" s="4">
        <v>163.25</v>
      </c>
      <c r="Q837" s="4">
        <v>82.499999999999986</v>
      </c>
      <c r="R837" s="4">
        <v>209</v>
      </c>
      <c r="S837" s="4" t="str" cm="1">
        <f t="array" ref="S837">_xlfn.IFS($R837&lt;=50,"Good",$R837&lt;=100,"Moderate",$R837&lt;=200,"Poor",$R837&lt;=300,"Very Poor",$R837&lt;=500,"Hazardous")</f>
        <v>Very Poor</v>
      </c>
      <c r="T837" t="s">
        <v>28</v>
      </c>
      <c r="X837" s="2"/>
      <c r="Y837" s="2"/>
    </row>
    <row r="838" spans="1:25" x14ac:dyDescent="0.3">
      <c r="A838" s="2">
        <v>45459</v>
      </c>
      <c r="B838" t="s">
        <v>21</v>
      </c>
      <c r="C838" s="4">
        <v>57.8</v>
      </c>
      <c r="D838" s="4">
        <v>72.599999999999994</v>
      </c>
      <c r="E838" s="4">
        <v>65.3</v>
      </c>
      <c r="F838" s="4">
        <v>5.98</v>
      </c>
      <c r="G838" s="4">
        <v>3.6</v>
      </c>
      <c r="H838" s="4">
        <v>0.05</v>
      </c>
      <c r="I838" s="4">
        <v>33.799999999999997</v>
      </c>
      <c r="J838" s="4">
        <v>71.099999999999994</v>
      </c>
      <c r="K838" s="4">
        <v>2.61</v>
      </c>
      <c r="L838" s="4">
        <v>96.333333333333329</v>
      </c>
      <c r="M838" s="4">
        <v>72.599999999999994</v>
      </c>
      <c r="N838" s="4">
        <v>81.625</v>
      </c>
      <c r="O838" s="4">
        <v>14.95</v>
      </c>
      <c r="P838" s="4">
        <v>9.0000000000000018</v>
      </c>
      <c r="Q838" s="4">
        <v>2.5</v>
      </c>
      <c r="R838" s="4">
        <v>96</v>
      </c>
      <c r="S838" s="4" t="str" cm="1">
        <f t="array" ref="S838">_xlfn.IFS($R838&lt;=50,"Good",$R838&lt;=100,"Moderate",$R838&lt;=200,"Poor",$R838&lt;=300,"Very Poor",$R838&lt;=500,"Hazardous")</f>
        <v>Moderate</v>
      </c>
      <c r="T838" t="s">
        <v>25</v>
      </c>
      <c r="X838" s="2"/>
      <c r="Y838" s="2"/>
    </row>
    <row r="839" spans="1:25" x14ac:dyDescent="0.3">
      <c r="A839" s="2">
        <v>45459</v>
      </c>
      <c r="B839" t="s">
        <v>22</v>
      </c>
      <c r="C839" s="4">
        <v>35.6</v>
      </c>
      <c r="D839" s="4">
        <v>67.099999999999994</v>
      </c>
      <c r="E839" s="4">
        <v>17.8</v>
      </c>
      <c r="F839" s="4">
        <v>4.4400000000000004</v>
      </c>
      <c r="G839" s="4">
        <v>1</v>
      </c>
      <c r="H839" s="4">
        <v>0.57999999999999996</v>
      </c>
      <c r="I839" s="4">
        <v>22.8</v>
      </c>
      <c r="J839" s="4">
        <v>71</v>
      </c>
      <c r="K839" s="4">
        <v>2.4500000000000002</v>
      </c>
      <c r="L839" s="4">
        <v>59.333333333333343</v>
      </c>
      <c r="M839" s="4">
        <v>67.099999999999994</v>
      </c>
      <c r="N839" s="4">
        <v>22.25</v>
      </c>
      <c r="O839" s="4">
        <v>11.1</v>
      </c>
      <c r="P839" s="4">
        <v>2.5</v>
      </c>
      <c r="Q839" s="4">
        <v>29</v>
      </c>
      <c r="R839" s="4">
        <v>67</v>
      </c>
      <c r="S839" s="4" t="str" cm="1">
        <f t="array" ref="S839">_xlfn.IFS($R839&lt;=50,"Good",$R839&lt;=100,"Moderate",$R839&lt;=200,"Poor",$R839&lt;=300,"Very Poor",$R839&lt;=500,"Hazardous")</f>
        <v>Moderate</v>
      </c>
      <c r="T839" t="s">
        <v>28</v>
      </c>
      <c r="X839" s="2"/>
      <c r="Y839" s="2"/>
    </row>
    <row r="840" spans="1:25" x14ac:dyDescent="0.3">
      <c r="A840" s="2">
        <v>45459</v>
      </c>
      <c r="B840" t="s">
        <v>23</v>
      </c>
      <c r="C840" s="4">
        <v>67.099999999999994</v>
      </c>
      <c r="D840" s="4">
        <v>160.80000000000001</v>
      </c>
      <c r="E840" s="4">
        <v>52.9</v>
      </c>
      <c r="F840" s="4">
        <v>8.2799999999999994</v>
      </c>
      <c r="G840" s="4">
        <v>40.299999999999997</v>
      </c>
      <c r="H840" s="4">
        <v>0.49</v>
      </c>
      <c r="I840" s="4">
        <v>30.2</v>
      </c>
      <c r="J840" s="4">
        <v>90.2</v>
      </c>
      <c r="K840" s="4">
        <v>2.91</v>
      </c>
      <c r="L840" s="4">
        <v>111.8333333333333</v>
      </c>
      <c r="M840" s="4">
        <v>160.80000000000001</v>
      </c>
      <c r="N840" s="4">
        <v>66.125</v>
      </c>
      <c r="O840" s="4">
        <v>20.7</v>
      </c>
      <c r="P840" s="4">
        <v>100.75</v>
      </c>
      <c r="Q840" s="4">
        <v>24.5</v>
      </c>
      <c r="R840" s="4">
        <v>161</v>
      </c>
      <c r="S840" s="4" t="str" cm="1">
        <f t="array" ref="S840">_xlfn.IFS($R840&lt;=50,"Good",$R840&lt;=100,"Moderate",$R840&lt;=200,"Poor",$R840&lt;=300,"Very Poor",$R840&lt;=500,"Hazardous")</f>
        <v>Poor</v>
      </c>
      <c r="T840" t="s">
        <v>28</v>
      </c>
      <c r="X840" s="2"/>
      <c r="Y840" s="2"/>
    </row>
    <row r="841" spans="1:25" x14ac:dyDescent="0.3">
      <c r="A841" s="2">
        <v>45459</v>
      </c>
      <c r="B841" t="s">
        <v>24</v>
      </c>
      <c r="C841" s="4">
        <v>103.4</v>
      </c>
      <c r="D841" s="4">
        <v>25</v>
      </c>
      <c r="E841" s="4">
        <v>19.3</v>
      </c>
      <c r="F841" s="4">
        <v>10.8</v>
      </c>
      <c r="G841" s="4">
        <v>51.3</v>
      </c>
      <c r="H841" s="4">
        <v>1.75</v>
      </c>
      <c r="I841" s="4">
        <v>24.9</v>
      </c>
      <c r="J841" s="4">
        <v>44.4</v>
      </c>
      <c r="K841" s="4">
        <v>2.74</v>
      </c>
      <c r="L841" s="4">
        <v>172.33333333333329</v>
      </c>
      <c r="M841" s="4">
        <v>25</v>
      </c>
      <c r="N841" s="4">
        <v>24.125</v>
      </c>
      <c r="O841" s="4">
        <v>27</v>
      </c>
      <c r="P841" s="4">
        <v>128.25</v>
      </c>
      <c r="Q841" s="4">
        <v>87.5</v>
      </c>
      <c r="R841" s="4">
        <v>172</v>
      </c>
      <c r="S841" s="4" t="str" cm="1">
        <f t="array" ref="S841">_xlfn.IFS($R841&lt;=50,"Good",$R841&lt;=100,"Moderate",$R841&lt;=200,"Poor",$R841&lt;=300,"Very Poor",$R841&lt;=500,"Hazardous")</f>
        <v>Poor</v>
      </c>
      <c r="T841" t="s">
        <v>25</v>
      </c>
      <c r="X841" s="2"/>
      <c r="Y841" s="2"/>
    </row>
    <row r="842" spans="1:25" x14ac:dyDescent="0.3">
      <c r="A842" s="2">
        <v>45460</v>
      </c>
      <c r="B842" t="s">
        <v>20</v>
      </c>
      <c r="C842" s="4">
        <v>12.9</v>
      </c>
      <c r="D842" s="4">
        <v>48.1</v>
      </c>
      <c r="E842" s="4">
        <v>59.3</v>
      </c>
      <c r="F842" s="4">
        <v>11.37</v>
      </c>
      <c r="G842" s="4">
        <v>56.4</v>
      </c>
      <c r="H842" s="4">
        <v>0.15</v>
      </c>
      <c r="I842" s="4">
        <v>22.5</v>
      </c>
      <c r="J842" s="4">
        <v>38</v>
      </c>
      <c r="K842" s="4">
        <v>3.91</v>
      </c>
      <c r="L842" s="4">
        <v>21.5</v>
      </c>
      <c r="M842" s="4">
        <v>48.1</v>
      </c>
      <c r="N842" s="4">
        <v>74.125</v>
      </c>
      <c r="O842" s="4">
        <v>28.425000000000001</v>
      </c>
      <c r="P842" s="4">
        <v>141</v>
      </c>
      <c r="Q842" s="4">
        <v>7.5</v>
      </c>
      <c r="R842" s="4">
        <v>141</v>
      </c>
      <c r="S842" s="4" t="str" cm="1">
        <f t="array" ref="S842">_xlfn.IFS($R842&lt;=50,"Good",$R842&lt;=100,"Moderate",$R842&lt;=200,"Poor",$R842&lt;=300,"Very Poor",$R842&lt;=500,"Hazardous")</f>
        <v>Poor</v>
      </c>
      <c r="T842" t="s">
        <v>27</v>
      </c>
      <c r="X842" s="2"/>
      <c r="Y842" s="2"/>
    </row>
    <row r="843" spans="1:25" x14ac:dyDescent="0.3">
      <c r="A843" s="2">
        <v>45460</v>
      </c>
      <c r="B843" t="s">
        <v>21</v>
      </c>
      <c r="C843" s="4">
        <v>42.5</v>
      </c>
      <c r="D843" s="4">
        <v>54.9</v>
      </c>
      <c r="E843" s="4">
        <v>45.6</v>
      </c>
      <c r="F843" s="4">
        <v>4.8</v>
      </c>
      <c r="G843" s="4">
        <v>96.4</v>
      </c>
      <c r="H843" s="4">
        <v>0.76</v>
      </c>
      <c r="I843" s="4">
        <v>15.2</v>
      </c>
      <c r="J843" s="4">
        <v>21.2</v>
      </c>
      <c r="K843" s="4">
        <v>2.46</v>
      </c>
      <c r="L843" s="4">
        <v>70.833333333333329</v>
      </c>
      <c r="M843" s="4">
        <v>54.9</v>
      </c>
      <c r="N843" s="4">
        <v>57</v>
      </c>
      <c r="O843" s="4">
        <v>12</v>
      </c>
      <c r="P843" s="4">
        <v>241</v>
      </c>
      <c r="Q843" s="4">
        <v>38</v>
      </c>
      <c r="R843" s="4">
        <v>241</v>
      </c>
      <c r="S843" s="4" t="str" cm="1">
        <f t="array" ref="S843">_xlfn.IFS($R843&lt;=50,"Good",$R843&lt;=100,"Moderate",$R843&lt;=200,"Poor",$R843&lt;=300,"Very Poor",$R843&lt;=500,"Hazardous")</f>
        <v>Very Poor</v>
      </c>
      <c r="T843" t="s">
        <v>27</v>
      </c>
      <c r="X843" s="2"/>
      <c r="Y843" s="2"/>
    </row>
    <row r="844" spans="1:25" x14ac:dyDescent="0.3">
      <c r="A844" s="2">
        <v>45460</v>
      </c>
      <c r="B844" t="s">
        <v>22</v>
      </c>
      <c r="C844" s="4">
        <v>32.799999999999997</v>
      </c>
      <c r="D844" s="4">
        <v>26</v>
      </c>
      <c r="E844" s="4">
        <v>52.3</v>
      </c>
      <c r="F844" s="4">
        <v>8.6199999999999992</v>
      </c>
      <c r="G844" s="4">
        <v>37.299999999999997</v>
      </c>
      <c r="H844" s="4">
        <v>1.53</v>
      </c>
      <c r="I844" s="4">
        <v>29.6</v>
      </c>
      <c r="J844" s="4">
        <v>45.2</v>
      </c>
      <c r="K844" s="4">
        <v>1.25</v>
      </c>
      <c r="L844" s="4">
        <v>54.666666666666657</v>
      </c>
      <c r="M844" s="4">
        <v>26</v>
      </c>
      <c r="N844" s="4">
        <v>65.375</v>
      </c>
      <c r="O844" s="4">
        <v>21.55</v>
      </c>
      <c r="P844" s="4">
        <v>93.25</v>
      </c>
      <c r="Q844" s="4">
        <v>76.5</v>
      </c>
      <c r="R844" s="4">
        <v>93</v>
      </c>
      <c r="S844" s="4" t="str" cm="1">
        <f t="array" ref="S844">_xlfn.IFS($R844&lt;=50,"Good",$R844&lt;=100,"Moderate",$R844&lt;=200,"Poor",$R844&lt;=300,"Very Poor",$R844&lt;=500,"Hazardous")</f>
        <v>Moderate</v>
      </c>
      <c r="T844" t="s">
        <v>27</v>
      </c>
      <c r="X844" s="2"/>
      <c r="Y844" s="2"/>
    </row>
    <row r="845" spans="1:25" x14ac:dyDescent="0.3">
      <c r="A845" s="2">
        <v>45460</v>
      </c>
      <c r="B845" t="s">
        <v>23</v>
      </c>
      <c r="C845" s="4">
        <v>67.599999999999994</v>
      </c>
      <c r="D845" s="4">
        <v>115</v>
      </c>
      <c r="E845" s="4">
        <v>38.700000000000003</v>
      </c>
      <c r="F845" s="4">
        <v>3.01</v>
      </c>
      <c r="G845" s="4">
        <v>55.2</v>
      </c>
      <c r="H845" s="4">
        <v>0.6</v>
      </c>
      <c r="I845" s="4">
        <v>24.3</v>
      </c>
      <c r="J845" s="4">
        <v>86</v>
      </c>
      <c r="K845" s="4">
        <v>1.71</v>
      </c>
      <c r="L845" s="4">
        <v>112.6666666666667</v>
      </c>
      <c r="M845" s="4">
        <v>115</v>
      </c>
      <c r="N845" s="4">
        <v>48.375</v>
      </c>
      <c r="O845" s="4">
        <v>7.5249999999999986</v>
      </c>
      <c r="P845" s="4">
        <v>138</v>
      </c>
      <c r="Q845" s="4">
        <v>30</v>
      </c>
      <c r="R845" s="4">
        <v>138</v>
      </c>
      <c r="S845" s="4" t="str" cm="1">
        <f t="array" ref="S845">_xlfn.IFS($R845&lt;=50,"Good",$R845&lt;=100,"Moderate",$R845&lt;=200,"Poor",$R845&lt;=300,"Very Poor",$R845&lt;=500,"Hazardous")</f>
        <v>Poor</v>
      </c>
      <c r="T845" t="s">
        <v>27</v>
      </c>
      <c r="X845" s="2"/>
      <c r="Y845" s="2"/>
    </row>
    <row r="846" spans="1:25" x14ac:dyDescent="0.3">
      <c r="A846" s="2">
        <v>45460</v>
      </c>
      <c r="B846" t="s">
        <v>24</v>
      </c>
      <c r="C846" s="4">
        <v>11.3</v>
      </c>
      <c r="D846" s="4">
        <v>50</v>
      </c>
      <c r="E846" s="4">
        <v>57.1</v>
      </c>
      <c r="F846" s="4">
        <v>8.16</v>
      </c>
      <c r="G846" s="4">
        <v>40.5</v>
      </c>
      <c r="H846" s="4">
        <v>0.79</v>
      </c>
      <c r="I846" s="4">
        <v>28.4</v>
      </c>
      <c r="J846" s="4">
        <v>44.7</v>
      </c>
      <c r="K846" s="4">
        <v>3.37</v>
      </c>
      <c r="L846" s="4">
        <v>18.833333333333329</v>
      </c>
      <c r="M846" s="4">
        <v>50</v>
      </c>
      <c r="N846" s="4">
        <v>71.375000000000014</v>
      </c>
      <c r="O846" s="4">
        <v>20.399999999999999</v>
      </c>
      <c r="P846" s="4">
        <v>101.25</v>
      </c>
      <c r="Q846" s="4">
        <v>39.5</v>
      </c>
      <c r="R846" s="4">
        <v>101</v>
      </c>
      <c r="S846" s="4" t="str" cm="1">
        <f t="array" ref="S846">_xlfn.IFS($R846&lt;=50,"Good",$R846&lt;=100,"Moderate",$R846&lt;=200,"Poor",$R846&lt;=300,"Very Poor",$R846&lt;=500,"Hazardous")</f>
        <v>Poor</v>
      </c>
      <c r="T846" t="s">
        <v>27</v>
      </c>
      <c r="X846" s="2"/>
      <c r="Y846" s="2"/>
    </row>
    <row r="847" spans="1:25" x14ac:dyDescent="0.3">
      <c r="A847" s="2">
        <v>45461</v>
      </c>
      <c r="B847" t="s">
        <v>20</v>
      </c>
      <c r="C847" s="4">
        <v>35</v>
      </c>
      <c r="D847" s="4">
        <v>60.8</v>
      </c>
      <c r="E847" s="4">
        <v>29.7</v>
      </c>
      <c r="F847" s="4">
        <v>5.63</v>
      </c>
      <c r="G847" s="4">
        <v>44.6</v>
      </c>
      <c r="H847" s="4">
        <v>1.23</v>
      </c>
      <c r="I847" s="4">
        <v>-0.8</v>
      </c>
      <c r="J847" s="4">
        <v>45.5</v>
      </c>
      <c r="K847" s="4">
        <v>2.0299999999999998</v>
      </c>
      <c r="L847" s="4">
        <v>58.333333333333343</v>
      </c>
      <c r="M847" s="4">
        <v>60.8</v>
      </c>
      <c r="N847" s="4">
        <v>37.125</v>
      </c>
      <c r="O847" s="4">
        <v>14.074999999999999</v>
      </c>
      <c r="P847" s="4">
        <v>111.5</v>
      </c>
      <c r="Q847" s="4">
        <v>61.5</v>
      </c>
      <c r="R847" s="4">
        <v>112</v>
      </c>
      <c r="S847" s="4" t="str" cm="1">
        <f t="array" ref="S847">_xlfn.IFS($R847&lt;=50,"Good",$R847&lt;=100,"Moderate",$R847&lt;=200,"Poor",$R847&lt;=300,"Very Poor",$R847&lt;=500,"Hazardous")</f>
        <v>Poor</v>
      </c>
      <c r="T847" t="s">
        <v>27</v>
      </c>
      <c r="X847" s="2"/>
      <c r="Y847" s="2"/>
    </row>
    <row r="848" spans="1:25" x14ac:dyDescent="0.3">
      <c r="A848" s="2">
        <v>45461</v>
      </c>
      <c r="B848" t="s">
        <v>21</v>
      </c>
      <c r="C848" s="4">
        <v>105.2</v>
      </c>
      <c r="D848" s="4">
        <v>55.2</v>
      </c>
      <c r="E848" s="4">
        <v>48.3</v>
      </c>
      <c r="F848" s="4">
        <v>15.48</v>
      </c>
      <c r="G848" s="4">
        <v>9</v>
      </c>
      <c r="H848" s="4">
        <v>1.44</v>
      </c>
      <c r="I848" s="4">
        <v>19.399999999999999</v>
      </c>
      <c r="J848" s="4">
        <v>50.9</v>
      </c>
      <c r="K848" s="4">
        <v>1.54</v>
      </c>
      <c r="L848" s="4">
        <v>175.33333333333329</v>
      </c>
      <c r="M848" s="4">
        <v>55.2</v>
      </c>
      <c r="N848" s="4">
        <v>60.375</v>
      </c>
      <c r="O848" s="4">
        <v>38.700000000000003</v>
      </c>
      <c r="P848" s="4">
        <v>22.5</v>
      </c>
      <c r="Q848" s="4">
        <v>72</v>
      </c>
      <c r="R848" s="4">
        <v>175</v>
      </c>
      <c r="S848" s="4" t="str" cm="1">
        <f t="array" ref="S848">_xlfn.IFS($R848&lt;=50,"Good",$R848&lt;=100,"Moderate",$R848&lt;=200,"Poor",$R848&lt;=300,"Very Poor",$R848&lt;=500,"Hazardous")</f>
        <v>Poor</v>
      </c>
      <c r="T848" t="s">
        <v>25</v>
      </c>
      <c r="X848" s="2"/>
      <c r="Y848" s="2"/>
    </row>
    <row r="849" spans="1:25" x14ac:dyDescent="0.3">
      <c r="A849" s="2">
        <v>45461</v>
      </c>
      <c r="B849" t="s">
        <v>22</v>
      </c>
      <c r="C849" s="4">
        <v>28.9</v>
      </c>
      <c r="D849" s="4">
        <v>215.3</v>
      </c>
      <c r="E849" s="4">
        <v>47</v>
      </c>
      <c r="F849" s="4">
        <v>10.27</v>
      </c>
      <c r="G849" s="4">
        <v>49.7</v>
      </c>
      <c r="H849" s="4">
        <v>0.18</v>
      </c>
      <c r="I849" s="4">
        <v>27.8</v>
      </c>
      <c r="J849" s="4">
        <v>79.3</v>
      </c>
      <c r="K849" s="4">
        <v>1.48</v>
      </c>
      <c r="L849" s="4">
        <v>48.166666666666657</v>
      </c>
      <c r="M849" s="4">
        <v>215.3</v>
      </c>
      <c r="N849" s="4">
        <v>58.75</v>
      </c>
      <c r="O849" s="4">
        <v>25.675000000000001</v>
      </c>
      <c r="P849" s="4">
        <v>124.25</v>
      </c>
      <c r="Q849" s="4">
        <v>9</v>
      </c>
      <c r="R849" s="4">
        <v>215</v>
      </c>
      <c r="S849" s="4" t="str" cm="1">
        <f t="array" ref="S849">_xlfn.IFS($R849&lt;=50,"Good",$R849&lt;=100,"Moderate",$R849&lt;=200,"Poor",$R849&lt;=300,"Very Poor",$R849&lt;=500,"Hazardous")</f>
        <v>Very Poor</v>
      </c>
      <c r="T849" t="s">
        <v>28</v>
      </c>
      <c r="X849" s="2"/>
      <c r="Y849" s="2"/>
    </row>
    <row r="850" spans="1:25" x14ac:dyDescent="0.3">
      <c r="A850" s="2">
        <v>45461</v>
      </c>
      <c r="B850" t="s">
        <v>23</v>
      </c>
      <c r="C850" s="4">
        <v>71.2</v>
      </c>
      <c r="D850" s="4">
        <v>129.80000000000001</v>
      </c>
      <c r="E850" s="4">
        <v>65.599999999999994</v>
      </c>
      <c r="F850" s="4">
        <v>4.7300000000000004</v>
      </c>
      <c r="G850" s="4">
        <v>12.6</v>
      </c>
      <c r="H850" s="4">
        <v>0.79</v>
      </c>
      <c r="I850" s="4">
        <v>35</v>
      </c>
      <c r="J850" s="4">
        <v>27.1</v>
      </c>
      <c r="K850" s="4">
        <v>0.2</v>
      </c>
      <c r="L850" s="4">
        <v>118.6666666666667</v>
      </c>
      <c r="M850" s="4">
        <v>129.80000000000001</v>
      </c>
      <c r="N850" s="4">
        <v>81.999999999999986</v>
      </c>
      <c r="O850" s="4">
        <v>11.824999999999999</v>
      </c>
      <c r="P850" s="4">
        <v>31.5</v>
      </c>
      <c r="Q850" s="4">
        <v>39.5</v>
      </c>
      <c r="R850" s="4">
        <v>130</v>
      </c>
      <c r="S850" s="4" t="str" cm="1">
        <f t="array" ref="S850">_xlfn.IFS($R850&lt;=50,"Good",$R850&lt;=100,"Moderate",$R850&lt;=200,"Poor",$R850&lt;=300,"Very Poor",$R850&lt;=500,"Hazardous")</f>
        <v>Poor</v>
      </c>
      <c r="T850" t="s">
        <v>28</v>
      </c>
      <c r="X850" s="2"/>
      <c r="Y850" s="2"/>
    </row>
    <row r="851" spans="1:25" x14ac:dyDescent="0.3">
      <c r="A851" s="2">
        <v>45461</v>
      </c>
      <c r="B851" t="s">
        <v>24</v>
      </c>
      <c r="C851" s="4">
        <v>55.2</v>
      </c>
      <c r="D851" s="4">
        <v>82.2</v>
      </c>
      <c r="E851" s="4">
        <v>39.700000000000003</v>
      </c>
      <c r="F851" s="4">
        <v>11.2</v>
      </c>
      <c r="G851" s="4">
        <v>28.8</v>
      </c>
      <c r="H851" s="4">
        <v>7.0000000000000007E-2</v>
      </c>
      <c r="I851" s="4">
        <v>39.299999999999997</v>
      </c>
      <c r="J851" s="4">
        <v>42</v>
      </c>
      <c r="K851" s="4">
        <v>1.73</v>
      </c>
      <c r="L851" s="4">
        <v>92</v>
      </c>
      <c r="M851" s="4">
        <v>82.2</v>
      </c>
      <c r="N851" s="4">
        <v>49.625</v>
      </c>
      <c r="O851" s="4">
        <v>28</v>
      </c>
      <c r="P851" s="4">
        <v>72.000000000000014</v>
      </c>
      <c r="Q851" s="4">
        <v>3.5</v>
      </c>
      <c r="R851" s="4">
        <v>92</v>
      </c>
      <c r="S851" s="4" t="str" cm="1">
        <f t="array" ref="S851">_xlfn.IFS($R851&lt;=50,"Good",$R851&lt;=100,"Moderate",$R851&lt;=200,"Poor",$R851&lt;=300,"Very Poor",$R851&lt;=500,"Hazardous")</f>
        <v>Moderate</v>
      </c>
      <c r="T851" t="s">
        <v>25</v>
      </c>
      <c r="X851" s="2"/>
      <c r="Y851" s="2"/>
    </row>
    <row r="852" spans="1:25" x14ac:dyDescent="0.3">
      <c r="A852" s="2">
        <v>45462</v>
      </c>
      <c r="B852" t="s">
        <v>20</v>
      </c>
      <c r="C852" s="4">
        <v>85.7</v>
      </c>
      <c r="D852" s="4">
        <v>89.2</v>
      </c>
      <c r="E852" s="4">
        <v>40.200000000000003</v>
      </c>
      <c r="F852" s="4">
        <v>9.58</v>
      </c>
      <c r="G852" s="4">
        <v>77.2</v>
      </c>
      <c r="H852" s="4">
        <v>0.92</v>
      </c>
      <c r="I852" s="4">
        <v>35.6</v>
      </c>
      <c r="J852" s="4">
        <v>21.6</v>
      </c>
      <c r="K852" s="4">
        <v>3.41</v>
      </c>
      <c r="L852" s="4">
        <v>142.83333333333329</v>
      </c>
      <c r="M852" s="4">
        <v>89.2</v>
      </c>
      <c r="N852" s="4">
        <v>50.25</v>
      </c>
      <c r="O852" s="4">
        <v>23.95</v>
      </c>
      <c r="P852" s="4">
        <v>193</v>
      </c>
      <c r="Q852" s="4">
        <v>46</v>
      </c>
      <c r="R852" s="4">
        <v>193</v>
      </c>
      <c r="S852" s="4" t="str" cm="1">
        <f t="array" ref="S852">_xlfn.IFS($R852&lt;=50,"Good",$R852&lt;=100,"Moderate",$R852&lt;=200,"Poor",$R852&lt;=300,"Very Poor",$R852&lt;=500,"Hazardous")</f>
        <v>Poor</v>
      </c>
      <c r="T852" t="s">
        <v>27</v>
      </c>
      <c r="X852" s="2"/>
      <c r="Y852" s="2"/>
    </row>
    <row r="853" spans="1:25" x14ac:dyDescent="0.3">
      <c r="A853" s="2">
        <v>45462</v>
      </c>
      <c r="B853" t="s">
        <v>21</v>
      </c>
      <c r="C853" s="4">
        <v>34.799999999999997</v>
      </c>
      <c r="D853" s="4">
        <v>202.3</v>
      </c>
      <c r="E853" s="4">
        <v>47.8</v>
      </c>
      <c r="F853" s="4">
        <v>4.6399999999999997</v>
      </c>
      <c r="G853" s="4">
        <v>70.7</v>
      </c>
      <c r="H853" s="4">
        <v>1.74</v>
      </c>
      <c r="I853" s="4">
        <v>29.5</v>
      </c>
      <c r="J853" s="4">
        <v>41.5</v>
      </c>
      <c r="K853" s="4">
        <v>1.92</v>
      </c>
      <c r="L853" s="4">
        <v>57.999999999999993</v>
      </c>
      <c r="M853" s="4">
        <v>202.3</v>
      </c>
      <c r="N853" s="4">
        <v>59.75</v>
      </c>
      <c r="O853" s="4">
        <v>11.6</v>
      </c>
      <c r="P853" s="4">
        <v>176.75</v>
      </c>
      <c r="Q853" s="4">
        <v>87</v>
      </c>
      <c r="R853" s="4">
        <v>202</v>
      </c>
      <c r="S853" s="4" t="str" cm="1">
        <f t="array" ref="S853">_xlfn.IFS($R853&lt;=50,"Good",$R853&lt;=100,"Moderate",$R853&lt;=200,"Poor",$R853&lt;=300,"Very Poor",$R853&lt;=500,"Hazardous")</f>
        <v>Very Poor</v>
      </c>
      <c r="T853" t="s">
        <v>28</v>
      </c>
      <c r="X853" s="2"/>
      <c r="Y853" s="2"/>
    </row>
    <row r="854" spans="1:25" x14ac:dyDescent="0.3">
      <c r="A854" s="2">
        <v>45462</v>
      </c>
      <c r="B854" t="s">
        <v>22</v>
      </c>
      <c r="C854" s="4">
        <v>45.5</v>
      </c>
      <c r="D854" s="4">
        <v>89.3</v>
      </c>
      <c r="E854" s="4">
        <v>45.6</v>
      </c>
      <c r="F854" s="4">
        <v>0.5</v>
      </c>
      <c r="G854" s="4">
        <v>45.9</v>
      </c>
      <c r="H854" s="4">
        <v>0.78</v>
      </c>
      <c r="I854" s="4">
        <v>19.100000000000001</v>
      </c>
      <c r="J854" s="4">
        <v>46.6</v>
      </c>
      <c r="K854" s="4">
        <v>2.2400000000000002</v>
      </c>
      <c r="L854" s="4">
        <v>75.833333333333343</v>
      </c>
      <c r="M854" s="4">
        <v>89.3</v>
      </c>
      <c r="N854" s="4">
        <v>57</v>
      </c>
      <c r="O854" s="4">
        <v>1.25</v>
      </c>
      <c r="P854" s="4">
        <v>114.75</v>
      </c>
      <c r="Q854" s="4">
        <v>39</v>
      </c>
      <c r="R854" s="4">
        <v>115</v>
      </c>
      <c r="S854" s="4" t="str" cm="1">
        <f t="array" ref="S854">_xlfn.IFS($R854&lt;=50,"Good",$R854&lt;=100,"Moderate",$R854&lt;=200,"Poor",$R854&lt;=300,"Very Poor",$R854&lt;=500,"Hazardous")</f>
        <v>Poor</v>
      </c>
      <c r="T854" t="s">
        <v>27</v>
      </c>
      <c r="X854" s="2"/>
      <c r="Y854" s="2"/>
    </row>
    <row r="855" spans="1:25" x14ac:dyDescent="0.3">
      <c r="A855" s="2">
        <v>45462</v>
      </c>
      <c r="B855" t="s">
        <v>23</v>
      </c>
      <c r="C855" s="4">
        <v>2</v>
      </c>
      <c r="D855" s="4">
        <v>62.3</v>
      </c>
      <c r="E855" s="4">
        <v>22</v>
      </c>
      <c r="F855" s="4">
        <v>8.5299999999999994</v>
      </c>
      <c r="G855" s="4">
        <v>19.899999999999999</v>
      </c>
      <c r="H855" s="4">
        <v>0.86</v>
      </c>
      <c r="I855" s="4">
        <v>35.799999999999997</v>
      </c>
      <c r="J855" s="4">
        <v>77.900000000000006</v>
      </c>
      <c r="K855" s="4">
        <v>3.58</v>
      </c>
      <c r="L855" s="4">
        <v>3.333333333333333</v>
      </c>
      <c r="M855" s="4">
        <v>62.3</v>
      </c>
      <c r="N855" s="4">
        <v>27.5</v>
      </c>
      <c r="O855" s="4">
        <v>21.324999999999999</v>
      </c>
      <c r="P855" s="4">
        <v>49.749999999999993</v>
      </c>
      <c r="Q855" s="4">
        <v>43</v>
      </c>
      <c r="R855" s="4">
        <v>62</v>
      </c>
      <c r="S855" s="4" t="str" cm="1">
        <f t="array" ref="S855">_xlfn.IFS($R855&lt;=50,"Good",$R855&lt;=100,"Moderate",$R855&lt;=200,"Poor",$R855&lt;=300,"Very Poor",$R855&lt;=500,"Hazardous")</f>
        <v>Moderate</v>
      </c>
      <c r="T855" t="s">
        <v>28</v>
      </c>
      <c r="X855" s="2"/>
      <c r="Y855" s="2"/>
    </row>
    <row r="856" spans="1:25" x14ac:dyDescent="0.3">
      <c r="A856" s="2">
        <v>45462</v>
      </c>
      <c r="B856" t="s">
        <v>24</v>
      </c>
      <c r="C856" s="4">
        <v>39.6</v>
      </c>
      <c r="D856" s="4">
        <v>134.30000000000001</v>
      </c>
      <c r="E856" s="4">
        <v>35.5</v>
      </c>
      <c r="F856" s="4">
        <v>6.18</v>
      </c>
      <c r="G856" s="4">
        <v>55.3</v>
      </c>
      <c r="H856" s="4">
        <v>0.74</v>
      </c>
      <c r="I856" s="4">
        <v>35.5</v>
      </c>
      <c r="J856" s="4">
        <v>57.1</v>
      </c>
      <c r="K856" s="4">
        <v>3.74</v>
      </c>
      <c r="L856" s="4">
        <v>66</v>
      </c>
      <c r="M856" s="4">
        <v>134.30000000000001</v>
      </c>
      <c r="N856" s="4">
        <v>44.375</v>
      </c>
      <c r="O856" s="4">
        <v>15.45</v>
      </c>
      <c r="P856" s="4">
        <v>138.25</v>
      </c>
      <c r="Q856" s="4">
        <v>37</v>
      </c>
      <c r="R856" s="4">
        <v>138</v>
      </c>
      <c r="S856" s="4" t="str" cm="1">
        <f t="array" ref="S856">_xlfn.IFS($R856&lt;=50,"Good",$R856&lt;=100,"Moderate",$R856&lt;=200,"Poor",$R856&lt;=300,"Very Poor",$R856&lt;=500,"Hazardous")</f>
        <v>Poor</v>
      </c>
      <c r="T856" t="s">
        <v>27</v>
      </c>
      <c r="X856" s="2"/>
      <c r="Y856" s="2"/>
    </row>
    <row r="857" spans="1:25" x14ac:dyDescent="0.3">
      <c r="A857" s="2">
        <v>45463</v>
      </c>
      <c r="B857" t="s">
        <v>20</v>
      </c>
      <c r="C857" s="4">
        <v>95.4</v>
      </c>
      <c r="D857" s="4">
        <v>167.3</v>
      </c>
      <c r="E857" s="4">
        <v>15.5</v>
      </c>
      <c r="F857" s="4">
        <v>9.41</v>
      </c>
      <c r="G857" s="4">
        <v>70.5</v>
      </c>
      <c r="H857" s="4">
        <v>1.6</v>
      </c>
      <c r="I857" s="4">
        <v>17.2</v>
      </c>
      <c r="J857" s="4">
        <v>48.2</v>
      </c>
      <c r="K857" s="4">
        <v>3.69</v>
      </c>
      <c r="L857" s="4">
        <v>159</v>
      </c>
      <c r="M857" s="4">
        <v>167.3</v>
      </c>
      <c r="N857" s="4">
        <v>19.375</v>
      </c>
      <c r="O857" s="4">
        <v>23.524999999999999</v>
      </c>
      <c r="P857" s="4">
        <v>176.25</v>
      </c>
      <c r="Q857" s="4">
        <v>80</v>
      </c>
      <c r="R857" s="4">
        <v>176</v>
      </c>
      <c r="S857" s="4" t="str" cm="1">
        <f t="array" ref="S857">_xlfn.IFS($R857&lt;=50,"Good",$R857&lt;=100,"Moderate",$R857&lt;=200,"Poor",$R857&lt;=300,"Very Poor",$R857&lt;=500,"Hazardous")</f>
        <v>Poor</v>
      </c>
      <c r="T857" t="s">
        <v>27</v>
      </c>
      <c r="X857" s="2"/>
      <c r="Y857" s="2"/>
    </row>
    <row r="858" spans="1:25" x14ac:dyDescent="0.3">
      <c r="A858" s="2">
        <v>45463</v>
      </c>
      <c r="B858" t="s">
        <v>21</v>
      </c>
      <c r="C858" s="4">
        <v>37.1</v>
      </c>
      <c r="D858" s="4">
        <v>102</v>
      </c>
      <c r="E858" s="4">
        <v>76.5</v>
      </c>
      <c r="F858" s="4">
        <v>7.76</v>
      </c>
      <c r="G858" s="4">
        <v>27.3</v>
      </c>
      <c r="H858" s="4">
        <v>0.67</v>
      </c>
      <c r="I858" s="4">
        <v>27.3</v>
      </c>
      <c r="J858" s="4">
        <v>36</v>
      </c>
      <c r="K858" s="4">
        <v>2.2000000000000002</v>
      </c>
      <c r="L858" s="4">
        <v>61.833333333333343</v>
      </c>
      <c r="M858" s="4">
        <v>102</v>
      </c>
      <c r="N858" s="4">
        <v>95.625</v>
      </c>
      <c r="O858" s="4">
        <v>19.399999999999999</v>
      </c>
      <c r="P858" s="4">
        <v>68.25</v>
      </c>
      <c r="Q858" s="4">
        <v>33.5</v>
      </c>
      <c r="R858" s="4">
        <v>102</v>
      </c>
      <c r="S858" s="4" t="str" cm="1">
        <f t="array" ref="S858">_xlfn.IFS($R858&lt;=50,"Good",$R858&lt;=100,"Moderate",$R858&lt;=200,"Poor",$R858&lt;=300,"Very Poor",$R858&lt;=500,"Hazardous")</f>
        <v>Poor</v>
      </c>
      <c r="T858" t="s">
        <v>28</v>
      </c>
      <c r="X858" s="2"/>
      <c r="Y858" s="2"/>
    </row>
    <row r="859" spans="1:25" x14ac:dyDescent="0.3">
      <c r="A859" s="2">
        <v>45463</v>
      </c>
      <c r="B859" t="s">
        <v>22</v>
      </c>
      <c r="C859" s="4">
        <v>53.2</v>
      </c>
      <c r="D859" s="4">
        <v>150.4</v>
      </c>
      <c r="E859" s="4">
        <v>44.3</v>
      </c>
      <c r="F859" s="4">
        <v>3.37</v>
      </c>
      <c r="G859" s="4">
        <v>66</v>
      </c>
      <c r="H859" s="4">
        <v>0.78</v>
      </c>
      <c r="I859" s="4">
        <v>16.399999999999999</v>
      </c>
      <c r="J859" s="4">
        <v>56.9</v>
      </c>
      <c r="K859" s="4">
        <v>4.2300000000000004</v>
      </c>
      <c r="L859" s="4">
        <v>88.666666666666671</v>
      </c>
      <c r="M859" s="4">
        <v>150.4</v>
      </c>
      <c r="N859" s="4">
        <v>55.374999999999993</v>
      </c>
      <c r="O859" s="4">
        <v>8.4250000000000007</v>
      </c>
      <c r="P859" s="4">
        <v>165</v>
      </c>
      <c r="Q859" s="4">
        <v>39</v>
      </c>
      <c r="R859" s="4">
        <v>165</v>
      </c>
      <c r="S859" s="4" t="str" cm="1">
        <f t="array" ref="S859">_xlfn.IFS($R859&lt;=50,"Good",$R859&lt;=100,"Moderate",$R859&lt;=200,"Poor",$R859&lt;=300,"Very Poor",$R859&lt;=500,"Hazardous")</f>
        <v>Poor</v>
      </c>
      <c r="T859" t="s">
        <v>27</v>
      </c>
      <c r="X859" s="2"/>
      <c r="Y859" s="2"/>
    </row>
    <row r="860" spans="1:25" x14ac:dyDescent="0.3">
      <c r="A860" s="2">
        <v>45463</v>
      </c>
      <c r="B860" t="s">
        <v>23</v>
      </c>
      <c r="C860" s="4">
        <v>52</v>
      </c>
      <c r="D860" s="4">
        <v>96.6</v>
      </c>
      <c r="E860" s="4">
        <v>62.2</v>
      </c>
      <c r="F860" s="4">
        <v>0.67</v>
      </c>
      <c r="G860" s="4">
        <v>7.9</v>
      </c>
      <c r="H860" s="4">
        <v>0.18</v>
      </c>
      <c r="I860" s="4">
        <v>27.6</v>
      </c>
      <c r="J860" s="4">
        <v>63</v>
      </c>
      <c r="K860" s="4">
        <v>4.3499999999999996</v>
      </c>
      <c r="L860" s="4">
        <v>86.666666666666671</v>
      </c>
      <c r="M860" s="4">
        <v>96.6</v>
      </c>
      <c r="N860" s="4">
        <v>77.75</v>
      </c>
      <c r="O860" s="4">
        <v>1.675</v>
      </c>
      <c r="P860" s="4">
        <v>19.75</v>
      </c>
      <c r="Q860" s="4">
        <v>9</v>
      </c>
      <c r="R860" s="4">
        <v>97</v>
      </c>
      <c r="S860" s="4" t="str" cm="1">
        <f t="array" ref="S860">_xlfn.IFS($R860&lt;=50,"Good",$R860&lt;=100,"Moderate",$R860&lt;=200,"Poor",$R860&lt;=300,"Very Poor",$R860&lt;=500,"Hazardous")</f>
        <v>Moderate</v>
      </c>
      <c r="T860" t="s">
        <v>28</v>
      </c>
      <c r="X860" s="2"/>
      <c r="Y860" s="2"/>
    </row>
    <row r="861" spans="1:25" x14ac:dyDescent="0.3">
      <c r="A861" s="2">
        <v>45463</v>
      </c>
      <c r="B861" t="s">
        <v>24</v>
      </c>
      <c r="C861" s="4">
        <v>59.2</v>
      </c>
      <c r="D861" s="4">
        <v>84.3</v>
      </c>
      <c r="E861" s="4">
        <v>39.6</v>
      </c>
      <c r="F861" s="4">
        <v>7.56</v>
      </c>
      <c r="G861" s="4">
        <v>1</v>
      </c>
      <c r="H861" s="4">
        <v>2.4900000000000002</v>
      </c>
      <c r="I861" s="4">
        <v>28.6</v>
      </c>
      <c r="J861" s="4">
        <v>63.8</v>
      </c>
      <c r="K861" s="4">
        <v>3.74</v>
      </c>
      <c r="L861" s="4">
        <v>98.666666666666671</v>
      </c>
      <c r="M861" s="4">
        <v>84.3</v>
      </c>
      <c r="N861" s="4">
        <v>49.5</v>
      </c>
      <c r="O861" s="4">
        <v>18.899999999999999</v>
      </c>
      <c r="P861" s="4">
        <v>2.5</v>
      </c>
      <c r="Q861" s="4">
        <v>124.5</v>
      </c>
      <c r="R861" s="4">
        <v>125</v>
      </c>
      <c r="S861" s="4" t="str" cm="1">
        <f t="array" ref="S861">_xlfn.IFS($R861&lt;=50,"Good",$R861&lt;=100,"Moderate",$R861&lt;=200,"Poor",$R861&lt;=300,"Very Poor",$R861&lt;=500,"Hazardous")</f>
        <v>Poor</v>
      </c>
      <c r="T861" t="s">
        <v>29</v>
      </c>
      <c r="X861" s="2"/>
      <c r="Y861" s="2"/>
    </row>
    <row r="862" spans="1:25" x14ac:dyDescent="0.3">
      <c r="A862" s="2">
        <v>45464</v>
      </c>
      <c r="B862" t="s">
        <v>20</v>
      </c>
      <c r="C862" s="4">
        <v>74.8</v>
      </c>
      <c r="D862" s="4">
        <v>102.6</v>
      </c>
      <c r="E862" s="4">
        <v>29.8</v>
      </c>
      <c r="F862" s="4">
        <v>10.119999999999999</v>
      </c>
      <c r="G862" s="4">
        <v>57.1</v>
      </c>
      <c r="H862" s="4">
        <v>0.66</v>
      </c>
      <c r="I862" s="4">
        <v>34.9</v>
      </c>
      <c r="J862" s="4">
        <v>65.3</v>
      </c>
      <c r="K862" s="4">
        <v>3.38</v>
      </c>
      <c r="L862" s="4">
        <v>124.6666666666667</v>
      </c>
      <c r="M862" s="4">
        <v>102.6</v>
      </c>
      <c r="N862" s="4">
        <v>37.25</v>
      </c>
      <c r="O862" s="4">
        <v>25.3</v>
      </c>
      <c r="P862" s="4">
        <v>142.75</v>
      </c>
      <c r="Q862" s="4">
        <v>33</v>
      </c>
      <c r="R862" s="4">
        <v>143</v>
      </c>
      <c r="S862" s="4" t="str" cm="1">
        <f t="array" ref="S862">_xlfn.IFS($R862&lt;=50,"Good",$R862&lt;=100,"Moderate",$R862&lt;=200,"Poor",$R862&lt;=300,"Very Poor",$R862&lt;=500,"Hazardous")</f>
        <v>Poor</v>
      </c>
      <c r="T862" t="s">
        <v>27</v>
      </c>
      <c r="X862" s="2"/>
      <c r="Y862" s="2"/>
    </row>
    <row r="863" spans="1:25" x14ac:dyDescent="0.3">
      <c r="A863" s="2">
        <v>45464</v>
      </c>
      <c r="B863" t="s">
        <v>21</v>
      </c>
      <c r="C863" s="4">
        <v>101.8</v>
      </c>
      <c r="D863" s="4">
        <v>121.3</v>
      </c>
      <c r="E863" s="4">
        <v>51.3</v>
      </c>
      <c r="F863" s="4">
        <v>12.05</v>
      </c>
      <c r="G863" s="4">
        <v>27.3</v>
      </c>
      <c r="H863" s="4">
        <v>1.23</v>
      </c>
      <c r="I863" s="4">
        <v>25.9</v>
      </c>
      <c r="J863" s="4">
        <v>42.8</v>
      </c>
      <c r="K863" s="4">
        <v>5.28</v>
      </c>
      <c r="L863" s="4">
        <v>169.66666666666671</v>
      </c>
      <c r="M863" s="4">
        <v>121.3</v>
      </c>
      <c r="N863" s="4">
        <v>64.125</v>
      </c>
      <c r="O863" s="4">
        <v>30.125</v>
      </c>
      <c r="P863" s="4">
        <v>68.25</v>
      </c>
      <c r="Q863" s="4">
        <v>61.5</v>
      </c>
      <c r="R863" s="4">
        <v>170</v>
      </c>
      <c r="S863" s="4" t="str" cm="1">
        <f t="array" ref="S863">_xlfn.IFS($R863&lt;=50,"Good",$R863&lt;=100,"Moderate",$R863&lt;=200,"Poor",$R863&lt;=300,"Very Poor",$R863&lt;=500,"Hazardous")</f>
        <v>Poor</v>
      </c>
      <c r="T863" t="s">
        <v>25</v>
      </c>
      <c r="X863" s="2"/>
      <c r="Y863" s="2"/>
    </row>
    <row r="864" spans="1:25" x14ac:dyDescent="0.3">
      <c r="A864" s="2">
        <v>45464</v>
      </c>
      <c r="B864" t="s">
        <v>22</v>
      </c>
      <c r="C864" s="4">
        <v>13.5</v>
      </c>
      <c r="D864" s="4">
        <v>32</v>
      </c>
      <c r="E864" s="4">
        <v>54.2</v>
      </c>
      <c r="F864" s="4">
        <v>8.7899999999999991</v>
      </c>
      <c r="G864" s="4">
        <v>13.6</v>
      </c>
      <c r="H864" s="4">
        <v>1.19</v>
      </c>
      <c r="I864" s="4">
        <v>35.299999999999997</v>
      </c>
      <c r="J864" s="4">
        <v>59.5</v>
      </c>
      <c r="K864" s="4">
        <v>5.62</v>
      </c>
      <c r="L864" s="4">
        <v>22.5</v>
      </c>
      <c r="M864" s="4">
        <v>32</v>
      </c>
      <c r="N864" s="4">
        <v>67.75</v>
      </c>
      <c r="O864" s="4">
        <v>21.975000000000001</v>
      </c>
      <c r="P864" s="4">
        <v>34</v>
      </c>
      <c r="Q864" s="4">
        <v>59.5</v>
      </c>
      <c r="R864" s="4">
        <v>68</v>
      </c>
      <c r="S864" s="4" t="str" cm="1">
        <f t="array" ref="S864">_xlfn.IFS($R864&lt;=50,"Good",$R864&lt;=100,"Moderate",$R864&lt;=200,"Poor",$R864&lt;=300,"Very Poor",$R864&lt;=500,"Hazardous")</f>
        <v>Moderate</v>
      </c>
      <c r="T864" t="s">
        <v>26</v>
      </c>
      <c r="X864" s="2"/>
      <c r="Y864" s="2"/>
    </row>
    <row r="865" spans="1:25" x14ac:dyDescent="0.3">
      <c r="A865" s="2">
        <v>45464</v>
      </c>
      <c r="B865" t="s">
        <v>23</v>
      </c>
      <c r="C865" s="4">
        <v>6.6</v>
      </c>
      <c r="D865" s="4">
        <v>129.30000000000001</v>
      </c>
      <c r="E865" s="4">
        <v>54.7</v>
      </c>
      <c r="F865" s="4">
        <v>9.9700000000000006</v>
      </c>
      <c r="G865" s="4">
        <v>34.9</v>
      </c>
      <c r="H865" s="4">
        <v>0.82</v>
      </c>
      <c r="I865" s="4">
        <v>28.1</v>
      </c>
      <c r="J865" s="4">
        <v>74.7</v>
      </c>
      <c r="K865" s="4">
        <v>3.22</v>
      </c>
      <c r="L865" s="4">
        <v>11</v>
      </c>
      <c r="M865" s="4">
        <v>129.30000000000001</v>
      </c>
      <c r="N865" s="4">
        <v>68.375</v>
      </c>
      <c r="O865" s="4">
        <v>24.925000000000001</v>
      </c>
      <c r="P865" s="4">
        <v>87.25</v>
      </c>
      <c r="Q865" s="4">
        <v>40.999999999999993</v>
      </c>
      <c r="R865" s="4">
        <v>129</v>
      </c>
      <c r="S865" s="4" t="str" cm="1">
        <f t="array" ref="S865">_xlfn.IFS($R865&lt;=50,"Good",$R865&lt;=100,"Moderate",$R865&lt;=200,"Poor",$R865&lt;=300,"Very Poor",$R865&lt;=500,"Hazardous")</f>
        <v>Poor</v>
      </c>
      <c r="T865" t="s">
        <v>28</v>
      </c>
      <c r="X865" s="2"/>
      <c r="Y865" s="2"/>
    </row>
    <row r="866" spans="1:25" x14ac:dyDescent="0.3">
      <c r="A866" s="2">
        <v>45464</v>
      </c>
      <c r="B866" t="s">
        <v>24</v>
      </c>
      <c r="C866" s="4">
        <v>80.3</v>
      </c>
      <c r="D866" s="4">
        <v>51.8</v>
      </c>
      <c r="E866" s="4">
        <v>35.6</v>
      </c>
      <c r="F866" s="4">
        <v>2.9</v>
      </c>
      <c r="G866" s="4">
        <v>33.4</v>
      </c>
      <c r="H866" s="4">
        <v>1.59</v>
      </c>
      <c r="I866" s="4">
        <v>25.8</v>
      </c>
      <c r="J866" s="4">
        <v>100</v>
      </c>
      <c r="K866" s="4">
        <v>3.23</v>
      </c>
      <c r="L866" s="4">
        <v>133.83333333333329</v>
      </c>
      <c r="M866" s="4">
        <v>51.8</v>
      </c>
      <c r="N866" s="4">
        <v>44.500000000000007</v>
      </c>
      <c r="O866" s="4">
        <v>7.2499999999999991</v>
      </c>
      <c r="P866" s="4">
        <v>83.499999999999986</v>
      </c>
      <c r="Q866" s="4">
        <v>79.5</v>
      </c>
      <c r="R866" s="4">
        <v>134</v>
      </c>
      <c r="S866" s="4" t="str" cm="1">
        <f t="array" ref="S866">_xlfn.IFS($R866&lt;=50,"Good",$R866&lt;=100,"Moderate",$R866&lt;=200,"Poor",$R866&lt;=300,"Very Poor",$R866&lt;=500,"Hazardous")</f>
        <v>Poor</v>
      </c>
      <c r="T866" t="s">
        <v>25</v>
      </c>
      <c r="X866" s="2"/>
      <c r="Y866" s="2"/>
    </row>
    <row r="867" spans="1:25" x14ac:dyDescent="0.3">
      <c r="A867" s="2">
        <v>45465</v>
      </c>
      <c r="B867" t="s">
        <v>20</v>
      </c>
      <c r="C867" s="4">
        <v>56.8</v>
      </c>
      <c r="D867" s="4">
        <v>116.3</v>
      </c>
      <c r="E867" s="4">
        <v>29.7</v>
      </c>
      <c r="F867" s="4">
        <v>7.09</v>
      </c>
      <c r="G867" s="4">
        <v>78.400000000000006</v>
      </c>
      <c r="H867" s="4">
        <v>1.17</v>
      </c>
      <c r="I867" s="4">
        <v>19.399999999999999</v>
      </c>
      <c r="J867" s="4">
        <v>43.3</v>
      </c>
      <c r="K867" s="4">
        <v>1.96</v>
      </c>
      <c r="L867" s="4">
        <v>94.666666666666657</v>
      </c>
      <c r="M867" s="4">
        <v>116.3</v>
      </c>
      <c r="N867" s="4">
        <v>37.125</v>
      </c>
      <c r="O867" s="4">
        <v>17.725000000000001</v>
      </c>
      <c r="P867" s="4">
        <v>196</v>
      </c>
      <c r="Q867" s="4">
        <v>58.5</v>
      </c>
      <c r="R867" s="4">
        <v>196</v>
      </c>
      <c r="S867" s="4" t="str" cm="1">
        <f t="array" ref="S867">_xlfn.IFS($R867&lt;=50,"Good",$R867&lt;=100,"Moderate",$R867&lt;=200,"Poor",$R867&lt;=300,"Very Poor",$R867&lt;=500,"Hazardous")</f>
        <v>Poor</v>
      </c>
      <c r="T867" t="s">
        <v>27</v>
      </c>
      <c r="X867" s="2"/>
      <c r="Y867" s="2"/>
    </row>
    <row r="868" spans="1:25" x14ac:dyDescent="0.3">
      <c r="A868" s="2">
        <v>45465</v>
      </c>
      <c r="B868" t="s">
        <v>21</v>
      </c>
      <c r="C868" s="4">
        <v>62.2</v>
      </c>
      <c r="D868" s="4">
        <v>191.6</v>
      </c>
      <c r="E868" s="4">
        <v>18.2</v>
      </c>
      <c r="F868" s="4">
        <v>6.4</v>
      </c>
      <c r="G868" s="4">
        <v>54.5</v>
      </c>
      <c r="H868" s="4">
        <v>0.1</v>
      </c>
      <c r="I868" s="4">
        <v>19.2</v>
      </c>
      <c r="J868" s="4">
        <v>47.8</v>
      </c>
      <c r="K868" s="4">
        <v>1.54</v>
      </c>
      <c r="L868" s="4">
        <v>103.6666666666667</v>
      </c>
      <c r="M868" s="4">
        <v>191.6</v>
      </c>
      <c r="N868" s="4">
        <v>22.75</v>
      </c>
      <c r="O868" s="4">
        <v>16</v>
      </c>
      <c r="P868" s="4">
        <v>136.25</v>
      </c>
      <c r="Q868" s="4">
        <v>5</v>
      </c>
      <c r="R868" s="4">
        <v>192</v>
      </c>
      <c r="S868" s="4" t="str" cm="1">
        <f t="array" ref="S868">_xlfn.IFS($R868&lt;=50,"Good",$R868&lt;=100,"Moderate",$R868&lt;=200,"Poor",$R868&lt;=300,"Very Poor",$R868&lt;=500,"Hazardous")</f>
        <v>Poor</v>
      </c>
      <c r="T868" t="s">
        <v>28</v>
      </c>
      <c r="X868" s="2"/>
      <c r="Y868" s="2"/>
    </row>
    <row r="869" spans="1:25" x14ac:dyDescent="0.3">
      <c r="A869" s="2">
        <v>45465</v>
      </c>
      <c r="B869" t="s">
        <v>22</v>
      </c>
      <c r="C869" s="4">
        <v>50</v>
      </c>
      <c r="D869" s="4">
        <v>83.9</v>
      </c>
      <c r="E869" s="4">
        <v>25.8</v>
      </c>
      <c r="F869" s="4">
        <v>7.71</v>
      </c>
      <c r="G869" s="4">
        <v>78.900000000000006</v>
      </c>
      <c r="H869" s="4">
        <v>1.66</v>
      </c>
      <c r="I869" s="4">
        <v>11.5</v>
      </c>
      <c r="J869" s="4">
        <v>70.400000000000006</v>
      </c>
      <c r="K869" s="4">
        <v>2.29</v>
      </c>
      <c r="L869" s="4">
        <v>83.333333333333329</v>
      </c>
      <c r="M869" s="4">
        <v>83.9</v>
      </c>
      <c r="N869" s="4">
        <v>32.25</v>
      </c>
      <c r="O869" s="4">
        <v>19.274999999999999</v>
      </c>
      <c r="P869" s="4">
        <v>197.25</v>
      </c>
      <c r="Q869" s="4">
        <v>82.999999999999986</v>
      </c>
      <c r="R869" s="4">
        <v>197</v>
      </c>
      <c r="S869" s="4" t="str" cm="1">
        <f t="array" ref="S869">_xlfn.IFS($R869&lt;=50,"Good",$R869&lt;=100,"Moderate",$R869&lt;=200,"Poor",$R869&lt;=300,"Very Poor",$R869&lt;=500,"Hazardous")</f>
        <v>Poor</v>
      </c>
      <c r="T869" t="s">
        <v>27</v>
      </c>
      <c r="X869" s="2"/>
      <c r="Y869" s="2"/>
    </row>
    <row r="870" spans="1:25" x14ac:dyDescent="0.3">
      <c r="A870" s="2">
        <v>45465</v>
      </c>
      <c r="B870" t="s">
        <v>23</v>
      </c>
      <c r="C870" s="4">
        <v>51.7</v>
      </c>
      <c r="D870" s="4">
        <v>76.900000000000006</v>
      </c>
      <c r="E870" s="4">
        <v>37.9</v>
      </c>
      <c r="F870" s="4">
        <v>7.01</v>
      </c>
      <c r="G870" s="4">
        <v>25.5</v>
      </c>
      <c r="H870" s="4">
        <v>0.53</v>
      </c>
      <c r="I870" s="4">
        <v>21.9</v>
      </c>
      <c r="J870" s="4">
        <v>64.2</v>
      </c>
      <c r="K870" s="4">
        <v>3.22</v>
      </c>
      <c r="L870" s="4">
        <v>86.166666666666671</v>
      </c>
      <c r="M870" s="4">
        <v>76.900000000000006</v>
      </c>
      <c r="N870" s="4">
        <v>47.375</v>
      </c>
      <c r="O870" s="4">
        <v>17.524999999999999</v>
      </c>
      <c r="P870" s="4">
        <v>63.75</v>
      </c>
      <c r="Q870" s="4">
        <v>26.5</v>
      </c>
      <c r="R870" s="4">
        <v>86</v>
      </c>
      <c r="S870" s="4" t="str" cm="1">
        <f t="array" ref="S870">_xlfn.IFS($R870&lt;=50,"Good",$R870&lt;=100,"Moderate",$R870&lt;=200,"Poor",$R870&lt;=300,"Very Poor",$R870&lt;=500,"Hazardous")</f>
        <v>Moderate</v>
      </c>
      <c r="T870" t="s">
        <v>25</v>
      </c>
      <c r="X870" s="2"/>
      <c r="Y870" s="2"/>
    </row>
    <row r="871" spans="1:25" x14ac:dyDescent="0.3">
      <c r="A871" s="2">
        <v>45465</v>
      </c>
      <c r="B871" t="s">
        <v>24</v>
      </c>
      <c r="C871" s="4">
        <v>75.3</v>
      </c>
      <c r="D871" s="4">
        <v>79.5</v>
      </c>
      <c r="E871" s="4">
        <v>44.6</v>
      </c>
      <c r="F871" s="4">
        <v>11.28</v>
      </c>
      <c r="G871" s="4">
        <v>76.099999999999994</v>
      </c>
      <c r="H871" s="4">
        <v>1.02</v>
      </c>
      <c r="I871" s="4">
        <v>23.5</v>
      </c>
      <c r="J871" s="4">
        <v>63.4</v>
      </c>
      <c r="K871" s="4">
        <v>1.62</v>
      </c>
      <c r="L871" s="4">
        <v>125.5</v>
      </c>
      <c r="M871" s="4">
        <v>79.5</v>
      </c>
      <c r="N871" s="4">
        <v>55.75</v>
      </c>
      <c r="O871" s="4">
        <v>28.2</v>
      </c>
      <c r="P871" s="4">
        <v>190.25</v>
      </c>
      <c r="Q871" s="4">
        <v>51.000000000000007</v>
      </c>
      <c r="R871" s="4">
        <v>190</v>
      </c>
      <c r="S871" s="4" t="str" cm="1">
        <f t="array" ref="S871">_xlfn.IFS($R871&lt;=50,"Good",$R871&lt;=100,"Moderate",$R871&lt;=200,"Poor",$R871&lt;=300,"Very Poor",$R871&lt;=500,"Hazardous")</f>
        <v>Poor</v>
      </c>
      <c r="T871" t="s">
        <v>27</v>
      </c>
      <c r="X871" s="2"/>
      <c r="Y871" s="2"/>
    </row>
    <row r="872" spans="1:25" x14ac:dyDescent="0.3">
      <c r="A872" s="2">
        <v>45466</v>
      </c>
      <c r="B872" t="s">
        <v>20</v>
      </c>
      <c r="C872" s="4">
        <v>49.9</v>
      </c>
      <c r="D872" s="4">
        <v>151.5</v>
      </c>
      <c r="E872" s="4">
        <v>53.2</v>
      </c>
      <c r="F872" s="4">
        <v>6.12</v>
      </c>
      <c r="G872" s="4">
        <v>52.3</v>
      </c>
      <c r="H872" s="4">
        <v>0.65</v>
      </c>
      <c r="I872" s="4">
        <v>29.9</v>
      </c>
      <c r="J872" s="4">
        <v>58.6</v>
      </c>
      <c r="K872" s="4">
        <v>2.17</v>
      </c>
      <c r="L872" s="4">
        <v>83.166666666666671</v>
      </c>
      <c r="M872" s="4">
        <v>151.5</v>
      </c>
      <c r="N872" s="4">
        <v>66.5</v>
      </c>
      <c r="O872" s="4">
        <v>15.3</v>
      </c>
      <c r="P872" s="4">
        <v>130.75</v>
      </c>
      <c r="Q872" s="4">
        <v>32.5</v>
      </c>
      <c r="R872" s="4">
        <v>152</v>
      </c>
      <c r="S872" s="4" t="str" cm="1">
        <f t="array" ref="S872">_xlfn.IFS($R872&lt;=50,"Good",$R872&lt;=100,"Moderate",$R872&lt;=200,"Poor",$R872&lt;=300,"Very Poor",$R872&lt;=500,"Hazardous")</f>
        <v>Poor</v>
      </c>
      <c r="T872" t="s">
        <v>28</v>
      </c>
      <c r="X872" s="2"/>
      <c r="Y872" s="2"/>
    </row>
    <row r="873" spans="1:25" x14ac:dyDescent="0.3">
      <c r="A873" s="2">
        <v>45466</v>
      </c>
      <c r="B873" t="s">
        <v>21</v>
      </c>
      <c r="C873" s="4">
        <v>49.1</v>
      </c>
      <c r="D873" s="4">
        <v>116.2</v>
      </c>
      <c r="E873" s="4">
        <v>36</v>
      </c>
      <c r="F873" s="4">
        <v>11.29</v>
      </c>
      <c r="G873" s="4">
        <v>37.6</v>
      </c>
      <c r="H873" s="4">
        <v>2.16</v>
      </c>
      <c r="I873" s="4">
        <v>35.299999999999997</v>
      </c>
      <c r="J873" s="4">
        <v>44</v>
      </c>
      <c r="K873" s="4">
        <v>2.58</v>
      </c>
      <c r="L873" s="4">
        <v>81.833333333333343</v>
      </c>
      <c r="M873" s="4">
        <v>116.2</v>
      </c>
      <c r="N873" s="4">
        <v>45</v>
      </c>
      <c r="O873" s="4">
        <v>28.225000000000001</v>
      </c>
      <c r="P873" s="4">
        <v>94</v>
      </c>
      <c r="Q873" s="4">
        <v>108</v>
      </c>
      <c r="R873" s="4">
        <v>116</v>
      </c>
      <c r="S873" s="4" t="str" cm="1">
        <f t="array" ref="S873">_xlfn.IFS($R873&lt;=50,"Good",$R873&lt;=100,"Moderate",$R873&lt;=200,"Poor",$R873&lt;=300,"Very Poor",$R873&lt;=500,"Hazardous")</f>
        <v>Poor</v>
      </c>
      <c r="T873" t="s">
        <v>28</v>
      </c>
      <c r="X873" s="2"/>
      <c r="Y873" s="2"/>
    </row>
    <row r="874" spans="1:25" x14ac:dyDescent="0.3">
      <c r="A874" s="2">
        <v>45466</v>
      </c>
      <c r="B874" t="s">
        <v>22</v>
      </c>
      <c r="C874" s="4">
        <v>30.8</v>
      </c>
      <c r="D874" s="4">
        <v>76.3</v>
      </c>
      <c r="E874" s="4">
        <v>64.599999999999994</v>
      </c>
      <c r="F874" s="4">
        <v>4.91</v>
      </c>
      <c r="G874" s="4">
        <v>46.6</v>
      </c>
      <c r="H874" s="4">
        <v>1.1599999999999999</v>
      </c>
      <c r="I874" s="4">
        <v>18</v>
      </c>
      <c r="J874" s="4">
        <v>44.6</v>
      </c>
      <c r="K874" s="4">
        <v>1.05</v>
      </c>
      <c r="L874" s="4">
        <v>51.333333333333343</v>
      </c>
      <c r="M874" s="4">
        <v>76.3</v>
      </c>
      <c r="N874" s="4">
        <v>80.749999999999986</v>
      </c>
      <c r="O874" s="4">
        <v>12.275</v>
      </c>
      <c r="P874" s="4">
        <v>116.5</v>
      </c>
      <c r="Q874" s="4">
        <v>57.999999999999993</v>
      </c>
      <c r="R874" s="4">
        <v>116</v>
      </c>
      <c r="S874" s="4" t="str" cm="1">
        <f t="array" ref="S874">_xlfn.IFS($R874&lt;=50,"Good",$R874&lt;=100,"Moderate",$R874&lt;=200,"Poor",$R874&lt;=300,"Very Poor",$R874&lt;=500,"Hazardous")</f>
        <v>Poor</v>
      </c>
      <c r="T874" t="s">
        <v>27</v>
      </c>
      <c r="X874" s="2"/>
      <c r="Y874" s="2"/>
    </row>
    <row r="875" spans="1:25" x14ac:dyDescent="0.3">
      <c r="A875" s="2">
        <v>45466</v>
      </c>
      <c r="B875" t="s">
        <v>23</v>
      </c>
      <c r="C875" s="4">
        <v>26.7</v>
      </c>
      <c r="D875" s="4">
        <v>5</v>
      </c>
      <c r="E875" s="4">
        <v>44.7</v>
      </c>
      <c r="F875" s="4">
        <v>14.62</v>
      </c>
      <c r="G875" s="4">
        <v>43.7</v>
      </c>
      <c r="H875" s="4">
        <v>0.28000000000000003</v>
      </c>
      <c r="I875" s="4">
        <v>20.5</v>
      </c>
      <c r="J875" s="4">
        <v>51.7</v>
      </c>
      <c r="K875" s="4">
        <v>1.28</v>
      </c>
      <c r="L875" s="4">
        <v>44.5</v>
      </c>
      <c r="M875" s="4">
        <v>5</v>
      </c>
      <c r="N875" s="4">
        <v>55.875</v>
      </c>
      <c r="O875" s="4">
        <v>36.549999999999997</v>
      </c>
      <c r="P875" s="4">
        <v>109.25</v>
      </c>
      <c r="Q875" s="4">
        <v>14</v>
      </c>
      <c r="R875" s="4">
        <v>109</v>
      </c>
      <c r="S875" s="4" t="str" cm="1">
        <f t="array" ref="S875">_xlfn.IFS($R875&lt;=50,"Good",$R875&lt;=100,"Moderate",$R875&lt;=200,"Poor",$R875&lt;=300,"Very Poor",$R875&lt;=500,"Hazardous")</f>
        <v>Poor</v>
      </c>
      <c r="T875" t="s">
        <v>27</v>
      </c>
      <c r="X875" s="2"/>
      <c r="Y875" s="2"/>
    </row>
    <row r="876" spans="1:25" x14ac:dyDescent="0.3">
      <c r="A876" s="2">
        <v>45466</v>
      </c>
      <c r="B876" t="s">
        <v>24</v>
      </c>
      <c r="C876" s="4">
        <v>75.5</v>
      </c>
      <c r="D876" s="4">
        <v>148.4</v>
      </c>
      <c r="E876" s="4">
        <v>19.3</v>
      </c>
      <c r="F876" s="4">
        <v>10.23</v>
      </c>
      <c r="G876" s="4">
        <v>86</v>
      </c>
      <c r="H876" s="4">
        <v>2.06</v>
      </c>
      <c r="I876" s="4">
        <v>45.1</v>
      </c>
      <c r="J876" s="4">
        <v>43.8</v>
      </c>
      <c r="K876" s="4">
        <v>6.39</v>
      </c>
      <c r="L876" s="4">
        <v>125.8333333333333</v>
      </c>
      <c r="M876" s="4">
        <v>148.4</v>
      </c>
      <c r="N876" s="4">
        <v>24.125</v>
      </c>
      <c r="O876" s="4">
        <v>25.574999999999999</v>
      </c>
      <c r="P876" s="4">
        <v>215</v>
      </c>
      <c r="Q876" s="4">
        <v>103</v>
      </c>
      <c r="R876" s="4">
        <v>215</v>
      </c>
      <c r="S876" s="4" t="str" cm="1">
        <f t="array" ref="S876">_xlfn.IFS($R876&lt;=50,"Good",$R876&lt;=100,"Moderate",$R876&lt;=200,"Poor",$R876&lt;=300,"Very Poor",$R876&lt;=500,"Hazardous")</f>
        <v>Very Poor</v>
      </c>
      <c r="T876" t="s">
        <v>27</v>
      </c>
      <c r="X876" s="2"/>
      <c r="Y876" s="2"/>
    </row>
    <row r="877" spans="1:25" x14ac:dyDescent="0.3">
      <c r="A877" s="2">
        <v>45467</v>
      </c>
      <c r="B877" t="s">
        <v>20</v>
      </c>
      <c r="C877" s="4">
        <v>45.4</v>
      </c>
      <c r="D877" s="4">
        <v>77.7</v>
      </c>
      <c r="E877" s="4">
        <v>47.4</v>
      </c>
      <c r="F877" s="4">
        <v>4.68</v>
      </c>
      <c r="G877" s="4">
        <v>57.5</v>
      </c>
      <c r="H877" s="4">
        <v>0.38</v>
      </c>
      <c r="I877" s="4">
        <v>23.3</v>
      </c>
      <c r="J877" s="4">
        <v>83.1</v>
      </c>
      <c r="K877" s="4">
        <v>2.4300000000000002</v>
      </c>
      <c r="L877" s="4">
        <v>75.666666666666657</v>
      </c>
      <c r="M877" s="4">
        <v>77.7</v>
      </c>
      <c r="N877" s="4">
        <v>59.25</v>
      </c>
      <c r="O877" s="4">
        <v>11.7</v>
      </c>
      <c r="P877" s="4">
        <v>143.75</v>
      </c>
      <c r="Q877" s="4">
        <v>19</v>
      </c>
      <c r="R877" s="4">
        <v>144</v>
      </c>
      <c r="S877" s="4" t="str" cm="1">
        <f t="array" ref="S877">_xlfn.IFS($R877&lt;=50,"Good",$R877&lt;=100,"Moderate",$R877&lt;=200,"Poor",$R877&lt;=300,"Very Poor",$R877&lt;=500,"Hazardous")</f>
        <v>Poor</v>
      </c>
      <c r="T877" t="s">
        <v>27</v>
      </c>
      <c r="X877" s="2"/>
      <c r="Y877" s="2"/>
    </row>
    <row r="878" spans="1:25" x14ac:dyDescent="0.3">
      <c r="A878" s="2">
        <v>45467</v>
      </c>
      <c r="B878" t="s">
        <v>21</v>
      </c>
      <c r="C878" s="4">
        <v>64.2</v>
      </c>
      <c r="D878" s="4">
        <v>148.5</v>
      </c>
      <c r="E878" s="4">
        <v>68.400000000000006</v>
      </c>
      <c r="F878" s="4">
        <v>0.5</v>
      </c>
      <c r="G878" s="4">
        <v>68.3</v>
      </c>
      <c r="H878" s="4">
        <v>1.04</v>
      </c>
      <c r="I878" s="4">
        <v>26.2</v>
      </c>
      <c r="J878" s="4">
        <v>79.099999999999994</v>
      </c>
      <c r="K878" s="4">
        <v>1.07</v>
      </c>
      <c r="L878" s="4">
        <v>107</v>
      </c>
      <c r="M878" s="4">
        <v>148.5</v>
      </c>
      <c r="N878" s="4">
        <v>85.5</v>
      </c>
      <c r="O878" s="4">
        <v>1.25</v>
      </c>
      <c r="P878" s="4">
        <v>170.75</v>
      </c>
      <c r="Q878" s="4">
        <v>52.000000000000007</v>
      </c>
      <c r="R878" s="4">
        <v>171</v>
      </c>
      <c r="S878" s="4" t="str" cm="1">
        <f t="array" ref="S878">_xlfn.IFS($R878&lt;=50,"Good",$R878&lt;=100,"Moderate",$R878&lt;=200,"Poor",$R878&lt;=300,"Very Poor",$R878&lt;=500,"Hazardous")</f>
        <v>Poor</v>
      </c>
      <c r="T878" t="s">
        <v>27</v>
      </c>
      <c r="X878" s="2"/>
      <c r="Y878" s="2"/>
    </row>
    <row r="879" spans="1:25" x14ac:dyDescent="0.3">
      <c r="A879" s="2">
        <v>45467</v>
      </c>
      <c r="B879" t="s">
        <v>22</v>
      </c>
      <c r="C879" s="4">
        <v>22.5</v>
      </c>
      <c r="D879" s="4">
        <v>5</v>
      </c>
      <c r="E879" s="4">
        <v>25.9</v>
      </c>
      <c r="F879" s="4">
        <v>11.14</v>
      </c>
      <c r="G879" s="4">
        <v>35.1</v>
      </c>
      <c r="H879" s="4">
        <v>0.3</v>
      </c>
      <c r="I879" s="4">
        <v>21.6</v>
      </c>
      <c r="J879" s="4">
        <v>33.200000000000003</v>
      </c>
      <c r="K879" s="4">
        <v>1.1499999999999999</v>
      </c>
      <c r="L879" s="4">
        <v>37.5</v>
      </c>
      <c r="M879" s="4">
        <v>5</v>
      </c>
      <c r="N879" s="4">
        <v>32.375</v>
      </c>
      <c r="O879" s="4">
        <v>27.85</v>
      </c>
      <c r="P879" s="4">
        <v>87.750000000000014</v>
      </c>
      <c r="Q879" s="4">
        <v>15</v>
      </c>
      <c r="R879" s="4">
        <v>88</v>
      </c>
      <c r="S879" s="4" t="str" cm="1">
        <f t="array" ref="S879">_xlfn.IFS($R879&lt;=50,"Good",$R879&lt;=100,"Moderate",$R879&lt;=200,"Poor",$R879&lt;=300,"Very Poor",$R879&lt;=500,"Hazardous")</f>
        <v>Moderate</v>
      </c>
      <c r="T879" t="s">
        <v>27</v>
      </c>
      <c r="X879" s="2"/>
      <c r="Y879" s="2"/>
    </row>
    <row r="880" spans="1:25" x14ac:dyDescent="0.3">
      <c r="A880" s="2">
        <v>45467</v>
      </c>
      <c r="B880" t="s">
        <v>23</v>
      </c>
      <c r="C880" s="4">
        <v>57.3</v>
      </c>
      <c r="D880" s="4">
        <v>39.700000000000003</v>
      </c>
      <c r="E880" s="4">
        <v>53.8</v>
      </c>
      <c r="F880" s="4">
        <v>6.12</v>
      </c>
      <c r="G880" s="4">
        <v>42.1</v>
      </c>
      <c r="H880" s="4">
        <v>0.83</v>
      </c>
      <c r="I880" s="4">
        <v>30.4</v>
      </c>
      <c r="J880" s="4">
        <v>74.099999999999994</v>
      </c>
      <c r="K880" s="4">
        <v>2.9</v>
      </c>
      <c r="L880" s="4">
        <v>95.5</v>
      </c>
      <c r="M880" s="4">
        <v>39.700000000000003</v>
      </c>
      <c r="N880" s="4">
        <v>67.249999999999986</v>
      </c>
      <c r="O880" s="4">
        <v>15.3</v>
      </c>
      <c r="P880" s="4">
        <v>105.25</v>
      </c>
      <c r="Q880" s="4">
        <v>41.499999999999993</v>
      </c>
      <c r="R880" s="4">
        <v>105</v>
      </c>
      <c r="S880" s="4" t="str" cm="1">
        <f t="array" ref="S880">_xlfn.IFS($R880&lt;=50,"Good",$R880&lt;=100,"Moderate",$R880&lt;=200,"Poor",$R880&lt;=300,"Very Poor",$R880&lt;=500,"Hazardous")</f>
        <v>Poor</v>
      </c>
      <c r="T880" t="s">
        <v>27</v>
      </c>
      <c r="X880" s="2"/>
      <c r="Y880" s="2"/>
    </row>
    <row r="881" spans="1:25" x14ac:dyDescent="0.3">
      <c r="A881" s="2">
        <v>45467</v>
      </c>
      <c r="B881" t="s">
        <v>24</v>
      </c>
      <c r="C881" s="4">
        <v>67.7</v>
      </c>
      <c r="D881" s="4">
        <v>94.4</v>
      </c>
      <c r="E881" s="4">
        <v>49.1</v>
      </c>
      <c r="F881" s="4">
        <v>5.55</v>
      </c>
      <c r="G881" s="4">
        <v>44.1</v>
      </c>
      <c r="H881" s="4">
        <v>0.91</v>
      </c>
      <c r="I881" s="4">
        <v>21.8</v>
      </c>
      <c r="J881" s="4">
        <v>47.6</v>
      </c>
      <c r="K881" s="4">
        <v>3.56</v>
      </c>
      <c r="L881" s="4">
        <v>112.8333333333333</v>
      </c>
      <c r="M881" s="4">
        <v>94.4</v>
      </c>
      <c r="N881" s="4">
        <v>61.375</v>
      </c>
      <c r="O881" s="4">
        <v>13.875</v>
      </c>
      <c r="P881" s="4">
        <v>110.25</v>
      </c>
      <c r="Q881" s="4">
        <v>45.5</v>
      </c>
      <c r="R881" s="4">
        <v>113</v>
      </c>
      <c r="S881" s="4" t="str" cm="1">
        <f t="array" ref="S881">_xlfn.IFS($R881&lt;=50,"Good",$R881&lt;=100,"Moderate",$R881&lt;=200,"Poor",$R881&lt;=300,"Very Poor",$R881&lt;=500,"Hazardous")</f>
        <v>Poor</v>
      </c>
      <c r="T881" t="s">
        <v>25</v>
      </c>
      <c r="X881" s="2"/>
      <c r="Y881" s="2"/>
    </row>
    <row r="882" spans="1:25" x14ac:dyDescent="0.3">
      <c r="A882" s="2">
        <v>45468</v>
      </c>
      <c r="B882" t="s">
        <v>20</v>
      </c>
      <c r="C882" s="4">
        <v>91.4</v>
      </c>
      <c r="D882" s="4">
        <v>175</v>
      </c>
      <c r="E882" s="4">
        <v>18.3</v>
      </c>
      <c r="F882" s="4">
        <v>13.29</v>
      </c>
      <c r="G882" s="4">
        <v>36.9</v>
      </c>
      <c r="H882" s="4">
        <v>1.44</v>
      </c>
      <c r="I882" s="4">
        <v>18.7</v>
      </c>
      <c r="J882" s="4">
        <v>62.6</v>
      </c>
      <c r="K882" s="4">
        <v>2.88</v>
      </c>
      <c r="L882" s="4">
        <v>152.33333333333329</v>
      </c>
      <c r="M882" s="4">
        <v>175</v>
      </c>
      <c r="N882" s="4">
        <v>22.875</v>
      </c>
      <c r="O882" s="4">
        <v>33.224999999999987</v>
      </c>
      <c r="P882" s="4">
        <v>92.25</v>
      </c>
      <c r="Q882" s="4">
        <v>72</v>
      </c>
      <c r="R882" s="4">
        <v>175</v>
      </c>
      <c r="S882" s="4" t="str" cm="1">
        <f t="array" ref="S882">_xlfn.IFS($R882&lt;=50,"Good",$R882&lt;=100,"Moderate",$R882&lt;=200,"Poor",$R882&lt;=300,"Very Poor",$R882&lt;=500,"Hazardous")</f>
        <v>Poor</v>
      </c>
      <c r="T882" t="s">
        <v>28</v>
      </c>
      <c r="X882" s="2"/>
      <c r="Y882" s="2"/>
    </row>
    <row r="883" spans="1:25" x14ac:dyDescent="0.3">
      <c r="A883" s="2">
        <v>45468</v>
      </c>
      <c r="B883" t="s">
        <v>21</v>
      </c>
      <c r="C883" s="4">
        <v>15.5</v>
      </c>
      <c r="D883" s="4">
        <v>156.5</v>
      </c>
      <c r="E883" s="4">
        <v>71.900000000000006</v>
      </c>
      <c r="F883" s="4">
        <v>7.13</v>
      </c>
      <c r="G883" s="4">
        <v>92.5</v>
      </c>
      <c r="H883" s="4">
        <v>1.0900000000000001</v>
      </c>
      <c r="I883" s="4">
        <v>30.9</v>
      </c>
      <c r="J883" s="4">
        <v>20.100000000000001</v>
      </c>
      <c r="K883" s="4">
        <v>5.4</v>
      </c>
      <c r="L883" s="4">
        <v>25.833333333333329</v>
      </c>
      <c r="M883" s="4">
        <v>156.5</v>
      </c>
      <c r="N883" s="4">
        <v>89.875000000000014</v>
      </c>
      <c r="O883" s="4">
        <v>17.824999999999999</v>
      </c>
      <c r="P883" s="4">
        <v>231.25</v>
      </c>
      <c r="Q883" s="4">
        <v>54.500000000000007</v>
      </c>
      <c r="R883" s="4">
        <v>231</v>
      </c>
      <c r="S883" s="4" t="str" cm="1">
        <f t="array" ref="S883">_xlfn.IFS($R883&lt;=50,"Good",$R883&lt;=100,"Moderate",$R883&lt;=200,"Poor",$R883&lt;=300,"Very Poor",$R883&lt;=500,"Hazardous")</f>
        <v>Very Poor</v>
      </c>
      <c r="T883" t="s">
        <v>27</v>
      </c>
      <c r="X883" s="2"/>
      <c r="Y883" s="2"/>
    </row>
    <row r="884" spans="1:25" x14ac:dyDescent="0.3">
      <c r="A884" s="2">
        <v>45468</v>
      </c>
      <c r="B884" t="s">
        <v>22</v>
      </c>
      <c r="C884" s="4">
        <v>79.7</v>
      </c>
      <c r="D884" s="4">
        <v>78.2</v>
      </c>
      <c r="E884" s="4">
        <v>4.2</v>
      </c>
      <c r="F884" s="4">
        <v>7.17</v>
      </c>
      <c r="G884" s="4">
        <v>3.7</v>
      </c>
      <c r="H884" s="4">
        <v>1.1100000000000001</v>
      </c>
      <c r="I884" s="4">
        <v>27.9</v>
      </c>
      <c r="J884" s="4">
        <v>43.1</v>
      </c>
      <c r="K884" s="4">
        <v>3.85</v>
      </c>
      <c r="L884" s="4">
        <v>132.83333333333329</v>
      </c>
      <c r="M884" s="4">
        <v>78.2</v>
      </c>
      <c r="N884" s="4">
        <v>5.25</v>
      </c>
      <c r="O884" s="4">
        <v>17.925000000000001</v>
      </c>
      <c r="P884" s="4">
        <v>9.2500000000000018</v>
      </c>
      <c r="Q884" s="4">
        <v>55.500000000000007</v>
      </c>
      <c r="R884" s="4">
        <v>133</v>
      </c>
      <c r="S884" s="4" t="str" cm="1">
        <f t="array" ref="S884">_xlfn.IFS($R884&lt;=50,"Good",$R884&lt;=100,"Moderate",$R884&lt;=200,"Poor",$R884&lt;=300,"Very Poor",$R884&lt;=500,"Hazardous")</f>
        <v>Poor</v>
      </c>
      <c r="T884" t="s">
        <v>25</v>
      </c>
      <c r="X884" s="2"/>
      <c r="Y884" s="2"/>
    </row>
    <row r="885" spans="1:25" x14ac:dyDescent="0.3">
      <c r="A885" s="2">
        <v>45468</v>
      </c>
      <c r="B885" t="s">
        <v>23</v>
      </c>
      <c r="C885" s="4">
        <v>67.3</v>
      </c>
      <c r="D885" s="4">
        <v>142.80000000000001</v>
      </c>
      <c r="E885" s="4">
        <v>36.1</v>
      </c>
      <c r="F885" s="4">
        <v>0.74</v>
      </c>
      <c r="G885" s="4">
        <v>64.400000000000006</v>
      </c>
      <c r="H885" s="4">
        <v>0.83</v>
      </c>
      <c r="I885" s="4">
        <v>15.3</v>
      </c>
      <c r="J885" s="4">
        <v>84.3</v>
      </c>
      <c r="K885" s="4">
        <v>5.0199999999999996</v>
      </c>
      <c r="L885" s="4">
        <v>112.1666666666667</v>
      </c>
      <c r="M885" s="4">
        <v>142.80000000000001</v>
      </c>
      <c r="N885" s="4">
        <v>45.125</v>
      </c>
      <c r="O885" s="4">
        <v>1.85</v>
      </c>
      <c r="P885" s="4">
        <v>161</v>
      </c>
      <c r="Q885" s="4">
        <v>41.499999999999993</v>
      </c>
      <c r="R885" s="4">
        <v>161</v>
      </c>
      <c r="S885" s="4" t="str" cm="1">
        <f t="array" ref="S885">_xlfn.IFS($R885&lt;=50,"Good",$R885&lt;=100,"Moderate",$R885&lt;=200,"Poor",$R885&lt;=300,"Very Poor",$R885&lt;=500,"Hazardous")</f>
        <v>Poor</v>
      </c>
      <c r="T885" t="s">
        <v>27</v>
      </c>
      <c r="X885" s="2"/>
      <c r="Y885" s="2"/>
    </row>
    <row r="886" spans="1:25" x14ac:dyDescent="0.3">
      <c r="A886" s="2">
        <v>45468</v>
      </c>
      <c r="B886" t="s">
        <v>24</v>
      </c>
      <c r="C886" s="4">
        <v>51.7</v>
      </c>
      <c r="D886" s="4">
        <v>219.6</v>
      </c>
      <c r="E886" s="4">
        <v>41.2</v>
      </c>
      <c r="F886" s="4">
        <v>5.37</v>
      </c>
      <c r="G886" s="4">
        <v>26.7</v>
      </c>
      <c r="H886" s="4">
        <v>1.92</v>
      </c>
      <c r="I886" s="4">
        <v>19.5</v>
      </c>
      <c r="J886" s="4">
        <v>73.2</v>
      </c>
      <c r="K886" s="4">
        <v>2.33</v>
      </c>
      <c r="L886" s="4">
        <v>86.166666666666671</v>
      </c>
      <c r="M886" s="4">
        <v>219.6</v>
      </c>
      <c r="N886" s="4">
        <v>51.500000000000007</v>
      </c>
      <c r="O886" s="4">
        <v>13.425000000000001</v>
      </c>
      <c r="P886" s="4">
        <v>66.75</v>
      </c>
      <c r="Q886" s="4">
        <v>96</v>
      </c>
      <c r="R886" s="4">
        <v>220</v>
      </c>
      <c r="S886" s="4" t="str" cm="1">
        <f t="array" ref="S886">_xlfn.IFS($R886&lt;=50,"Good",$R886&lt;=100,"Moderate",$R886&lt;=200,"Poor",$R886&lt;=300,"Very Poor",$R886&lt;=500,"Hazardous")</f>
        <v>Very Poor</v>
      </c>
      <c r="T886" t="s">
        <v>28</v>
      </c>
      <c r="X886" s="2"/>
      <c r="Y886" s="2"/>
    </row>
    <row r="887" spans="1:25" x14ac:dyDescent="0.3">
      <c r="A887" s="2">
        <v>45469</v>
      </c>
      <c r="B887" t="s">
        <v>20</v>
      </c>
      <c r="C887" s="4">
        <v>42.5</v>
      </c>
      <c r="D887" s="4">
        <v>167.3</v>
      </c>
      <c r="E887" s="4">
        <v>34.4</v>
      </c>
      <c r="F887" s="4">
        <v>5.5</v>
      </c>
      <c r="G887" s="4">
        <v>78.599999999999994</v>
      </c>
      <c r="H887" s="4">
        <v>1.99</v>
      </c>
      <c r="I887" s="4">
        <v>29.5</v>
      </c>
      <c r="J887" s="4">
        <v>48.2</v>
      </c>
      <c r="K887" s="4">
        <v>1.89</v>
      </c>
      <c r="L887" s="4">
        <v>70.833333333333329</v>
      </c>
      <c r="M887" s="4">
        <v>167.3</v>
      </c>
      <c r="N887" s="4">
        <v>43</v>
      </c>
      <c r="O887" s="4">
        <v>13.75</v>
      </c>
      <c r="P887" s="4">
        <v>196.5</v>
      </c>
      <c r="Q887" s="4">
        <v>99.5</v>
      </c>
      <c r="R887" s="4">
        <v>196</v>
      </c>
      <c r="S887" s="4" t="str" cm="1">
        <f t="array" ref="S887">_xlfn.IFS($R887&lt;=50,"Good",$R887&lt;=100,"Moderate",$R887&lt;=200,"Poor",$R887&lt;=300,"Very Poor",$R887&lt;=500,"Hazardous")</f>
        <v>Poor</v>
      </c>
      <c r="T887" t="s">
        <v>27</v>
      </c>
      <c r="X887" s="2"/>
      <c r="Y887" s="2"/>
    </row>
    <row r="888" spans="1:25" x14ac:dyDescent="0.3">
      <c r="A888" s="2">
        <v>45469</v>
      </c>
      <c r="B888" t="s">
        <v>21</v>
      </c>
      <c r="C888" s="4">
        <v>62.4</v>
      </c>
      <c r="D888" s="4">
        <v>139.30000000000001</v>
      </c>
      <c r="E888" s="4">
        <v>25.2</v>
      </c>
      <c r="F888" s="4">
        <v>11.62</v>
      </c>
      <c r="G888" s="4">
        <v>52.7</v>
      </c>
      <c r="H888" s="4">
        <v>0.17</v>
      </c>
      <c r="I888" s="4">
        <v>18.5</v>
      </c>
      <c r="J888" s="4">
        <v>50.9</v>
      </c>
      <c r="K888" s="4">
        <v>2.41</v>
      </c>
      <c r="L888" s="4">
        <v>104</v>
      </c>
      <c r="M888" s="4">
        <v>139.30000000000001</v>
      </c>
      <c r="N888" s="4">
        <v>31.5</v>
      </c>
      <c r="O888" s="4">
        <v>29.05</v>
      </c>
      <c r="P888" s="4">
        <v>131.75</v>
      </c>
      <c r="Q888" s="4">
        <v>8.5</v>
      </c>
      <c r="R888" s="4">
        <v>139</v>
      </c>
      <c r="S888" s="4" t="str" cm="1">
        <f t="array" ref="S888">_xlfn.IFS($R888&lt;=50,"Good",$R888&lt;=100,"Moderate",$R888&lt;=200,"Poor",$R888&lt;=300,"Very Poor",$R888&lt;=500,"Hazardous")</f>
        <v>Poor</v>
      </c>
      <c r="T888" t="s">
        <v>28</v>
      </c>
      <c r="X888" s="2"/>
      <c r="Y888" s="2"/>
    </row>
    <row r="889" spans="1:25" x14ac:dyDescent="0.3">
      <c r="A889" s="2">
        <v>45469</v>
      </c>
      <c r="B889" t="s">
        <v>22</v>
      </c>
      <c r="C889" s="4">
        <v>88.7</v>
      </c>
      <c r="D889" s="4">
        <v>102.1</v>
      </c>
      <c r="E889" s="4">
        <v>21.4</v>
      </c>
      <c r="F889" s="4">
        <v>6.92</v>
      </c>
      <c r="G889" s="4">
        <v>29.6</v>
      </c>
      <c r="H889" s="4">
        <v>1.06</v>
      </c>
      <c r="I889" s="4">
        <v>29.1</v>
      </c>
      <c r="J889" s="4">
        <v>81.8</v>
      </c>
      <c r="K889" s="4">
        <v>2.4700000000000002</v>
      </c>
      <c r="L889" s="4">
        <v>147.83333333333329</v>
      </c>
      <c r="M889" s="4">
        <v>102.1</v>
      </c>
      <c r="N889" s="4">
        <v>26.75</v>
      </c>
      <c r="O889" s="4">
        <v>17.3</v>
      </c>
      <c r="P889" s="4">
        <v>74.000000000000014</v>
      </c>
      <c r="Q889" s="4">
        <v>53.000000000000007</v>
      </c>
      <c r="R889" s="4">
        <v>148</v>
      </c>
      <c r="S889" s="4" t="str" cm="1">
        <f t="array" ref="S889">_xlfn.IFS($R889&lt;=50,"Good",$R889&lt;=100,"Moderate",$R889&lt;=200,"Poor",$R889&lt;=300,"Very Poor",$R889&lt;=500,"Hazardous")</f>
        <v>Poor</v>
      </c>
      <c r="T889" t="s">
        <v>25</v>
      </c>
      <c r="X889" s="2"/>
      <c r="Y889" s="2"/>
    </row>
    <row r="890" spans="1:25" x14ac:dyDescent="0.3">
      <c r="A890" s="2">
        <v>45469</v>
      </c>
      <c r="B890" t="s">
        <v>23</v>
      </c>
      <c r="C890" s="4">
        <v>87.3</v>
      </c>
      <c r="D890" s="4">
        <v>139.6</v>
      </c>
      <c r="E890" s="4">
        <v>24.7</v>
      </c>
      <c r="F890" s="4">
        <v>15.24</v>
      </c>
      <c r="G890" s="4">
        <v>48.2</v>
      </c>
      <c r="H890" s="4">
        <v>0.56000000000000005</v>
      </c>
      <c r="I890" s="4">
        <v>36.6</v>
      </c>
      <c r="J890" s="4">
        <v>97.4</v>
      </c>
      <c r="K890" s="4">
        <v>2.46</v>
      </c>
      <c r="L890" s="4">
        <v>145.5</v>
      </c>
      <c r="M890" s="4">
        <v>139.6</v>
      </c>
      <c r="N890" s="4">
        <v>30.875</v>
      </c>
      <c r="O890" s="4">
        <v>38.1</v>
      </c>
      <c r="P890" s="4">
        <v>120.5</v>
      </c>
      <c r="Q890" s="4">
        <v>28</v>
      </c>
      <c r="R890" s="4">
        <v>146</v>
      </c>
      <c r="S890" s="4" t="str" cm="1">
        <f t="array" ref="S890">_xlfn.IFS($R890&lt;=50,"Good",$R890&lt;=100,"Moderate",$R890&lt;=200,"Poor",$R890&lt;=300,"Very Poor",$R890&lt;=500,"Hazardous")</f>
        <v>Poor</v>
      </c>
      <c r="T890" t="s">
        <v>25</v>
      </c>
      <c r="X890" s="2"/>
      <c r="Y890" s="2"/>
    </row>
    <row r="891" spans="1:25" x14ac:dyDescent="0.3">
      <c r="A891" s="2">
        <v>45469</v>
      </c>
      <c r="B891" t="s">
        <v>24</v>
      </c>
      <c r="C891" s="4">
        <v>39.5</v>
      </c>
      <c r="D891" s="4">
        <v>96.5</v>
      </c>
      <c r="E891" s="4">
        <v>52.2</v>
      </c>
      <c r="F891" s="4">
        <v>12.66</v>
      </c>
      <c r="G891" s="4">
        <v>59.7</v>
      </c>
      <c r="H891" s="4">
        <v>1.1100000000000001</v>
      </c>
      <c r="I891" s="4">
        <v>35.5</v>
      </c>
      <c r="J891" s="4">
        <v>54.4</v>
      </c>
      <c r="K891" s="4">
        <v>4.24</v>
      </c>
      <c r="L891" s="4">
        <v>65.833333333333329</v>
      </c>
      <c r="M891" s="4">
        <v>96.5</v>
      </c>
      <c r="N891" s="4">
        <v>65.25</v>
      </c>
      <c r="O891" s="4">
        <v>31.65</v>
      </c>
      <c r="P891" s="4">
        <v>149.25</v>
      </c>
      <c r="Q891" s="4">
        <v>55.500000000000007</v>
      </c>
      <c r="R891" s="4">
        <v>149</v>
      </c>
      <c r="S891" s="4" t="str" cm="1">
        <f t="array" ref="S891">_xlfn.IFS($R891&lt;=50,"Good",$R891&lt;=100,"Moderate",$R891&lt;=200,"Poor",$R891&lt;=300,"Very Poor",$R891&lt;=500,"Hazardous")</f>
        <v>Poor</v>
      </c>
      <c r="T891" t="s">
        <v>27</v>
      </c>
      <c r="X891" s="2"/>
      <c r="Y891" s="2"/>
    </row>
    <row r="892" spans="1:25" x14ac:dyDescent="0.3">
      <c r="A892" s="2">
        <v>45470</v>
      </c>
      <c r="B892" t="s">
        <v>20</v>
      </c>
      <c r="C892" s="4">
        <v>47.2</v>
      </c>
      <c r="D892" s="4">
        <v>134.19999999999999</v>
      </c>
      <c r="E892" s="4">
        <v>39.299999999999997</v>
      </c>
      <c r="F892" s="4">
        <v>7.1</v>
      </c>
      <c r="G892" s="4">
        <v>35.200000000000003</v>
      </c>
      <c r="H892" s="4">
        <v>1.85</v>
      </c>
      <c r="I892" s="4">
        <v>19.899999999999999</v>
      </c>
      <c r="J892" s="4">
        <v>46.7</v>
      </c>
      <c r="K892" s="4">
        <v>5.05</v>
      </c>
      <c r="L892" s="4">
        <v>78.666666666666671</v>
      </c>
      <c r="M892" s="4">
        <v>134.19999999999999</v>
      </c>
      <c r="N892" s="4">
        <v>49.124999999999993</v>
      </c>
      <c r="O892" s="4">
        <v>17.75</v>
      </c>
      <c r="P892" s="4">
        <v>88.000000000000014</v>
      </c>
      <c r="Q892" s="4">
        <v>92.5</v>
      </c>
      <c r="R892" s="4">
        <v>134</v>
      </c>
      <c r="S892" s="4" t="str" cm="1">
        <f t="array" ref="S892">_xlfn.IFS($R892&lt;=50,"Good",$R892&lt;=100,"Moderate",$R892&lt;=200,"Poor",$R892&lt;=300,"Very Poor",$R892&lt;=500,"Hazardous")</f>
        <v>Poor</v>
      </c>
      <c r="T892" t="s">
        <v>28</v>
      </c>
      <c r="X892" s="2"/>
      <c r="Y892" s="2"/>
    </row>
    <row r="893" spans="1:25" x14ac:dyDescent="0.3">
      <c r="A893" s="2">
        <v>45470</v>
      </c>
      <c r="B893" t="s">
        <v>21</v>
      </c>
      <c r="C893" s="4">
        <v>89.3</v>
      </c>
      <c r="D893" s="4">
        <v>5</v>
      </c>
      <c r="E893" s="4">
        <v>33.700000000000003</v>
      </c>
      <c r="F893" s="4">
        <v>0.5</v>
      </c>
      <c r="G893" s="4">
        <v>20.3</v>
      </c>
      <c r="H893" s="4">
        <v>0.05</v>
      </c>
      <c r="I893" s="4">
        <v>24</v>
      </c>
      <c r="J893" s="4">
        <v>39.4</v>
      </c>
      <c r="K893" s="4">
        <v>2.57</v>
      </c>
      <c r="L893" s="4">
        <v>148.83333333333329</v>
      </c>
      <c r="M893" s="4">
        <v>5</v>
      </c>
      <c r="N893" s="4">
        <v>42.125</v>
      </c>
      <c r="O893" s="4">
        <v>1.25</v>
      </c>
      <c r="P893" s="4">
        <v>50.75</v>
      </c>
      <c r="Q893" s="4">
        <v>2.5</v>
      </c>
      <c r="R893" s="4">
        <v>149</v>
      </c>
      <c r="S893" s="4" t="str" cm="1">
        <f t="array" ref="S893">_xlfn.IFS($R893&lt;=50,"Good",$R893&lt;=100,"Moderate",$R893&lt;=200,"Poor",$R893&lt;=300,"Very Poor",$R893&lt;=500,"Hazardous")</f>
        <v>Poor</v>
      </c>
      <c r="T893" t="s">
        <v>25</v>
      </c>
      <c r="X893" s="2"/>
      <c r="Y893" s="2"/>
    </row>
    <row r="894" spans="1:25" x14ac:dyDescent="0.3">
      <c r="A894" s="2">
        <v>45470</v>
      </c>
      <c r="B894" t="s">
        <v>22</v>
      </c>
      <c r="C894" s="4">
        <v>8.5</v>
      </c>
      <c r="D894" s="4">
        <v>95</v>
      </c>
      <c r="E894" s="4">
        <v>27.9</v>
      </c>
      <c r="F894" s="4">
        <v>11.79</v>
      </c>
      <c r="G894" s="4">
        <v>71.5</v>
      </c>
      <c r="H894" s="4">
        <v>1.27</v>
      </c>
      <c r="I894" s="4">
        <v>22.7</v>
      </c>
      <c r="J894" s="4">
        <v>95.7</v>
      </c>
      <c r="K894" s="4">
        <v>0.64</v>
      </c>
      <c r="L894" s="4">
        <v>14.16666666666667</v>
      </c>
      <c r="M894" s="4">
        <v>95</v>
      </c>
      <c r="N894" s="4">
        <v>34.874999999999993</v>
      </c>
      <c r="O894" s="4">
        <v>29.475000000000001</v>
      </c>
      <c r="P894" s="4">
        <v>178.75</v>
      </c>
      <c r="Q894" s="4">
        <v>63.5</v>
      </c>
      <c r="R894" s="4">
        <v>179</v>
      </c>
      <c r="S894" s="4" t="str" cm="1">
        <f t="array" ref="S894">_xlfn.IFS($R894&lt;=50,"Good",$R894&lt;=100,"Moderate",$R894&lt;=200,"Poor",$R894&lt;=300,"Very Poor",$R894&lt;=500,"Hazardous")</f>
        <v>Poor</v>
      </c>
      <c r="T894" t="s">
        <v>27</v>
      </c>
      <c r="X894" s="2"/>
      <c r="Y894" s="2"/>
    </row>
    <row r="895" spans="1:25" x14ac:dyDescent="0.3">
      <c r="A895" s="2">
        <v>45470</v>
      </c>
      <c r="B895" t="s">
        <v>23</v>
      </c>
      <c r="C895" s="4">
        <v>14.3</v>
      </c>
      <c r="D895" s="4">
        <v>92</v>
      </c>
      <c r="E895" s="4">
        <v>72.099999999999994</v>
      </c>
      <c r="F895" s="4">
        <v>5.59</v>
      </c>
      <c r="G895" s="4">
        <v>35.4</v>
      </c>
      <c r="H895" s="4">
        <v>0.27</v>
      </c>
      <c r="I895" s="4">
        <v>31.6</v>
      </c>
      <c r="J895" s="4">
        <v>77.2</v>
      </c>
      <c r="K895" s="4">
        <v>3.45</v>
      </c>
      <c r="L895" s="4">
        <v>23.833333333333339</v>
      </c>
      <c r="M895" s="4">
        <v>92</v>
      </c>
      <c r="N895" s="4">
        <v>90.125</v>
      </c>
      <c r="O895" s="4">
        <v>13.975</v>
      </c>
      <c r="P895" s="4">
        <v>88.5</v>
      </c>
      <c r="Q895" s="4">
        <v>13.5</v>
      </c>
      <c r="R895" s="4">
        <v>92</v>
      </c>
      <c r="S895" s="4" t="str" cm="1">
        <f t="array" ref="S895">_xlfn.IFS($R895&lt;=50,"Good",$R895&lt;=100,"Moderate",$R895&lt;=200,"Poor",$R895&lt;=300,"Very Poor",$R895&lt;=500,"Hazardous")</f>
        <v>Moderate</v>
      </c>
      <c r="T895" t="s">
        <v>28</v>
      </c>
      <c r="X895" s="2"/>
      <c r="Y895" s="2"/>
    </row>
    <row r="896" spans="1:25" x14ac:dyDescent="0.3">
      <c r="A896" s="2">
        <v>45470</v>
      </c>
      <c r="B896" t="s">
        <v>24</v>
      </c>
      <c r="C896" s="4">
        <v>36.200000000000003</v>
      </c>
      <c r="D896" s="4">
        <v>68.3</v>
      </c>
      <c r="E896" s="4">
        <v>16.8</v>
      </c>
      <c r="F896" s="4">
        <v>7.41</v>
      </c>
      <c r="G896" s="4">
        <v>14.3</v>
      </c>
      <c r="H896" s="4">
        <v>0.43</v>
      </c>
      <c r="I896" s="4">
        <v>22</v>
      </c>
      <c r="J896" s="4">
        <v>51.2</v>
      </c>
      <c r="K896" s="4">
        <v>2.35</v>
      </c>
      <c r="L896" s="4">
        <v>60.333333333333343</v>
      </c>
      <c r="M896" s="4">
        <v>68.3</v>
      </c>
      <c r="N896" s="4">
        <v>21</v>
      </c>
      <c r="O896" s="4">
        <v>18.524999999999999</v>
      </c>
      <c r="P896" s="4">
        <v>35.750000000000007</v>
      </c>
      <c r="Q896" s="4">
        <v>21.5</v>
      </c>
      <c r="R896" s="4">
        <v>68</v>
      </c>
      <c r="S896" s="4" t="str" cm="1">
        <f t="array" ref="S896">_xlfn.IFS($R896&lt;=50,"Good",$R896&lt;=100,"Moderate",$R896&lt;=200,"Poor",$R896&lt;=300,"Very Poor",$R896&lt;=500,"Hazardous")</f>
        <v>Moderate</v>
      </c>
      <c r="T896" t="s">
        <v>28</v>
      </c>
      <c r="X896" s="2"/>
      <c r="Y896" s="2"/>
    </row>
    <row r="897" spans="1:25" x14ac:dyDescent="0.3">
      <c r="A897" s="2">
        <v>45471</v>
      </c>
      <c r="B897" t="s">
        <v>20</v>
      </c>
      <c r="C897" s="4">
        <v>68.099999999999994</v>
      </c>
      <c r="D897" s="4">
        <v>114.8</v>
      </c>
      <c r="E897" s="4">
        <v>36.1</v>
      </c>
      <c r="F897" s="4">
        <v>8.1999999999999993</v>
      </c>
      <c r="G897" s="4">
        <v>17.5</v>
      </c>
      <c r="H897" s="4">
        <v>1.1599999999999999</v>
      </c>
      <c r="I897" s="4">
        <v>26.1</v>
      </c>
      <c r="J897" s="4">
        <v>32.9</v>
      </c>
      <c r="K897" s="4">
        <v>3.69</v>
      </c>
      <c r="L897" s="4">
        <v>113.5</v>
      </c>
      <c r="M897" s="4">
        <v>114.8</v>
      </c>
      <c r="N897" s="4">
        <v>45.125</v>
      </c>
      <c r="O897" s="4">
        <v>20.5</v>
      </c>
      <c r="P897" s="4">
        <v>43.75</v>
      </c>
      <c r="Q897" s="4">
        <v>57.999999999999993</v>
      </c>
      <c r="R897" s="4">
        <v>115</v>
      </c>
      <c r="S897" s="4" t="str" cm="1">
        <f t="array" ref="S897">_xlfn.IFS($R897&lt;=50,"Good",$R897&lt;=100,"Moderate",$R897&lt;=200,"Poor",$R897&lt;=300,"Very Poor",$R897&lt;=500,"Hazardous")</f>
        <v>Poor</v>
      </c>
      <c r="T897" t="s">
        <v>28</v>
      </c>
      <c r="X897" s="2"/>
      <c r="Y897" s="2"/>
    </row>
    <row r="898" spans="1:25" x14ac:dyDescent="0.3">
      <c r="A898" s="2">
        <v>45471</v>
      </c>
      <c r="B898" t="s">
        <v>21</v>
      </c>
      <c r="C898" s="4">
        <v>33.6</v>
      </c>
      <c r="D898" s="4">
        <v>125.4</v>
      </c>
      <c r="E898" s="4">
        <v>68.3</v>
      </c>
      <c r="F898" s="4">
        <v>12.63</v>
      </c>
      <c r="G898" s="4">
        <v>51.1</v>
      </c>
      <c r="H898" s="4">
        <v>0.98</v>
      </c>
      <c r="I898" s="4">
        <v>31.6</v>
      </c>
      <c r="J898" s="4">
        <v>72.099999999999994</v>
      </c>
      <c r="K898" s="4">
        <v>1.76</v>
      </c>
      <c r="L898" s="4">
        <v>56</v>
      </c>
      <c r="M898" s="4">
        <v>125.4</v>
      </c>
      <c r="N898" s="4">
        <v>85.374999999999986</v>
      </c>
      <c r="O898" s="4">
        <v>31.574999999999999</v>
      </c>
      <c r="P898" s="4">
        <v>127.75</v>
      </c>
      <c r="Q898" s="4">
        <v>49</v>
      </c>
      <c r="R898" s="4">
        <v>128</v>
      </c>
      <c r="S898" s="4" t="str" cm="1">
        <f t="array" ref="S898">_xlfn.IFS($R898&lt;=50,"Good",$R898&lt;=100,"Moderate",$R898&lt;=200,"Poor",$R898&lt;=300,"Very Poor",$R898&lt;=500,"Hazardous")</f>
        <v>Poor</v>
      </c>
      <c r="T898" t="s">
        <v>27</v>
      </c>
      <c r="X898" s="2"/>
      <c r="Y898" s="2"/>
    </row>
    <row r="899" spans="1:25" x14ac:dyDescent="0.3">
      <c r="A899" s="2">
        <v>45471</v>
      </c>
      <c r="B899" t="s">
        <v>22</v>
      </c>
      <c r="C899" s="4">
        <v>27.5</v>
      </c>
      <c r="D899" s="4">
        <v>5</v>
      </c>
      <c r="E899" s="4">
        <v>36.5</v>
      </c>
      <c r="F899" s="4">
        <v>5.77</v>
      </c>
      <c r="G899" s="4">
        <v>65</v>
      </c>
      <c r="H899" s="4">
        <v>1.08</v>
      </c>
      <c r="I899" s="4">
        <v>34.299999999999997</v>
      </c>
      <c r="J899" s="4">
        <v>47.4</v>
      </c>
      <c r="K899" s="4">
        <v>3.87</v>
      </c>
      <c r="L899" s="4">
        <v>45.833333333333329</v>
      </c>
      <c r="M899" s="4">
        <v>5</v>
      </c>
      <c r="N899" s="4">
        <v>45.625</v>
      </c>
      <c r="O899" s="4">
        <v>14.425000000000001</v>
      </c>
      <c r="P899" s="4">
        <v>162.5</v>
      </c>
      <c r="Q899" s="4">
        <v>54.000000000000007</v>
      </c>
      <c r="R899" s="4">
        <v>162</v>
      </c>
      <c r="S899" s="4" t="str" cm="1">
        <f t="array" ref="S899">_xlfn.IFS($R899&lt;=50,"Good",$R899&lt;=100,"Moderate",$R899&lt;=200,"Poor",$R899&lt;=300,"Very Poor",$R899&lt;=500,"Hazardous")</f>
        <v>Poor</v>
      </c>
      <c r="T899" t="s">
        <v>27</v>
      </c>
      <c r="X899" s="2"/>
      <c r="Y899" s="2"/>
    </row>
    <row r="900" spans="1:25" x14ac:dyDescent="0.3">
      <c r="A900" s="2">
        <v>45471</v>
      </c>
      <c r="B900" t="s">
        <v>23</v>
      </c>
      <c r="C900" s="4">
        <v>35.299999999999997</v>
      </c>
      <c r="D900" s="4">
        <v>133.30000000000001</v>
      </c>
      <c r="E900" s="4">
        <v>12.7</v>
      </c>
      <c r="F900" s="4">
        <v>7.34</v>
      </c>
      <c r="G900" s="4">
        <v>1</v>
      </c>
      <c r="H900" s="4">
        <v>0.83</v>
      </c>
      <c r="I900" s="4">
        <v>28.1</v>
      </c>
      <c r="J900" s="4">
        <v>50.6</v>
      </c>
      <c r="K900" s="4">
        <v>1.24</v>
      </c>
      <c r="L900" s="4">
        <v>58.833333333333329</v>
      </c>
      <c r="M900" s="4">
        <v>133.30000000000001</v>
      </c>
      <c r="N900" s="4">
        <v>15.875</v>
      </c>
      <c r="O900" s="4">
        <v>18.350000000000001</v>
      </c>
      <c r="P900" s="4">
        <v>2.5</v>
      </c>
      <c r="Q900" s="4">
        <v>41.499999999999993</v>
      </c>
      <c r="R900" s="4">
        <v>133</v>
      </c>
      <c r="S900" s="4" t="str" cm="1">
        <f t="array" ref="S900">_xlfn.IFS($R900&lt;=50,"Good",$R900&lt;=100,"Moderate",$R900&lt;=200,"Poor",$R900&lt;=300,"Very Poor",$R900&lt;=500,"Hazardous")</f>
        <v>Poor</v>
      </c>
      <c r="T900" t="s">
        <v>28</v>
      </c>
      <c r="X900" s="2"/>
      <c r="Y900" s="2"/>
    </row>
    <row r="901" spans="1:25" x14ac:dyDescent="0.3">
      <c r="A901" s="2">
        <v>45471</v>
      </c>
      <c r="B901" t="s">
        <v>24</v>
      </c>
      <c r="C901" s="4">
        <v>75.099999999999994</v>
      </c>
      <c r="D901" s="4">
        <v>100.1</v>
      </c>
      <c r="E901" s="4">
        <v>31</v>
      </c>
      <c r="F901" s="4">
        <v>7.22</v>
      </c>
      <c r="G901" s="4">
        <v>116.5</v>
      </c>
      <c r="H901" s="4">
        <v>1.67</v>
      </c>
      <c r="I901" s="4">
        <v>33.1</v>
      </c>
      <c r="J901" s="4">
        <v>67.8</v>
      </c>
      <c r="K901" s="4">
        <v>3.2</v>
      </c>
      <c r="L901" s="4">
        <v>125.1666666666666</v>
      </c>
      <c r="M901" s="4">
        <v>100.1</v>
      </c>
      <c r="N901" s="4">
        <v>38.75</v>
      </c>
      <c r="O901" s="4">
        <v>18.05</v>
      </c>
      <c r="P901" s="4">
        <v>291.25</v>
      </c>
      <c r="Q901" s="4">
        <v>83.499999999999986</v>
      </c>
      <c r="R901" s="4">
        <v>291</v>
      </c>
      <c r="S901" s="4" t="str" cm="1">
        <f t="array" ref="S901">_xlfn.IFS($R901&lt;=50,"Good",$R901&lt;=100,"Moderate",$R901&lt;=200,"Poor",$R901&lt;=300,"Very Poor",$R901&lt;=500,"Hazardous")</f>
        <v>Very Poor</v>
      </c>
      <c r="T901" t="s">
        <v>27</v>
      </c>
      <c r="X901" s="2"/>
      <c r="Y901" s="2"/>
    </row>
    <row r="902" spans="1:25" x14ac:dyDescent="0.3">
      <c r="A902" s="2">
        <v>45472</v>
      </c>
      <c r="B902" t="s">
        <v>20</v>
      </c>
      <c r="C902" s="4">
        <v>2</v>
      </c>
      <c r="D902" s="4">
        <v>72.900000000000006</v>
      </c>
      <c r="E902" s="4">
        <v>32.6</v>
      </c>
      <c r="F902" s="4">
        <v>0.5</v>
      </c>
      <c r="G902" s="4">
        <v>12.7</v>
      </c>
      <c r="H902" s="4">
        <v>0.05</v>
      </c>
      <c r="I902" s="4">
        <v>24.7</v>
      </c>
      <c r="J902" s="4">
        <v>74.7</v>
      </c>
      <c r="K902" s="4">
        <v>3.83</v>
      </c>
      <c r="L902" s="4">
        <v>3.333333333333333</v>
      </c>
      <c r="M902" s="4">
        <v>72.900000000000006</v>
      </c>
      <c r="N902" s="4">
        <v>40.75</v>
      </c>
      <c r="O902" s="4">
        <v>1.25</v>
      </c>
      <c r="P902" s="4">
        <v>31.75</v>
      </c>
      <c r="Q902" s="4">
        <v>2.5</v>
      </c>
      <c r="R902" s="4">
        <v>73</v>
      </c>
      <c r="S902" s="4" t="str" cm="1">
        <f t="array" ref="S902">_xlfn.IFS($R902&lt;=50,"Good",$R902&lt;=100,"Moderate",$R902&lt;=200,"Poor",$R902&lt;=300,"Very Poor",$R902&lt;=500,"Hazardous")</f>
        <v>Moderate</v>
      </c>
      <c r="T902" t="s">
        <v>28</v>
      </c>
      <c r="X902" s="2"/>
      <c r="Y902" s="2"/>
    </row>
    <row r="903" spans="1:25" x14ac:dyDescent="0.3">
      <c r="A903" s="2">
        <v>45472</v>
      </c>
      <c r="B903" t="s">
        <v>21</v>
      </c>
      <c r="C903" s="4">
        <v>72.400000000000006</v>
      </c>
      <c r="D903" s="4">
        <v>62.2</v>
      </c>
      <c r="E903" s="4">
        <v>6.4</v>
      </c>
      <c r="F903" s="4">
        <v>0.5</v>
      </c>
      <c r="G903" s="4">
        <v>10.3</v>
      </c>
      <c r="H903" s="4">
        <v>0.67</v>
      </c>
      <c r="I903" s="4">
        <v>23.9</v>
      </c>
      <c r="J903" s="4">
        <v>41.7</v>
      </c>
      <c r="K903" s="4">
        <v>2.91</v>
      </c>
      <c r="L903" s="4">
        <v>120.6666666666667</v>
      </c>
      <c r="M903" s="4">
        <v>62.2</v>
      </c>
      <c r="N903" s="4">
        <v>8</v>
      </c>
      <c r="O903" s="4">
        <v>1.25</v>
      </c>
      <c r="P903" s="4">
        <v>25.75</v>
      </c>
      <c r="Q903" s="4">
        <v>33.5</v>
      </c>
      <c r="R903" s="4">
        <v>121</v>
      </c>
      <c r="S903" s="4" t="str" cm="1">
        <f t="array" ref="S903">_xlfn.IFS($R903&lt;=50,"Good",$R903&lt;=100,"Moderate",$R903&lt;=200,"Poor",$R903&lt;=300,"Very Poor",$R903&lt;=500,"Hazardous")</f>
        <v>Poor</v>
      </c>
      <c r="T903" t="s">
        <v>25</v>
      </c>
      <c r="X903" s="2"/>
      <c r="Y903" s="2"/>
    </row>
    <row r="904" spans="1:25" x14ac:dyDescent="0.3">
      <c r="A904" s="2">
        <v>45472</v>
      </c>
      <c r="B904" t="s">
        <v>22</v>
      </c>
      <c r="C904" s="4">
        <v>40.299999999999997</v>
      </c>
      <c r="D904" s="4">
        <v>91.7</v>
      </c>
      <c r="E904" s="4">
        <v>51.5</v>
      </c>
      <c r="F904" s="4">
        <v>1.6</v>
      </c>
      <c r="G904" s="4">
        <v>47.9</v>
      </c>
      <c r="H904" s="4">
        <v>0.91</v>
      </c>
      <c r="I904" s="4">
        <v>22.7</v>
      </c>
      <c r="J904" s="4">
        <v>75.900000000000006</v>
      </c>
      <c r="K904" s="4">
        <v>3.55</v>
      </c>
      <c r="L904" s="4">
        <v>67.166666666666671</v>
      </c>
      <c r="M904" s="4">
        <v>91.7</v>
      </c>
      <c r="N904" s="4">
        <v>64.375</v>
      </c>
      <c r="O904" s="4">
        <v>4</v>
      </c>
      <c r="P904" s="4">
        <v>119.75</v>
      </c>
      <c r="Q904" s="4">
        <v>45.5</v>
      </c>
      <c r="R904" s="4">
        <v>120</v>
      </c>
      <c r="S904" s="4" t="str" cm="1">
        <f t="array" ref="S904">_xlfn.IFS($R904&lt;=50,"Good",$R904&lt;=100,"Moderate",$R904&lt;=200,"Poor",$R904&lt;=300,"Very Poor",$R904&lt;=500,"Hazardous")</f>
        <v>Poor</v>
      </c>
      <c r="T904" t="s">
        <v>27</v>
      </c>
      <c r="X904" s="2"/>
      <c r="Y904" s="2"/>
    </row>
    <row r="905" spans="1:25" x14ac:dyDescent="0.3">
      <c r="A905" s="2">
        <v>45472</v>
      </c>
      <c r="B905" t="s">
        <v>23</v>
      </c>
      <c r="C905" s="4">
        <v>25.3</v>
      </c>
      <c r="D905" s="4">
        <v>87.3</v>
      </c>
      <c r="E905" s="4">
        <v>40.5</v>
      </c>
      <c r="F905" s="4">
        <v>5.31</v>
      </c>
      <c r="G905" s="4">
        <v>54.6</v>
      </c>
      <c r="H905" s="4">
        <v>1.0900000000000001</v>
      </c>
      <c r="I905" s="4">
        <v>37.799999999999997</v>
      </c>
      <c r="J905" s="4">
        <v>32.5</v>
      </c>
      <c r="K905" s="4">
        <v>2.35</v>
      </c>
      <c r="L905" s="4">
        <v>42.166666666666657</v>
      </c>
      <c r="M905" s="4">
        <v>87.3</v>
      </c>
      <c r="N905" s="4">
        <v>50.625</v>
      </c>
      <c r="O905" s="4">
        <v>13.275</v>
      </c>
      <c r="P905" s="4">
        <v>136.5</v>
      </c>
      <c r="Q905" s="4">
        <v>54.500000000000007</v>
      </c>
      <c r="R905" s="4">
        <v>136</v>
      </c>
      <c r="S905" s="4" t="str" cm="1">
        <f t="array" ref="S905">_xlfn.IFS($R905&lt;=50,"Good",$R905&lt;=100,"Moderate",$R905&lt;=200,"Poor",$R905&lt;=300,"Very Poor",$R905&lt;=500,"Hazardous")</f>
        <v>Poor</v>
      </c>
      <c r="T905" t="s">
        <v>27</v>
      </c>
      <c r="X905" s="2"/>
      <c r="Y905" s="2"/>
    </row>
    <row r="906" spans="1:25" x14ac:dyDescent="0.3">
      <c r="A906" s="2">
        <v>45472</v>
      </c>
      <c r="B906" t="s">
        <v>24</v>
      </c>
      <c r="C906" s="4">
        <v>28.8</v>
      </c>
      <c r="D906" s="4">
        <v>137.5</v>
      </c>
      <c r="E906" s="4">
        <v>11.1</v>
      </c>
      <c r="F906" s="4">
        <v>8.56</v>
      </c>
      <c r="G906" s="4">
        <v>26.7</v>
      </c>
      <c r="H906" s="4">
        <v>0.67</v>
      </c>
      <c r="I906" s="4">
        <v>14.9</v>
      </c>
      <c r="J906" s="4">
        <v>51.6</v>
      </c>
      <c r="K906" s="4">
        <v>4.3</v>
      </c>
      <c r="L906" s="4">
        <v>48</v>
      </c>
      <c r="M906" s="4">
        <v>137.5</v>
      </c>
      <c r="N906" s="4">
        <v>13.875</v>
      </c>
      <c r="O906" s="4">
        <v>21.4</v>
      </c>
      <c r="P906" s="4">
        <v>66.75</v>
      </c>
      <c r="Q906" s="4">
        <v>33.5</v>
      </c>
      <c r="R906" s="4">
        <v>138</v>
      </c>
      <c r="S906" s="4" t="str" cm="1">
        <f t="array" ref="S906">_xlfn.IFS($R906&lt;=50,"Good",$R906&lt;=100,"Moderate",$R906&lt;=200,"Poor",$R906&lt;=300,"Very Poor",$R906&lt;=500,"Hazardous")</f>
        <v>Poor</v>
      </c>
      <c r="T906" t="s">
        <v>28</v>
      </c>
      <c r="X906" s="2"/>
      <c r="Y906" s="2"/>
    </row>
    <row r="907" spans="1:25" x14ac:dyDescent="0.3">
      <c r="A907" s="2">
        <v>45473</v>
      </c>
      <c r="B907" t="s">
        <v>20</v>
      </c>
      <c r="C907" s="4">
        <v>54.5</v>
      </c>
      <c r="D907" s="4">
        <v>145</v>
      </c>
      <c r="E907" s="4">
        <v>72</v>
      </c>
      <c r="F907" s="4">
        <v>8.57</v>
      </c>
      <c r="G907" s="4">
        <v>29.9</v>
      </c>
      <c r="H907" s="4">
        <v>1.36</v>
      </c>
      <c r="I907" s="4">
        <v>21.2</v>
      </c>
      <c r="J907" s="4">
        <v>50.9</v>
      </c>
      <c r="K907" s="4">
        <v>0.68</v>
      </c>
      <c r="L907" s="4">
        <v>90.833333333333329</v>
      </c>
      <c r="M907" s="4">
        <v>145</v>
      </c>
      <c r="N907" s="4">
        <v>90</v>
      </c>
      <c r="O907" s="4">
        <v>21.425000000000001</v>
      </c>
      <c r="P907" s="4">
        <v>74.75</v>
      </c>
      <c r="Q907" s="4">
        <v>68</v>
      </c>
      <c r="R907" s="4">
        <v>145</v>
      </c>
      <c r="S907" s="4" t="str" cm="1">
        <f t="array" ref="S907">_xlfn.IFS($R907&lt;=50,"Good",$R907&lt;=100,"Moderate",$R907&lt;=200,"Poor",$R907&lt;=300,"Very Poor",$R907&lt;=500,"Hazardous")</f>
        <v>Poor</v>
      </c>
      <c r="T907" t="s">
        <v>28</v>
      </c>
      <c r="X907" s="2"/>
      <c r="Y907" s="2"/>
    </row>
    <row r="908" spans="1:25" x14ac:dyDescent="0.3">
      <c r="A908" s="2">
        <v>45473</v>
      </c>
      <c r="B908" t="s">
        <v>21</v>
      </c>
      <c r="C908" s="4">
        <v>87.8</v>
      </c>
      <c r="D908" s="4">
        <v>96.8</v>
      </c>
      <c r="E908" s="4">
        <v>48.6</v>
      </c>
      <c r="F908" s="4">
        <v>2.82</v>
      </c>
      <c r="G908" s="4">
        <v>63.6</v>
      </c>
      <c r="H908" s="4">
        <v>0.74</v>
      </c>
      <c r="I908" s="4">
        <v>24</v>
      </c>
      <c r="J908" s="4">
        <v>75.8</v>
      </c>
      <c r="K908" s="4">
        <v>3.45</v>
      </c>
      <c r="L908" s="4">
        <v>146.33333333333329</v>
      </c>
      <c r="M908" s="4">
        <v>96.8</v>
      </c>
      <c r="N908" s="4">
        <v>60.75</v>
      </c>
      <c r="O908" s="4">
        <v>7.05</v>
      </c>
      <c r="P908" s="4">
        <v>159</v>
      </c>
      <c r="Q908" s="4">
        <v>37</v>
      </c>
      <c r="R908" s="4">
        <v>159</v>
      </c>
      <c r="S908" s="4" t="str" cm="1">
        <f t="array" ref="S908">_xlfn.IFS($R908&lt;=50,"Good",$R908&lt;=100,"Moderate",$R908&lt;=200,"Poor",$R908&lt;=300,"Very Poor",$R908&lt;=500,"Hazardous")</f>
        <v>Poor</v>
      </c>
      <c r="T908" t="s">
        <v>27</v>
      </c>
      <c r="X908" s="2"/>
      <c r="Y908" s="2"/>
    </row>
    <row r="909" spans="1:25" x14ac:dyDescent="0.3">
      <c r="A909" s="2">
        <v>45473</v>
      </c>
      <c r="B909" t="s">
        <v>22</v>
      </c>
      <c r="C909" s="4">
        <v>45.1</v>
      </c>
      <c r="D909" s="4">
        <v>10.6</v>
      </c>
      <c r="E909" s="4">
        <v>79.7</v>
      </c>
      <c r="F909" s="4">
        <v>12.71</v>
      </c>
      <c r="G909" s="4">
        <v>55.2</v>
      </c>
      <c r="H909" s="4">
        <v>0.56999999999999995</v>
      </c>
      <c r="I909" s="4">
        <v>24.2</v>
      </c>
      <c r="J909" s="4">
        <v>50.2</v>
      </c>
      <c r="K909" s="4">
        <v>4.0199999999999996</v>
      </c>
      <c r="L909" s="4">
        <v>75.166666666666671</v>
      </c>
      <c r="M909" s="4">
        <v>10.6</v>
      </c>
      <c r="N909" s="4">
        <v>99.625</v>
      </c>
      <c r="O909" s="4">
        <v>31.775000000000009</v>
      </c>
      <c r="P909" s="4">
        <v>138</v>
      </c>
      <c r="Q909" s="4">
        <v>28.5</v>
      </c>
      <c r="R909" s="4">
        <v>138</v>
      </c>
      <c r="S909" s="4" t="str" cm="1">
        <f t="array" ref="S909">_xlfn.IFS($R909&lt;=50,"Good",$R909&lt;=100,"Moderate",$R909&lt;=200,"Poor",$R909&lt;=300,"Very Poor",$R909&lt;=500,"Hazardous")</f>
        <v>Poor</v>
      </c>
      <c r="T909" t="s">
        <v>27</v>
      </c>
      <c r="X909" s="2"/>
      <c r="Y909" s="2"/>
    </row>
    <row r="910" spans="1:25" x14ac:dyDescent="0.3">
      <c r="A910" s="2">
        <v>45473</v>
      </c>
      <c r="B910" t="s">
        <v>23</v>
      </c>
      <c r="C910" s="4">
        <v>54.3</v>
      </c>
      <c r="D910" s="4">
        <v>58.4</v>
      </c>
      <c r="E910" s="4">
        <v>28.5</v>
      </c>
      <c r="F910" s="4">
        <v>10.88</v>
      </c>
      <c r="G910" s="4">
        <v>80</v>
      </c>
      <c r="H910" s="4">
        <v>1.69</v>
      </c>
      <c r="I910" s="4">
        <v>30.3</v>
      </c>
      <c r="J910" s="4">
        <v>55.5</v>
      </c>
      <c r="K910" s="4">
        <v>0.2</v>
      </c>
      <c r="L910" s="4">
        <v>90.5</v>
      </c>
      <c r="M910" s="4">
        <v>58.4</v>
      </c>
      <c r="N910" s="4">
        <v>35.625</v>
      </c>
      <c r="O910" s="4">
        <v>27.2</v>
      </c>
      <c r="P910" s="4">
        <v>200</v>
      </c>
      <c r="Q910" s="4">
        <v>84.499999999999986</v>
      </c>
      <c r="R910" s="4">
        <v>200</v>
      </c>
      <c r="S910" s="4" t="str" cm="1">
        <f t="array" ref="S910">_xlfn.IFS($R910&lt;=50,"Good",$R910&lt;=100,"Moderate",$R910&lt;=200,"Poor",$R910&lt;=300,"Very Poor",$R910&lt;=500,"Hazardous")</f>
        <v>Poor</v>
      </c>
      <c r="T910" t="s">
        <v>27</v>
      </c>
      <c r="X910" s="2"/>
      <c r="Y910" s="2"/>
    </row>
    <row r="911" spans="1:25" x14ac:dyDescent="0.3">
      <c r="A911" s="2">
        <v>45473</v>
      </c>
      <c r="B911" t="s">
        <v>24</v>
      </c>
      <c r="C911" s="4">
        <v>60.6</v>
      </c>
      <c r="D911" s="4">
        <v>105.5</v>
      </c>
      <c r="E911" s="4">
        <v>42.1</v>
      </c>
      <c r="F911" s="4">
        <v>7.28</v>
      </c>
      <c r="G911" s="4">
        <v>7.5</v>
      </c>
      <c r="H911" s="4">
        <v>1.35</v>
      </c>
      <c r="I911" s="4">
        <v>29.4</v>
      </c>
      <c r="J911" s="4">
        <v>72.3</v>
      </c>
      <c r="K911" s="4">
        <v>4.1399999999999997</v>
      </c>
      <c r="L911" s="4">
        <v>101</v>
      </c>
      <c r="M911" s="4">
        <v>105.5</v>
      </c>
      <c r="N911" s="4">
        <v>52.625000000000007</v>
      </c>
      <c r="O911" s="4">
        <v>18.2</v>
      </c>
      <c r="P911" s="4">
        <v>18.75</v>
      </c>
      <c r="Q911" s="4">
        <v>67.5</v>
      </c>
      <c r="R911" s="4">
        <v>106</v>
      </c>
      <c r="S911" s="4" t="str" cm="1">
        <f t="array" ref="S911">_xlfn.IFS($R911&lt;=50,"Good",$R911&lt;=100,"Moderate",$R911&lt;=200,"Poor",$R911&lt;=300,"Very Poor",$R911&lt;=500,"Hazardous")</f>
        <v>Poor</v>
      </c>
      <c r="T911" t="s">
        <v>28</v>
      </c>
      <c r="X911" s="2"/>
      <c r="Y911" s="2"/>
    </row>
    <row r="912" spans="1:25" x14ac:dyDescent="0.3">
      <c r="A912" s="2">
        <v>45474</v>
      </c>
      <c r="B912" t="s">
        <v>20</v>
      </c>
      <c r="C912" s="4">
        <v>71.900000000000006</v>
      </c>
      <c r="D912" s="4">
        <v>87.8</v>
      </c>
      <c r="E912" s="4">
        <v>40.1</v>
      </c>
      <c r="F912" s="4">
        <v>7.78</v>
      </c>
      <c r="G912" s="4">
        <v>49.1</v>
      </c>
      <c r="H912" s="4">
        <v>1.66</v>
      </c>
      <c r="I912" s="4">
        <v>29.5</v>
      </c>
      <c r="J912" s="4">
        <v>97.4</v>
      </c>
      <c r="K912" s="4">
        <v>5.15</v>
      </c>
      <c r="L912" s="4">
        <v>119.8333333333333</v>
      </c>
      <c r="M912" s="4">
        <v>87.8</v>
      </c>
      <c r="N912" s="4">
        <v>50.125</v>
      </c>
      <c r="O912" s="4">
        <v>19.45</v>
      </c>
      <c r="P912" s="4">
        <v>122.75</v>
      </c>
      <c r="Q912" s="4">
        <v>82.999999999999986</v>
      </c>
      <c r="R912" s="4">
        <v>123</v>
      </c>
      <c r="S912" s="4" t="str" cm="1">
        <f t="array" ref="S912">_xlfn.IFS($R912&lt;=50,"Good",$R912&lt;=100,"Moderate",$R912&lt;=200,"Poor",$R912&lt;=300,"Very Poor",$R912&lt;=500,"Hazardous")</f>
        <v>Poor</v>
      </c>
      <c r="T912" t="s">
        <v>27</v>
      </c>
      <c r="X912" s="2"/>
      <c r="Y912" s="2"/>
    </row>
    <row r="913" spans="1:25" x14ac:dyDescent="0.3">
      <c r="A913" s="2">
        <v>45474</v>
      </c>
      <c r="B913" t="s">
        <v>21</v>
      </c>
      <c r="C913" s="4">
        <v>62.4</v>
      </c>
      <c r="D913" s="4">
        <v>5</v>
      </c>
      <c r="E913" s="4">
        <v>69.7</v>
      </c>
      <c r="F913" s="4">
        <v>5.3</v>
      </c>
      <c r="G913" s="4">
        <v>25</v>
      </c>
      <c r="H913" s="4">
        <v>0.96</v>
      </c>
      <c r="I913" s="4">
        <v>21.9</v>
      </c>
      <c r="J913" s="4">
        <v>71</v>
      </c>
      <c r="K913" s="4">
        <v>0.63</v>
      </c>
      <c r="L913" s="4">
        <v>104</v>
      </c>
      <c r="M913" s="4">
        <v>5</v>
      </c>
      <c r="N913" s="4">
        <v>87.125000000000014</v>
      </c>
      <c r="O913" s="4">
        <v>13.25</v>
      </c>
      <c r="P913" s="4">
        <v>62.5</v>
      </c>
      <c r="Q913" s="4">
        <v>48</v>
      </c>
      <c r="R913" s="4">
        <v>104</v>
      </c>
      <c r="S913" s="4" t="str" cm="1">
        <f t="array" ref="S913">_xlfn.IFS($R913&lt;=50,"Good",$R913&lt;=100,"Moderate",$R913&lt;=200,"Poor",$R913&lt;=300,"Very Poor",$R913&lt;=500,"Hazardous")</f>
        <v>Poor</v>
      </c>
      <c r="T913" t="s">
        <v>25</v>
      </c>
      <c r="X913" s="2"/>
      <c r="Y913" s="2"/>
    </row>
    <row r="914" spans="1:25" x14ac:dyDescent="0.3">
      <c r="A914" s="2">
        <v>45474</v>
      </c>
      <c r="B914" t="s">
        <v>22</v>
      </c>
      <c r="C914" s="4">
        <v>21</v>
      </c>
      <c r="D914" s="4">
        <v>106.8</v>
      </c>
      <c r="E914" s="4">
        <v>43.7</v>
      </c>
      <c r="F914" s="4">
        <v>8.52</v>
      </c>
      <c r="G914" s="4">
        <v>19.3</v>
      </c>
      <c r="H914" s="4">
        <v>0.47</v>
      </c>
      <c r="I914" s="4">
        <v>21.5</v>
      </c>
      <c r="J914" s="4">
        <v>64.3</v>
      </c>
      <c r="K914" s="4">
        <v>4.28</v>
      </c>
      <c r="L914" s="4">
        <v>35</v>
      </c>
      <c r="M914" s="4">
        <v>106.8</v>
      </c>
      <c r="N914" s="4">
        <v>54.625000000000007</v>
      </c>
      <c r="O914" s="4">
        <v>21.3</v>
      </c>
      <c r="P914" s="4">
        <v>48.25</v>
      </c>
      <c r="Q914" s="4">
        <v>23.5</v>
      </c>
      <c r="R914" s="4">
        <v>107</v>
      </c>
      <c r="S914" s="4" t="str" cm="1">
        <f t="array" ref="S914">_xlfn.IFS($R914&lt;=50,"Good",$R914&lt;=100,"Moderate",$R914&lt;=200,"Poor",$R914&lt;=300,"Very Poor",$R914&lt;=500,"Hazardous")</f>
        <v>Poor</v>
      </c>
      <c r="T914" t="s">
        <v>28</v>
      </c>
      <c r="X914" s="2"/>
      <c r="Y914" s="2"/>
    </row>
    <row r="915" spans="1:25" x14ac:dyDescent="0.3">
      <c r="A915" s="2">
        <v>45474</v>
      </c>
      <c r="B915" t="s">
        <v>23</v>
      </c>
      <c r="C915" s="4">
        <v>2</v>
      </c>
      <c r="D915" s="4">
        <v>85.4</v>
      </c>
      <c r="E915" s="4">
        <v>14.7</v>
      </c>
      <c r="F915" s="4">
        <v>0.5</v>
      </c>
      <c r="G915" s="4">
        <v>64.2</v>
      </c>
      <c r="H915" s="4">
        <v>1.22</v>
      </c>
      <c r="I915" s="4">
        <v>28.1</v>
      </c>
      <c r="J915" s="4">
        <v>76.599999999999994</v>
      </c>
      <c r="K915" s="4">
        <v>1.92</v>
      </c>
      <c r="L915" s="4">
        <v>3.333333333333333</v>
      </c>
      <c r="M915" s="4">
        <v>85.4</v>
      </c>
      <c r="N915" s="4">
        <v>18.375</v>
      </c>
      <c r="O915" s="4">
        <v>1.25</v>
      </c>
      <c r="P915" s="4">
        <v>160.5</v>
      </c>
      <c r="Q915" s="4">
        <v>61</v>
      </c>
      <c r="R915" s="4">
        <v>160</v>
      </c>
      <c r="S915" s="4" t="str" cm="1">
        <f t="array" ref="S915">_xlfn.IFS($R915&lt;=50,"Good",$R915&lt;=100,"Moderate",$R915&lt;=200,"Poor",$R915&lt;=300,"Very Poor",$R915&lt;=500,"Hazardous")</f>
        <v>Poor</v>
      </c>
      <c r="T915" t="s">
        <v>27</v>
      </c>
      <c r="X915" s="2"/>
      <c r="Y915" s="2"/>
    </row>
    <row r="916" spans="1:25" x14ac:dyDescent="0.3">
      <c r="A916" s="2">
        <v>45474</v>
      </c>
      <c r="B916" t="s">
        <v>24</v>
      </c>
      <c r="C916" s="4">
        <v>41.4</v>
      </c>
      <c r="D916" s="4">
        <v>221</v>
      </c>
      <c r="E916" s="4">
        <v>35.299999999999997</v>
      </c>
      <c r="F916" s="4">
        <v>10.27</v>
      </c>
      <c r="G916" s="4">
        <v>44.2</v>
      </c>
      <c r="H916" s="4">
        <v>0.08</v>
      </c>
      <c r="I916" s="4">
        <v>10.7</v>
      </c>
      <c r="J916" s="4">
        <v>49.6</v>
      </c>
      <c r="K916" s="4">
        <v>4.2699999999999996</v>
      </c>
      <c r="L916" s="4">
        <v>68.999999999999986</v>
      </c>
      <c r="M916" s="4">
        <v>221</v>
      </c>
      <c r="N916" s="4">
        <v>44.125</v>
      </c>
      <c r="O916" s="4">
        <v>25.675000000000001</v>
      </c>
      <c r="P916" s="4">
        <v>110.5</v>
      </c>
      <c r="Q916" s="4">
        <v>4</v>
      </c>
      <c r="R916" s="4">
        <v>221</v>
      </c>
      <c r="S916" s="4" t="str" cm="1">
        <f t="array" ref="S916">_xlfn.IFS($R916&lt;=50,"Good",$R916&lt;=100,"Moderate",$R916&lt;=200,"Poor",$R916&lt;=300,"Very Poor",$R916&lt;=500,"Hazardous")</f>
        <v>Very Poor</v>
      </c>
      <c r="T916" t="s">
        <v>28</v>
      </c>
      <c r="X916" s="2"/>
      <c r="Y916" s="2"/>
    </row>
    <row r="917" spans="1:25" x14ac:dyDescent="0.3">
      <c r="A917" s="2">
        <v>45475</v>
      </c>
      <c r="B917" t="s">
        <v>20</v>
      </c>
      <c r="C917" s="4">
        <v>77</v>
      </c>
      <c r="D917" s="4">
        <v>160.9</v>
      </c>
      <c r="E917" s="4">
        <v>23.2</v>
      </c>
      <c r="F917" s="4">
        <v>14.79</v>
      </c>
      <c r="G917" s="4">
        <v>18.3</v>
      </c>
      <c r="H917" s="4">
        <v>1.22</v>
      </c>
      <c r="I917" s="4">
        <v>24.9</v>
      </c>
      <c r="J917" s="4">
        <v>56.9</v>
      </c>
      <c r="K917" s="4">
        <v>4.1100000000000003</v>
      </c>
      <c r="L917" s="4">
        <v>128.33333333333329</v>
      </c>
      <c r="M917" s="4">
        <v>160.9</v>
      </c>
      <c r="N917" s="4">
        <v>29</v>
      </c>
      <c r="O917" s="4">
        <v>36.975000000000001</v>
      </c>
      <c r="P917" s="4">
        <v>45.75</v>
      </c>
      <c r="Q917" s="4">
        <v>61</v>
      </c>
      <c r="R917" s="4">
        <v>161</v>
      </c>
      <c r="S917" s="4" t="str" cm="1">
        <f t="array" ref="S917">_xlfn.IFS($R917&lt;=50,"Good",$R917&lt;=100,"Moderate",$R917&lt;=200,"Poor",$R917&lt;=300,"Very Poor",$R917&lt;=500,"Hazardous")</f>
        <v>Poor</v>
      </c>
      <c r="T917" t="s">
        <v>28</v>
      </c>
      <c r="X917" s="2"/>
      <c r="Y917" s="2"/>
    </row>
    <row r="918" spans="1:25" x14ac:dyDescent="0.3">
      <c r="A918" s="2">
        <v>45475</v>
      </c>
      <c r="B918" t="s">
        <v>21</v>
      </c>
      <c r="C918" s="4">
        <v>38.799999999999997</v>
      </c>
      <c r="D918" s="4">
        <v>39</v>
      </c>
      <c r="E918" s="4">
        <v>45.4</v>
      </c>
      <c r="F918" s="4">
        <v>6</v>
      </c>
      <c r="G918" s="4">
        <v>155.5</v>
      </c>
      <c r="H918" s="4">
        <v>1.61</v>
      </c>
      <c r="I918" s="4">
        <v>22.1</v>
      </c>
      <c r="J918" s="4">
        <v>41</v>
      </c>
      <c r="K918" s="4">
        <v>0.24</v>
      </c>
      <c r="L918" s="4">
        <v>64.666666666666657</v>
      </c>
      <c r="M918" s="4">
        <v>39</v>
      </c>
      <c r="N918" s="4">
        <v>56.749999999999993</v>
      </c>
      <c r="O918" s="4">
        <v>15</v>
      </c>
      <c r="P918" s="4">
        <v>388.75</v>
      </c>
      <c r="Q918" s="4">
        <v>80.5</v>
      </c>
      <c r="R918" s="4">
        <v>389</v>
      </c>
      <c r="S918" s="4" t="str" cm="1">
        <f t="array" ref="S918">_xlfn.IFS($R918&lt;=50,"Good",$R918&lt;=100,"Moderate",$R918&lt;=200,"Poor",$R918&lt;=300,"Very Poor",$R918&lt;=500,"Hazardous")</f>
        <v>Hazardous</v>
      </c>
      <c r="T918" t="s">
        <v>27</v>
      </c>
      <c r="X918" s="2"/>
      <c r="Y918" s="2"/>
    </row>
    <row r="919" spans="1:25" x14ac:dyDescent="0.3">
      <c r="A919" s="2">
        <v>45475</v>
      </c>
      <c r="B919" t="s">
        <v>22</v>
      </c>
      <c r="C919" s="4">
        <v>22.2</v>
      </c>
      <c r="D919" s="4">
        <v>96.4</v>
      </c>
      <c r="E919" s="4">
        <v>55.9</v>
      </c>
      <c r="F919" s="4">
        <v>10.34</v>
      </c>
      <c r="G919" s="4">
        <v>43.4</v>
      </c>
      <c r="H919" s="4">
        <v>0.76</v>
      </c>
      <c r="I919" s="4">
        <v>26.9</v>
      </c>
      <c r="J919" s="4">
        <v>50.7</v>
      </c>
      <c r="K919" s="4">
        <v>4.5599999999999996</v>
      </c>
      <c r="L919" s="4">
        <v>37</v>
      </c>
      <c r="M919" s="4">
        <v>96.4</v>
      </c>
      <c r="N919" s="4">
        <v>69.874999999999986</v>
      </c>
      <c r="O919" s="4">
        <v>25.85</v>
      </c>
      <c r="P919" s="4">
        <v>108.5</v>
      </c>
      <c r="Q919" s="4">
        <v>38</v>
      </c>
      <c r="R919" s="4">
        <v>108</v>
      </c>
      <c r="S919" s="4" t="str" cm="1">
        <f t="array" ref="S919">_xlfn.IFS($R919&lt;=50,"Good",$R919&lt;=100,"Moderate",$R919&lt;=200,"Poor",$R919&lt;=300,"Very Poor",$R919&lt;=500,"Hazardous")</f>
        <v>Poor</v>
      </c>
      <c r="T919" t="s">
        <v>27</v>
      </c>
      <c r="X919" s="2"/>
      <c r="Y919" s="2"/>
    </row>
    <row r="920" spans="1:25" x14ac:dyDescent="0.3">
      <c r="A920" s="2">
        <v>45475</v>
      </c>
      <c r="B920" t="s">
        <v>23</v>
      </c>
      <c r="C920" s="4">
        <v>43.5</v>
      </c>
      <c r="D920" s="4">
        <v>91.9</v>
      </c>
      <c r="E920" s="4">
        <v>2</v>
      </c>
      <c r="F920" s="4">
        <v>5.62</v>
      </c>
      <c r="G920" s="4">
        <v>60.9</v>
      </c>
      <c r="H920" s="4">
        <v>0.45</v>
      </c>
      <c r="I920" s="4">
        <v>19.7</v>
      </c>
      <c r="J920" s="4">
        <v>74.3</v>
      </c>
      <c r="K920" s="4">
        <v>0.73</v>
      </c>
      <c r="L920" s="4">
        <v>72.5</v>
      </c>
      <c r="M920" s="4">
        <v>91.9</v>
      </c>
      <c r="N920" s="4">
        <v>2.5</v>
      </c>
      <c r="O920" s="4">
        <v>14.05</v>
      </c>
      <c r="P920" s="4">
        <v>152.25</v>
      </c>
      <c r="Q920" s="4">
        <v>22.5</v>
      </c>
      <c r="R920" s="4">
        <v>152</v>
      </c>
      <c r="S920" s="4" t="str" cm="1">
        <f t="array" ref="S920">_xlfn.IFS($R920&lt;=50,"Good",$R920&lt;=100,"Moderate",$R920&lt;=200,"Poor",$R920&lt;=300,"Very Poor",$R920&lt;=500,"Hazardous")</f>
        <v>Poor</v>
      </c>
      <c r="T920" t="s">
        <v>27</v>
      </c>
      <c r="X920" s="2"/>
      <c r="Y920" s="2"/>
    </row>
    <row r="921" spans="1:25" x14ac:dyDescent="0.3">
      <c r="A921" s="2">
        <v>45475</v>
      </c>
      <c r="B921" t="s">
        <v>24</v>
      </c>
      <c r="C921" s="4">
        <v>80.7</v>
      </c>
      <c r="D921" s="4">
        <v>77.5</v>
      </c>
      <c r="E921" s="4">
        <v>32.799999999999997</v>
      </c>
      <c r="F921" s="4">
        <v>2.09</v>
      </c>
      <c r="G921" s="4">
        <v>54.4</v>
      </c>
      <c r="H921" s="4">
        <v>2.35</v>
      </c>
      <c r="I921" s="4">
        <v>30.5</v>
      </c>
      <c r="J921" s="4">
        <v>44.4</v>
      </c>
      <c r="K921" s="4">
        <v>4.3600000000000003</v>
      </c>
      <c r="L921" s="4">
        <v>134.5</v>
      </c>
      <c r="M921" s="4">
        <v>77.5</v>
      </c>
      <c r="N921" s="4">
        <v>40.999999999999993</v>
      </c>
      <c r="O921" s="4">
        <v>5.2249999999999996</v>
      </c>
      <c r="P921" s="4">
        <v>136</v>
      </c>
      <c r="Q921" s="4">
        <v>117.5</v>
      </c>
      <c r="R921" s="4">
        <v>136</v>
      </c>
      <c r="S921" s="4" t="str" cm="1">
        <f t="array" ref="S921">_xlfn.IFS($R921&lt;=50,"Good",$R921&lt;=100,"Moderate",$R921&lt;=200,"Poor",$R921&lt;=300,"Very Poor",$R921&lt;=500,"Hazardous")</f>
        <v>Poor</v>
      </c>
      <c r="T921" t="s">
        <v>27</v>
      </c>
      <c r="X921" s="2"/>
      <c r="Y921" s="2"/>
    </row>
    <row r="922" spans="1:25" x14ac:dyDescent="0.3">
      <c r="A922" s="2">
        <v>45476</v>
      </c>
      <c r="B922" t="s">
        <v>20</v>
      </c>
      <c r="C922" s="4">
        <v>46.5</v>
      </c>
      <c r="D922" s="4">
        <v>186.3</v>
      </c>
      <c r="E922" s="4">
        <v>56.2</v>
      </c>
      <c r="F922" s="4">
        <v>0.5</v>
      </c>
      <c r="G922" s="4">
        <v>17.100000000000001</v>
      </c>
      <c r="H922" s="4">
        <v>1.63</v>
      </c>
      <c r="I922" s="4">
        <v>26.1</v>
      </c>
      <c r="J922" s="4">
        <v>41.6</v>
      </c>
      <c r="K922" s="4">
        <v>1.74</v>
      </c>
      <c r="L922" s="4">
        <v>77.5</v>
      </c>
      <c r="M922" s="4">
        <v>186.3</v>
      </c>
      <c r="N922" s="4">
        <v>70.25</v>
      </c>
      <c r="O922" s="4">
        <v>1.25</v>
      </c>
      <c r="P922" s="4">
        <v>42.75</v>
      </c>
      <c r="Q922" s="4">
        <v>81.499999999999986</v>
      </c>
      <c r="R922" s="4">
        <v>186</v>
      </c>
      <c r="S922" s="4" t="str" cm="1">
        <f t="array" ref="S922">_xlfn.IFS($R922&lt;=50,"Good",$R922&lt;=100,"Moderate",$R922&lt;=200,"Poor",$R922&lt;=300,"Very Poor",$R922&lt;=500,"Hazardous")</f>
        <v>Poor</v>
      </c>
      <c r="T922" t="s">
        <v>28</v>
      </c>
      <c r="X922" s="2"/>
      <c r="Y922" s="2"/>
    </row>
    <row r="923" spans="1:25" x14ac:dyDescent="0.3">
      <c r="A923" s="2">
        <v>45476</v>
      </c>
      <c r="B923" t="s">
        <v>21</v>
      </c>
      <c r="C923" s="4">
        <v>2.8</v>
      </c>
      <c r="D923" s="4">
        <v>114.7</v>
      </c>
      <c r="E923" s="4">
        <v>89.2</v>
      </c>
      <c r="F923" s="4">
        <v>12.02</v>
      </c>
      <c r="G923" s="4">
        <v>118.5</v>
      </c>
      <c r="H923" s="4">
        <v>1.73</v>
      </c>
      <c r="I923" s="4">
        <v>32.200000000000003</v>
      </c>
      <c r="J923" s="4">
        <v>95.5</v>
      </c>
      <c r="K923" s="4">
        <v>2.95</v>
      </c>
      <c r="L923" s="4">
        <v>4.6666666666666661</v>
      </c>
      <c r="M923" s="4">
        <v>114.7</v>
      </c>
      <c r="N923" s="4">
        <v>111.5</v>
      </c>
      <c r="O923" s="4">
        <v>30.05</v>
      </c>
      <c r="P923" s="4">
        <v>296.25</v>
      </c>
      <c r="Q923" s="4">
        <v>86.5</v>
      </c>
      <c r="R923" s="4">
        <v>296</v>
      </c>
      <c r="S923" s="4" t="str" cm="1">
        <f t="array" ref="S923">_xlfn.IFS($R923&lt;=50,"Good",$R923&lt;=100,"Moderate",$R923&lt;=200,"Poor",$R923&lt;=300,"Very Poor",$R923&lt;=500,"Hazardous")</f>
        <v>Very Poor</v>
      </c>
      <c r="T923" t="s">
        <v>27</v>
      </c>
      <c r="X923" s="2"/>
      <c r="Y923" s="2"/>
    </row>
    <row r="924" spans="1:25" x14ac:dyDescent="0.3">
      <c r="A924" s="2">
        <v>45476</v>
      </c>
      <c r="B924" t="s">
        <v>22</v>
      </c>
      <c r="C924" s="4">
        <v>41.3</v>
      </c>
      <c r="D924" s="4">
        <v>138.30000000000001</v>
      </c>
      <c r="E924" s="4">
        <v>56.3</v>
      </c>
      <c r="F924" s="4">
        <v>4.26</v>
      </c>
      <c r="G924" s="4">
        <v>20.9</v>
      </c>
      <c r="H924" s="4">
        <v>0.98</v>
      </c>
      <c r="I924" s="4">
        <v>30.8</v>
      </c>
      <c r="J924" s="4">
        <v>74.400000000000006</v>
      </c>
      <c r="K924" s="4">
        <v>0.79</v>
      </c>
      <c r="L924" s="4">
        <v>68.833333333333329</v>
      </c>
      <c r="M924" s="4">
        <v>138.30000000000001</v>
      </c>
      <c r="N924" s="4">
        <v>70.375</v>
      </c>
      <c r="O924" s="4">
        <v>10.65</v>
      </c>
      <c r="P924" s="4">
        <v>52.25</v>
      </c>
      <c r="Q924" s="4">
        <v>49</v>
      </c>
      <c r="R924" s="4">
        <v>138</v>
      </c>
      <c r="S924" s="4" t="str" cm="1">
        <f t="array" ref="S924">_xlfn.IFS($R924&lt;=50,"Good",$R924&lt;=100,"Moderate",$R924&lt;=200,"Poor",$R924&lt;=300,"Very Poor",$R924&lt;=500,"Hazardous")</f>
        <v>Poor</v>
      </c>
      <c r="T924" t="s">
        <v>28</v>
      </c>
      <c r="X924" s="2"/>
      <c r="Y924" s="2"/>
    </row>
    <row r="925" spans="1:25" x14ac:dyDescent="0.3">
      <c r="A925" s="2">
        <v>45476</v>
      </c>
      <c r="B925" t="s">
        <v>23</v>
      </c>
      <c r="C925" s="4">
        <v>93.9</v>
      </c>
      <c r="D925" s="4">
        <v>65.2</v>
      </c>
      <c r="E925" s="4">
        <v>31.8</v>
      </c>
      <c r="F925" s="4">
        <v>2.79</v>
      </c>
      <c r="G925" s="4">
        <v>107.5</v>
      </c>
      <c r="H925" s="4">
        <v>1.08</v>
      </c>
      <c r="I925" s="4">
        <v>19</v>
      </c>
      <c r="J925" s="4">
        <v>75.599999999999994</v>
      </c>
      <c r="K925" s="4">
        <v>3.42</v>
      </c>
      <c r="L925" s="4">
        <v>156.5</v>
      </c>
      <c r="M925" s="4">
        <v>65.2</v>
      </c>
      <c r="N925" s="4">
        <v>39.75</v>
      </c>
      <c r="O925" s="4">
        <v>6.9750000000000014</v>
      </c>
      <c r="P925" s="4">
        <v>268.75</v>
      </c>
      <c r="Q925" s="4">
        <v>54.000000000000007</v>
      </c>
      <c r="R925" s="4">
        <v>269</v>
      </c>
      <c r="S925" s="4" t="str" cm="1">
        <f t="array" ref="S925">_xlfn.IFS($R925&lt;=50,"Good",$R925&lt;=100,"Moderate",$R925&lt;=200,"Poor",$R925&lt;=300,"Very Poor",$R925&lt;=500,"Hazardous")</f>
        <v>Very Poor</v>
      </c>
      <c r="T925" t="s">
        <v>27</v>
      </c>
      <c r="X925" s="2"/>
      <c r="Y925" s="2"/>
    </row>
    <row r="926" spans="1:25" x14ac:dyDescent="0.3">
      <c r="A926" s="2">
        <v>45476</v>
      </c>
      <c r="B926" t="s">
        <v>24</v>
      </c>
      <c r="C926" s="4">
        <v>47.8</v>
      </c>
      <c r="D926" s="4">
        <v>150</v>
      </c>
      <c r="E926" s="4">
        <v>25.1</v>
      </c>
      <c r="F926" s="4">
        <v>4.87</v>
      </c>
      <c r="G926" s="4">
        <v>1</v>
      </c>
      <c r="H926" s="4">
        <v>0.36</v>
      </c>
      <c r="I926" s="4">
        <v>37.700000000000003</v>
      </c>
      <c r="J926" s="4">
        <v>89.5</v>
      </c>
      <c r="K926" s="4">
        <v>3.08</v>
      </c>
      <c r="L926" s="4">
        <v>79.666666666666657</v>
      </c>
      <c r="M926" s="4">
        <v>150</v>
      </c>
      <c r="N926" s="4">
        <v>31.375</v>
      </c>
      <c r="O926" s="4">
        <v>12.175000000000001</v>
      </c>
      <c r="P926" s="4">
        <v>2.5</v>
      </c>
      <c r="Q926" s="4">
        <v>18</v>
      </c>
      <c r="R926" s="4">
        <v>150</v>
      </c>
      <c r="S926" s="4" t="str" cm="1">
        <f t="array" ref="S926">_xlfn.IFS($R926&lt;=50,"Good",$R926&lt;=100,"Moderate",$R926&lt;=200,"Poor",$R926&lt;=300,"Very Poor",$R926&lt;=500,"Hazardous")</f>
        <v>Poor</v>
      </c>
      <c r="T926" t="s">
        <v>28</v>
      </c>
      <c r="X926" s="2"/>
      <c r="Y926" s="2"/>
    </row>
    <row r="927" spans="1:25" x14ac:dyDescent="0.3">
      <c r="A927" s="2">
        <v>45477</v>
      </c>
      <c r="B927" t="s">
        <v>20</v>
      </c>
      <c r="C927" s="4">
        <v>101.1</v>
      </c>
      <c r="D927" s="4">
        <v>101.6</v>
      </c>
      <c r="E927" s="4">
        <v>36.9</v>
      </c>
      <c r="F927" s="4">
        <v>7.62</v>
      </c>
      <c r="G927" s="4">
        <v>42.4</v>
      </c>
      <c r="H927" s="4">
        <v>0.99</v>
      </c>
      <c r="I927" s="4">
        <v>33</v>
      </c>
      <c r="J927" s="4">
        <v>62.7</v>
      </c>
      <c r="K927" s="4">
        <v>3.35</v>
      </c>
      <c r="L927" s="4">
        <v>168.5</v>
      </c>
      <c r="M927" s="4">
        <v>101.6</v>
      </c>
      <c r="N927" s="4">
        <v>46.125</v>
      </c>
      <c r="O927" s="4">
        <v>19.05</v>
      </c>
      <c r="P927" s="4">
        <v>106</v>
      </c>
      <c r="Q927" s="4">
        <v>49.5</v>
      </c>
      <c r="R927" s="4">
        <v>168</v>
      </c>
      <c r="S927" s="4" t="str" cm="1">
        <f t="array" ref="S927">_xlfn.IFS($R927&lt;=50,"Good",$R927&lt;=100,"Moderate",$R927&lt;=200,"Poor",$R927&lt;=300,"Very Poor",$R927&lt;=500,"Hazardous")</f>
        <v>Poor</v>
      </c>
      <c r="T927" t="s">
        <v>25</v>
      </c>
      <c r="X927" s="2"/>
      <c r="Y927" s="2"/>
    </row>
    <row r="928" spans="1:25" x14ac:dyDescent="0.3">
      <c r="A928" s="2">
        <v>45477</v>
      </c>
      <c r="B928" t="s">
        <v>21</v>
      </c>
      <c r="C928" s="4">
        <v>90.9</v>
      </c>
      <c r="D928" s="4">
        <v>143.30000000000001</v>
      </c>
      <c r="E928" s="4">
        <v>25.6</v>
      </c>
      <c r="F928" s="4">
        <v>1.24</v>
      </c>
      <c r="G928" s="4">
        <v>54.6</v>
      </c>
      <c r="H928" s="4">
        <v>1.1000000000000001</v>
      </c>
      <c r="I928" s="4">
        <v>25.6</v>
      </c>
      <c r="J928" s="4">
        <v>59.7</v>
      </c>
      <c r="K928" s="4">
        <v>5.6</v>
      </c>
      <c r="L928" s="4">
        <v>151.5</v>
      </c>
      <c r="M928" s="4">
        <v>143.30000000000001</v>
      </c>
      <c r="N928" s="4">
        <v>32</v>
      </c>
      <c r="O928" s="4">
        <v>3.1</v>
      </c>
      <c r="P928" s="4">
        <v>136.5</v>
      </c>
      <c r="Q928" s="4">
        <v>55.000000000000007</v>
      </c>
      <c r="R928" s="4">
        <v>152</v>
      </c>
      <c r="S928" s="4" t="str" cm="1">
        <f t="array" ref="S928">_xlfn.IFS($R928&lt;=50,"Good",$R928&lt;=100,"Moderate",$R928&lt;=200,"Poor",$R928&lt;=300,"Very Poor",$R928&lt;=500,"Hazardous")</f>
        <v>Poor</v>
      </c>
      <c r="T928" t="s">
        <v>25</v>
      </c>
      <c r="X928" s="2"/>
      <c r="Y928" s="2"/>
    </row>
    <row r="929" spans="1:25" x14ac:dyDescent="0.3">
      <c r="A929" s="2">
        <v>45477</v>
      </c>
      <c r="B929" t="s">
        <v>22</v>
      </c>
      <c r="C929" s="4">
        <v>15.3</v>
      </c>
      <c r="D929" s="4">
        <v>5</v>
      </c>
      <c r="E929" s="4">
        <v>39.299999999999997</v>
      </c>
      <c r="F929" s="4">
        <v>4.6500000000000004</v>
      </c>
      <c r="G929" s="4">
        <v>45.5</v>
      </c>
      <c r="H929" s="4">
        <v>1.18</v>
      </c>
      <c r="I929" s="4">
        <v>34</v>
      </c>
      <c r="J929" s="4">
        <v>32.9</v>
      </c>
      <c r="K929" s="4">
        <v>1.83</v>
      </c>
      <c r="L929" s="4">
        <v>25.5</v>
      </c>
      <c r="M929" s="4">
        <v>5</v>
      </c>
      <c r="N929" s="4">
        <v>49.124999999999993</v>
      </c>
      <c r="O929" s="4">
        <v>11.625</v>
      </c>
      <c r="P929" s="4">
        <v>113.75</v>
      </c>
      <c r="Q929" s="4">
        <v>59</v>
      </c>
      <c r="R929" s="4">
        <v>114</v>
      </c>
      <c r="S929" s="4" t="str" cm="1">
        <f t="array" ref="S929">_xlfn.IFS($R929&lt;=50,"Good",$R929&lt;=100,"Moderate",$R929&lt;=200,"Poor",$R929&lt;=300,"Very Poor",$R929&lt;=500,"Hazardous")</f>
        <v>Poor</v>
      </c>
      <c r="T929" t="s">
        <v>27</v>
      </c>
      <c r="X929" s="2"/>
      <c r="Y929" s="2"/>
    </row>
    <row r="930" spans="1:25" x14ac:dyDescent="0.3">
      <c r="A930" s="2">
        <v>45477</v>
      </c>
      <c r="B930" t="s">
        <v>23</v>
      </c>
      <c r="C930" s="4">
        <v>58.3</v>
      </c>
      <c r="D930" s="4">
        <v>133</v>
      </c>
      <c r="E930" s="4">
        <v>71.099999999999994</v>
      </c>
      <c r="F930" s="4">
        <v>10.220000000000001</v>
      </c>
      <c r="G930" s="4">
        <v>38.6</v>
      </c>
      <c r="H930" s="4">
        <v>0.53</v>
      </c>
      <c r="I930" s="4">
        <v>21</v>
      </c>
      <c r="J930" s="4">
        <v>49.3</v>
      </c>
      <c r="K930" s="4">
        <v>3.29</v>
      </c>
      <c r="L930" s="4">
        <v>97.166666666666671</v>
      </c>
      <c r="M930" s="4">
        <v>133</v>
      </c>
      <c r="N930" s="4">
        <v>88.875</v>
      </c>
      <c r="O930" s="4">
        <v>25.55</v>
      </c>
      <c r="P930" s="4">
        <v>96.5</v>
      </c>
      <c r="Q930" s="4">
        <v>26.5</v>
      </c>
      <c r="R930" s="4">
        <v>133</v>
      </c>
      <c r="S930" s="4" t="str" cm="1">
        <f t="array" ref="S930">_xlfn.IFS($R930&lt;=50,"Good",$R930&lt;=100,"Moderate",$R930&lt;=200,"Poor",$R930&lt;=300,"Very Poor",$R930&lt;=500,"Hazardous")</f>
        <v>Poor</v>
      </c>
      <c r="T930" t="s">
        <v>28</v>
      </c>
      <c r="X930" s="2"/>
      <c r="Y930" s="2"/>
    </row>
    <row r="931" spans="1:25" x14ac:dyDescent="0.3">
      <c r="A931" s="2">
        <v>45477</v>
      </c>
      <c r="B931" t="s">
        <v>24</v>
      </c>
      <c r="C931" s="4">
        <v>59.6</v>
      </c>
      <c r="D931" s="4">
        <v>35.700000000000003</v>
      </c>
      <c r="E931" s="4">
        <v>31.9</v>
      </c>
      <c r="F931" s="4">
        <v>10.9</v>
      </c>
      <c r="G931" s="4">
        <v>53.7</v>
      </c>
      <c r="H931" s="4">
        <v>1.36</v>
      </c>
      <c r="I931" s="4">
        <v>27.7</v>
      </c>
      <c r="J931" s="4">
        <v>89.3</v>
      </c>
      <c r="K931" s="4">
        <v>3.28</v>
      </c>
      <c r="L931" s="4">
        <v>99.333333333333329</v>
      </c>
      <c r="M931" s="4">
        <v>35.700000000000003</v>
      </c>
      <c r="N931" s="4">
        <v>39.875</v>
      </c>
      <c r="O931" s="4">
        <v>27.25</v>
      </c>
      <c r="P931" s="4">
        <v>134.25</v>
      </c>
      <c r="Q931" s="4">
        <v>68</v>
      </c>
      <c r="R931" s="4">
        <v>134</v>
      </c>
      <c r="S931" s="4" t="str" cm="1">
        <f t="array" ref="S931">_xlfn.IFS($R931&lt;=50,"Good",$R931&lt;=100,"Moderate",$R931&lt;=200,"Poor",$R931&lt;=300,"Very Poor",$R931&lt;=500,"Hazardous")</f>
        <v>Poor</v>
      </c>
      <c r="T931" t="s">
        <v>27</v>
      </c>
      <c r="X931" s="2"/>
      <c r="Y931" s="2"/>
    </row>
    <row r="932" spans="1:25" x14ac:dyDescent="0.3">
      <c r="A932" s="2">
        <v>45478</v>
      </c>
      <c r="B932" t="s">
        <v>20</v>
      </c>
      <c r="C932" s="4">
        <v>44.5</v>
      </c>
      <c r="D932" s="4">
        <v>59.9</v>
      </c>
      <c r="E932" s="4">
        <v>46</v>
      </c>
      <c r="F932" s="4">
        <v>0.5</v>
      </c>
      <c r="G932" s="4">
        <v>40.700000000000003</v>
      </c>
      <c r="H932" s="4">
        <v>0.99</v>
      </c>
      <c r="I932" s="4">
        <v>15.4</v>
      </c>
      <c r="J932" s="4">
        <v>43.3</v>
      </c>
      <c r="K932" s="4">
        <v>3.47</v>
      </c>
      <c r="L932" s="4">
        <v>74.166666666666671</v>
      </c>
      <c r="M932" s="4">
        <v>59.9</v>
      </c>
      <c r="N932" s="4">
        <v>57.5</v>
      </c>
      <c r="O932" s="4">
        <v>1.25</v>
      </c>
      <c r="P932" s="4">
        <v>101.75</v>
      </c>
      <c r="Q932" s="4">
        <v>49.5</v>
      </c>
      <c r="R932" s="4">
        <v>102</v>
      </c>
      <c r="S932" s="4" t="str" cm="1">
        <f t="array" ref="S932">_xlfn.IFS($R932&lt;=50,"Good",$R932&lt;=100,"Moderate",$R932&lt;=200,"Poor",$R932&lt;=300,"Very Poor",$R932&lt;=500,"Hazardous")</f>
        <v>Poor</v>
      </c>
      <c r="T932" t="s">
        <v>27</v>
      </c>
      <c r="X932" s="2"/>
      <c r="Y932" s="2"/>
    </row>
    <row r="933" spans="1:25" x14ac:dyDescent="0.3">
      <c r="A933" s="2">
        <v>45478</v>
      </c>
      <c r="B933" t="s">
        <v>21</v>
      </c>
      <c r="C933" s="4">
        <v>66.900000000000006</v>
      </c>
      <c r="D933" s="4">
        <v>126.1</v>
      </c>
      <c r="E933" s="4">
        <v>51.1</v>
      </c>
      <c r="F933" s="4">
        <v>8.4600000000000009</v>
      </c>
      <c r="G933" s="4">
        <v>88.8</v>
      </c>
      <c r="H933" s="4">
        <v>1.27</v>
      </c>
      <c r="I933" s="4">
        <v>14.8</v>
      </c>
      <c r="J933" s="4">
        <v>89.3</v>
      </c>
      <c r="K933" s="4">
        <v>2.94</v>
      </c>
      <c r="L933" s="4">
        <v>111.5</v>
      </c>
      <c r="M933" s="4">
        <v>126.1</v>
      </c>
      <c r="N933" s="4">
        <v>63.875</v>
      </c>
      <c r="O933" s="4">
        <v>21.15</v>
      </c>
      <c r="P933" s="4">
        <v>222</v>
      </c>
      <c r="Q933" s="4">
        <v>63.5</v>
      </c>
      <c r="R933" s="4">
        <v>222</v>
      </c>
      <c r="S933" s="4" t="str" cm="1">
        <f t="array" ref="S933">_xlfn.IFS($R933&lt;=50,"Good",$R933&lt;=100,"Moderate",$R933&lt;=200,"Poor",$R933&lt;=300,"Very Poor",$R933&lt;=500,"Hazardous")</f>
        <v>Very Poor</v>
      </c>
      <c r="T933" t="s">
        <v>27</v>
      </c>
      <c r="X933" s="2"/>
      <c r="Y933" s="2"/>
    </row>
    <row r="934" spans="1:25" x14ac:dyDescent="0.3">
      <c r="A934" s="2">
        <v>45478</v>
      </c>
      <c r="B934" t="s">
        <v>22</v>
      </c>
      <c r="C934" s="4">
        <v>32.200000000000003</v>
      </c>
      <c r="D934" s="4">
        <v>34</v>
      </c>
      <c r="E934" s="4">
        <v>40.200000000000003</v>
      </c>
      <c r="F934" s="4">
        <v>5.63</v>
      </c>
      <c r="G934" s="4">
        <v>75.400000000000006</v>
      </c>
      <c r="H934" s="4">
        <v>0.75</v>
      </c>
      <c r="I934" s="4">
        <v>19.100000000000001</v>
      </c>
      <c r="J934" s="4">
        <v>76.099999999999994</v>
      </c>
      <c r="K934" s="4">
        <v>3.61</v>
      </c>
      <c r="L934" s="4">
        <v>53.666666666666671</v>
      </c>
      <c r="M934" s="4">
        <v>34</v>
      </c>
      <c r="N934" s="4">
        <v>50.25</v>
      </c>
      <c r="O934" s="4">
        <v>14.074999999999999</v>
      </c>
      <c r="P934" s="4">
        <v>188.5</v>
      </c>
      <c r="Q934" s="4">
        <v>37.5</v>
      </c>
      <c r="R934" s="4">
        <v>188</v>
      </c>
      <c r="S934" s="4" t="str" cm="1">
        <f t="array" ref="S934">_xlfn.IFS($R934&lt;=50,"Good",$R934&lt;=100,"Moderate",$R934&lt;=200,"Poor",$R934&lt;=300,"Very Poor",$R934&lt;=500,"Hazardous")</f>
        <v>Poor</v>
      </c>
      <c r="T934" t="s">
        <v>27</v>
      </c>
      <c r="X934" s="2"/>
      <c r="Y934" s="2"/>
    </row>
    <row r="935" spans="1:25" x14ac:dyDescent="0.3">
      <c r="A935" s="2">
        <v>45478</v>
      </c>
      <c r="B935" t="s">
        <v>23</v>
      </c>
      <c r="C935" s="4">
        <v>52</v>
      </c>
      <c r="D935" s="4">
        <v>128.5</v>
      </c>
      <c r="E935" s="4">
        <v>35.4</v>
      </c>
      <c r="F935" s="4">
        <v>7.34</v>
      </c>
      <c r="G935" s="4">
        <v>69.099999999999994</v>
      </c>
      <c r="H935" s="4">
        <v>1.26</v>
      </c>
      <c r="I935" s="4">
        <v>23.8</v>
      </c>
      <c r="J935" s="4">
        <v>84.3</v>
      </c>
      <c r="K935" s="4">
        <v>0.2</v>
      </c>
      <c r="L935" s="4">
        <v>86.666666666666671</v>
      </c>
      <c r="M935" s="4">
        <v>128.5</v>
      </c>
      <c r="N935" s="4">
        <v>44.25</v>
      </c>
      <c r="O935" s="4">
        <v>18.350000000000001</v>
      </c>
      <c r="P935" s="4">
        <v>172.75</v>
      </c>
      <c r="Q935" s="4">
        <v>63</v>
      </c>
      <c r="R935" s="4">
        <v>173</v>
      </c>
      <c r="S935" s="4" t="str" cm="1">
        <f t="array" ref="S935">_xlfn.IFS($R935&lt;=50,"Good",$R935&lt;=100,"Moderate",$R935&lt;=200,"Poor",$R935&lt;=300,"Very Poor",$R935&lt;=500,"Hazardous")</f>
        <v>Poor</v>
      </c>
      <c r="T935" t="s">
        <v>27</v>
      </c>
      <c r="X935" s="2"/>
      <c r="Y935" s="2"/>
    </row>
    <row r="936" spans="1:25" x14ac:dyDescent="0.3">
      <c r="A936" s="2">
        <v>45478</v>
      </c>
      <c r="B936" t="s">
        <v>24</v>
      </c>
      <c r="C936" s="4">
        <v>107</v>
      </c>
      <c r="D936" s="4">
        <v>15.5</v>
      </c>
      <c r="E936" s="4">
        <v>28.6</v>
      </c>
      <c r="F936" s="4">
        <v>6.86</v>
      </c>
      <c r="G936" s="4">
        <v>40</v>
      </c>
      <c r="H936" s="4">
        <v>1.59</v>
      </c>
      <c r="I936" s="4">
        <v>17.600000000000001</v>
      </c>
      <c r="J936" s="4">
        <v>64.7</v>
      </c>
      <c r="K936" s="4">
        <v>2.31</v>
      </c>
      <c r="L936" s="4">
        <v>178.33333333333329</v>
      </c>
      <c r="M936" s="4">
        <v>15.5</v>
      </c>
      <c r="N936" s="4">
        <v>35.750000000000007</v>
      </c>
      <c r="O936" s="4">
        <v>17.149999999999999</v>
      </c>
      <c r="P936" s="4">
        <v>100</v>
      </c>
      <c r="Q936" s="4">
        <v>79.5</v>
      </c>
      <c r="R936" s="4">
        <v>178</v>
      </c>
      <c r="S936" s="4" t="str" cm="1">
        <f t="array" ref="S936">_xlfn.IFS($R936&lt;=50,"Good",$R936&lt;=100,"Moderate",$R936&lt;=200,"Poor",$R936&lt;=300,"Very Poor",$R936&lt;=500,"Hazardous")</f>
        <v>Poor</v>
      </c>
      <c r="T936" t="s">
        <v>25</v>
      </c>
      <c r="X936" s="2"/>
      <c r="Y936" s="2"/>
    </row>
    <row r="937" spans="1:25" x14ac:dyDescent="0.3">
      <c r="A937" s="2">
        <v>45479</v>
      </c>
      <c r="B937" t="s">
        <v>20</v>
      </c>
      <c r="C937" s="4">
        <v>63.3</v>
      </c>
      <c r="D937" s="4">
        <v>106.8</v>
      </c>
      <c r="E937" s="4">
        <v>43.1</v>
      </c>
      <c r="F937" s="4">
        <v>4.83</v>
      </c>
      <c r="G937" s="4">
        <v>31.3</v>
      </c>
      <c r="H937" s="4">
        <v>1.26</v>
      </c>
      <c r="I937" s="4">
        <v>31.6</v>
      </c>
      <c r="J937" s="4">
        <v>49.2</v>
      </c>
      <c r="K937" s="4">
        <v>1.46</v>
      </c>
      <c r="L937" s="4">
        <v>105.5</v>
      </c>
      <c r="M937" s="4">
        <v>106.8</v>
      </c>
      <c r="N937" s="4">
        <v>53.875</v>
      </c>
      <c r="O937" s="4">
        <v>12.074999999999999</v>
      </c>
      <c r="P937" s="4">
        <v>78.25</v>
      </c>
      <c r="Q937" s="4">
        <v>63</v>
      </c>
      <c r="R937" s="4">
        <v>107</v>
      </c>
      <c r="S937" s="4" t="str" cm="1">
        <f t="array" ref="S937">_xlfn.IFS($R937&lt;=50,"Good",$R937&lt;=100,"Moderate",$R937&lt;=200,"Poor",$R937&lt;=300,"Very Poor",$R937&lt;=500,"Hazardous")</f>
        <v>Poor</v>
      </c>
      <c r="T937" t="s">
        <v>28</v>
      </c>
      <c r="X937" s="2"/>
      <c r="Y937" s="2"/>
    </row>
    <row r="938" spans="1:25" x14ac:dyDescent="0.3">
      <c r="A938" s="2">
        <v>45479</v>
      </c>
      <c r="B938" t="s">
        <v>21</v>
      </c>
      <c r="C938" s="4">
        <v>78.400000000000006</v>
      </c>
      <c r="D938" s="4">
        <v>118</v>
      </c>
      <c r="E938" s="4">
        <v>61.6</v>
      </c>
      <c r="F938" s="4">
        <v>3.47</v>
      </c>
      <c r="G938" s="4">
        <v>1</v>
      </c>
      <c r="H938" s="4">
        <v>0.88</v>
      </c>
      <c r="I938" s="4">
        <v>19.600000000000001</v>
      </c>
      <c r="J938" s="4">
        <v>58.6</v>
      </c>
      <c r="K938" s="4">
        <v>1.74</v>
      </c>
      <c r="L938" s="4">
        <v>130.66666666666671</v>
      </c>
      <c r="M938" s="4">
        <v>118</v>
      </c>
      <c r="N938" s="4">
        <v>77</v>
      </c>
      <c r="O938" s="4">
        <v>8.6750000000000007</v>
      </c>
      <c r="P938" s="4">
        <v>2.5</v>
      </c>
      <c r="Q938" s="4">
        <v>44</v>
      </c>
      <c r="R938" s="4">
        <v>131</v>
      </c>
      <c r="S938" s="4" t="str" cm="1">
        <f t="array" ref="S938">_xlfn.IFS($R938&lt;=50,"Good",$R938&lt;=100,"Moderate",$R938&lt;=200,"Poor",$R938&lt;=300,"Very Poor",$R938&lt;=500,"Hazardous")</f>
        <v>Poor</v>
      </c>
      <c r="T938" t="s">
        <v>25</v>
      </c>
      <c r="X938" s="2"/>
      <c r="Y938" s="2"/>
    </row>
    <row r="939" spans="1:25" x14ac:dyDescent="0.3">
      <c r="A939" s="2">
        <v>45479</v>
      </c>
      <c r="B939" t="s">
        <v>22</v>
      </c>
      <c r="C939" s="4">
        <v>62.5</v>
      </c>
      <c r="D939" s="4">
        <v>78.099999999999994</v>
      </c>
      <c r="E939" s="4">
        <v>36.5</v>
      </c>
      <c r="F939" s="4">
        <v>6.68</v>
      </c>
      <c r="G939" s="4">
        <v>42.6</v>
      </c>
      <c r="H939" s="4">
        <v>0.9</v>
      </c>
      <c r="I939" s="4">
        <v>28.6</v>
      </c>
      <c r="J939" s="4">
        <v>45.7</v>
      </c>
      <c r="K939" s="4">
        <v>4.18</v>
      </c>
      <c r="L939" s="4">
        <v>104.1666666666667</v>
      </c>
      <c r="M939" s="4">
        <v>78.099999999999994</v>
      </c>
      <c r="N939" s="4">
        <v>45.625</v>
      </c>
      <c r="O939" s="4">
        <v>16.7</v>
      </c>
      <c r="P939" s="4">
        <v>106.5</v>
      </c>
      <c r="Q939" s="4">
        <v>45</v>
      </c>
      <c r="R939" s="4">
        <v>106</v>
      </c>
      <c r="S939" s="4" t="str" cm="1">
        <f t="array" ref="S939">_xlfn.IFS($R939&lt;=50,"Good",$R939&lt;=100,"Moderate",$R939&lt;=200,"Poor",$R939&lt;=300,"Very Poor",$R939&lt;=500,"Hazardous")</f>
        <v>Poor</v>
      </c>
      <c r="T939" t="s">
        <v>27</v>
      </c>
      <c r="X939" s="2"/>
      <c r="Y939" s="2"/>
    </row>
    <row r="940" spans="1:25" x14ac:dyDescent="0.3">
      <c r="A940" s="2">
        <v>45479</v>
      </c>
      <c r="B940" t="s">
        <v>23</v>
      </c>
      <c r="C940" s="4">
        <v>42.3</v>
      </c>
      <c r="D940" s="4">
        <v>33</v>
      </c>
      <c r="E940" s="4">
        <v>39</v>
      </c>
      <c r="F940" s="4">
        <v>3</v>
      </c>
      <c r="G940" s="4">
        <v>56.6</v>
      </c>
      <c r="H940" s="4">
        <v>2.02</v>
      </c>
      <c r="I940" s="4">
        <v>19.5</v>
      </c>
      <c r="J940" s="4">
        <v>66</v>
      </c>
      <c r="K940" s="4">
        <v>0.39</v>
      </c>
      <c r="L940" s="4">
        <v>70.5</v>
      </c>
      <c r="M940" s="4">
        <v>33</v>
      </c>
      <c r="N940" s="4">
        <v>48.75</v>
      </c>
      <c r="O940" s="4">
        <v>7.5</v>
      </c>
      <c r="P940" s="4">
        <v>141.5</v>
      </c>
      <c r="Q940" s="4">
        <v>101</v>
      </c>
      <c r="R940" s="4">
        <v>142</v>
      </c>
      <c r="S940" s="4" t="str" cm="1">
        <f t="array" ref="S940">_xlfn.IFS($R940&lt;=50,"Good",$R940&lt;=100,"Moderate",$R940&lt;=200,"Poor",$R940&lt;=300,"Very Poor",$R940&lt;=500,"Hazardous")</f>
        <v>Poor</v>
      </c>
      <c r="T940" t="s">
        <v>27</v>
      </c>
      <c r="X940" s="2"/>
      <c r="Y940" s="2"/>
    </row>
    <row r="941" spans="1:25" x14ac:dyDescent="0.3">
      <c r="A941" s="2">
        <v>45479</v>
      </c>
      <c r="B941" t="s">
        <v>24</v>
      </c>
      <c r="C941" s="4">
        <v>64.8</v>
      </c>
      <c r="D941" s="4">
        <v>58.8</v>
      </c>
      <c r="E941" s="4">
        <v>28.6</v>
      </c>
      <c r="F941" s="4">
        <v>2.19</v>
      </c>
      <c r="G941" s="4">
        <v>64.099999999999994</v>
      </c>
      <c r="H941" s="4">
        <v>1.59</v>
      </c>
      <c r="I941" s="4">
        <v>25.2</v>
      </c>
      <c r="J941" s="4">
        <v>44.4</v>
      </c>
      <c r="K941" s="4">
        <v>4.91</v>
      </c>
      <c r="L941" s="4">
        <v>108</v>
      </c>
      <c r="M941" s="4">
        <v>58.8</v>
      </c>
      <c r="N941" s="4">
        <v>35.750000000000007</v>
      </c>
      <c r="O941" s="4">
        <v>5.4749999999999996</v>
      </c>
      <c r="P941" s="4">
        <v>160.25</v>
      </c>
      <c r="Q941" s="4">
        <v>79.5</v>
      </c>
      <c r="R941" s="4">
        <v>160</v>
      </c>
      <c r="S941" s="4" t="str" cm="1">
        <f t="array" ref="S941">_xlfn.IFS($R941&lt;=50,"Good",$R941&lt;=100,"Moderate",$R941&lt;=200,"Poor",$R941&lt;=300,"Very Poor",$R941&lt;=500,"Hazardous")</f>
        <v>Poor</v>
      </c>
      <c r="T941" t="s">
        <v>27</v>
      </c>
      <c r="X941" s="2"/>
      <c r="Y941" s="2"/>
    </row>
    <row r="942" spans="1:25" x14ac:dyDescent="0.3">
      <c r="A942" s="2">
        <v>45480</v>
      </c>
      <c r="B942" t="s">
        <v>20</v>
      </c>
      <c r="C942" s="4">
        <v>34.5</v>
      </c>
      <c r="D942" s="4">
        <v>5</v>
      </c>
      <c r="E942" s="4">
        <v>49.8</v>
      </c>
      <c r="F942" s="4">
        <v>2.2799999999999998</v>
      </c>
      <c r="G942" s="4">
        <v>74.400000000000006</v>
      </c>
      <c r="H942" s="4">
        <v>0.89</v>
      </c>
      <c r="I942" s="4">
        <v>29.2</v>
      </c>
      <c r="J942" s="4">
        <v>85.2</v>
      </c>
      <c r="K942" s="4">
        <v>1.05</v>
      </c>
      <c r="L942" s="4">
        <v>57.5</v>
      </c>
      <c r="M942" s="4">
        <v>5</v>
      </c>
      <c r="N942" s="4">
        <v>62.25</v>
      </c>
      <c r="O942" s="4">
        <v>5.6999999999999993</v>
      </c>
      <c r="P942" s="4">
        <v>186</v>
      </c>
      <c r="Q942" s="4">
        <v>44.5</v>
      </c>
      <c r="R942" s="4">
        <v>186</v>
      </c>
      <c r="S942" s="4" t="str" cm="1">
        <f t="array" ref="S942">_xlfn.IFS($R942&lt;=50,"Good",$R942&lt;=100,"Moderate",$R942&lt;=200,"Poor",$R942&lt;=300,"Very Poor",$R942&lt;=500,"Hazardous")</f>
        <v>Poor</v>
      </c>
      <c r="T942" t="s">
        <v>27</v>
      </c>
      <c r="X942" s="2"/>
      <c r="Y942" s="2"/>
    </row>
    <row r="943" spans="1:25" x14ac:dyDescent="0.3">
      <c r="A943" s="2">
        <v>45480</v>
      </c>
      <c r="B943" t="s">
        <v>21</v>
      </c>
      <c r="C943" s="4">
        <v>43</v>
      </c>
      <c r="D943" s="4">
        <v>115.5</v>
      </c>
      <c r="E943" s="4">
        <v>75.8</v>
      </c>
      <c r="F943" s="4">
        <v>4.71</v>
      </c>
      <c r="G943" s="4">
        <v>31.4</v>
      </c>
      <c r="H943" s="4">
        <v>1.49</v>
      </c>
      <c r="I943" s="4">
        <v>21</v>
      </c>
      <c r="J943" s="4">
        <v>62.7</v>
      </c>
      <c r="K943" s="4">
        <v>0.64</v>
      </c>
      <c r="L943" s="4">
        <v>71.666666666666671</v>
      </c>
      <c r="M943" s="4">
        <v>115.5</v>
      </c>
      <c r="N943" s="4">
        <v>94.75</v>
      </c>
      <c r="O943" s="4">
        <v>11.775</v>
      </c>
      <c r="P943" s="4">
        <v>78.5</v>
      </c>
      <c r="Q943" s="4">
        <v>74.5</v>
      </c>
      <c r="R943" s="4">
        <v>116</v>
      </c>
      <c r="S943" s="4" t="str" cm="1">
        <f t="array" ref="S943">_xlfn.IFS($R943&lt;=50,"Good",$R943&lt;=100,"Moderate",$R943&lt;=200,"Poor",$R943&lt;=300,"Very Poor",$R943&lt;=500,"Hazardous")</f>
        <v>Poor</v>
      </c>
      <c r="T943" t="s">
        <v>28</v>
      </c>
      <c r="X943" s="2"/>
      <c r="Y943" s="2"/>
    </row>
    <row r="944" spans="1:25" x14ac:dyDescent="0.3">
      <c r="A944" s="2">
        <v>45480</v>
      </c>
      <c r="B944" t="s">
        <v>22</v>
      </c>
      <c r="C944" s="4">
        <v>96.1</v>
      </c>
      <c r="D944" s="4">
        <v>29.7</v>
      </c>
      <c r="E944" s="4">
        <v>29.3</v>
      </c>
      <c r="F944" s="4">
        <v>5.96</v>
      </c>
      <c r="G944" s="4">
        <v>83.4</v>
      </c>
      <c r="H944" s="4">
        <v>0.31</v>
      </c>
      <c r="I944" s="4">
        <v>38.9</v>
      </c>
      <c r="J944" s="4">
        <v>73.599999999999994</v>
      </c>
      <c r="K944" s="4">
        <v>3</v>
      </c>
      <c r="L944" s="4">
        <v>160.16666666666671</v>
      </c>
      <c r="M944" s="4">
        <v>29.7</v>
      </c>
      <c r="N944" s="4">
        <v>36.625</v>
      </c>
      <c r="O944" s="4">
        <v>14.9</v>
      </c>
      <c r="P944" s="4">
        <v>208.5</v>
      </c>
      <c r="Q944" s="4">
        <v>15.5</v>
      </c>
      <c r="R944" s="4">
        <v>209</v>
      </c>
      <c r="S944" s="4" t="str" cm="1">
        <f t="array" ref="S944">_xlfn.IFS($R944&lt;=50,"Good",$R944&lt;=100,"Moderate",$R944&lt;=200,"Poor",$R944&lt;=300,"Very Poor",$R944&lt;=500,"Hazardous")</f>
        <v>Very Poor</v>
      </c>
      <c r="T944" t="s">
        <v>27</v>
      </c>
      <c r="X944" s="2"/>
      <c r="Y944" s="2"/>
    </row>
    <row r="945" spans="1:25" x14ac:dyDescent="0.3">
      <c r="A945" s="2">
        <v>45480</v>
      </c>
      <c r="B945" t="s">
        <v>23</v>
      </c>
      <c r="C945" s="4">
        <v>24.4</v>
      </c>
      <c r="D945" s="4">
        <v>123.4</v>
      </c>
      <c r="E945" s="4">
        <v>24.4</v>
      </c>
      <c r="F945" s="4">
        <v>11.47</v>
      </c>
      <c r="G945" s="4">
        <v>15.7</v>
      </c>
      <c r="H945" s="4">
        <v>0.91</v>
      </c>
      <c r="I945" s="4">
        <v>21.1</v>
      </c>
      <c r="J945" s="4">
        <v>42.2</v>
      </c>
      <c r="K945" s="4">
        <v>3.39</v>
      </c>
      <c r="L945" s="4">
        <v>40.666666666666657</v>
      </c>
      <c r="M945" s="4">
        <v>123.4</v>
      </c>
      <c r="N945" s="4">
        <v>30.5</v>
      </c>
      <c r="O945" s="4">
        <v>28.675000000000001</v>
      </c>
      <c r="P945" s="4">
        <v>39.25</v>
      </c>
      <c r="Q945" s="4">
        <v>45.5</v>
      </c>
      <c r="R945" s="4">
        <v>123</v>
      </c>
      <c r="S945" s="4" t="str" cm="1">
        <f t="array" ref="S945">_xlfn.IFS($R945&lt;=50,"Good",$R945&lt;=100,"Moderate",$R945&lt;=200,"Poor",$R945&lt;=300,"Very Poor",$R945&lt;=500,"Hazardous")</f>
        <v>Poor</v>
      </c>
      <c r="T945" t="s">
        <v>28</v>
      </c>
      <c r="X945" s="2"/>
      <c r="Y945" s="2"/>
    </row>
    <row r="946" spans="1:25" x14ac:dyDescent="0.3">
      <c r="A946" s="2">
        <v>45480</v>
      </c>
      <c r="B946" t="s">
        <v>24</v>
      </c>
      <c r="C946" s="4">
        <v>66.900000000000006</v>
      </c>
      <c r="D946" s="4">
        <v>169.4</v>
      </c>
      <c r="E946" s="4">
        <v>8.3000000000000007</v>
      </c>
      <c r="F946" s="4">
        <v>11.72</v>
      </c>
      <c r="G946" s="4">
        <v>112.9</v>
      </c>
      <c r="H946" s="4">
        <v>0.82</v>
      </c>
      <c r="I946" s="4">
        <v>38.299999999999997</v>
      </c>
      <c r="J946" s="4">
        <v>55.3</v>
      </c>
      <c r="K946" s="4">
        <v>1.35</v>
      </c>
      <c r="L946" s="4">
        <v>111.5</v>
      </c>
      <c r="M946" s="4">
        <v>169.4</v>
      </c>
      <c r="N946" s="4">
        <v>10.375</v>
      </c>
      <c r="O946" s="4">
        <v>29.3</v>
      </c>
      <c r="P946" s="4">
        <v>282.25</v>
      </c>
      <c r="Q946" s="4">
        <v>40.999999999999993</v>
      </c>
      <c r="R946" s="4">
        <v>282</v>
      </c>
      <c r="S946" s="4" t="str" cm="1">
        <f t="array" ref="S946">_xlfn.IFS($R946&lt;=50,"Good",$R946&lt;=100,"Moderate",$R946&lt;=200,"Poor",$R946&lt;=300,"Very Poor",$R946&lt;=500,"Hazardous")</f>
        <v>Very Poor</v>
      </c>
      <c r="T946" t="s">
        <v>27</v>
      </c>
      <c r="X946" s="2"/>
      <c r="Y946" s="2"/>
    </row>
    <row r="947" spans="1:25" x14ac:dyDescent="0.3">
      <c r="A947" s="2">
        <v>45481</v>
      </c>
      <c r="B947" t="s">
        <v>20</v>
      </c>
      <c r="C947" s="4">
        <v>46.8</v>
      </c>
      <c r="D947" s="4">
        <v>168.3</v>
      </c>
      <c r="E947" s="4">
        <v>26</v>
      </c>
      <c r="F947" s="4">
        <v>4.5999999999999996</v>
      </c>
      <c r="G947" s="4">
        <v>63.1</v>
      </c>
      <c r="H947" s="4">
        <v>1.1100000000000001</v>
      </c>
      <c r="I947" s="4">
        <v>29.1</v>
      </c>
      <c r="J947" s="4">
        <v>64.3</v>
      </c>
      <c r="K947" s="4">
        <v>3.08</v>
      </c>
      <c r="L947" s="4">
        <v>78</v>
      </c>
      <c r="M947" s="4">
        <v>168.3</v>
      </c>
      <c r="N947" s="4">
        <v>32.5</v>
      </c>
      <c r="O947" s="4">
        <v>11.5</v>
      </c>
      <c r="P947" s="4">
        <v>157.75</v>
      </c>
      <c r="Q947" s="4">
        <v>55.500000000000007</v>
      </c>
      <c r="R947" s="4">
        <v>168</v>
      </c>
      <c r="S947" s="4" t="str" cm="1">
        <f t="array" ref="S947">_xlfn.IFS($R947&lt;=50,"Good",$R947&lt;=100,"Moderate",$R947&lt;=200,"Poor",$R947&lt;=300,"Very Poor",$R947&lt;=500,"Hazardous")</f>
        <v>Poor</v>
      </c>
      <c r="T947" t="s">
        <v>28</v>
      </c>
      <c r="X947" s="2"/>
      <c r="Y947" s="2"/>
    </row>
    <row r="948" spans="1:25" x14ac:dyDescent="0.3">
      <c r="A948" s="2">
        <v>45481</v>
      </c>
      <c r="B948" t="s">
        <v>21</v>
      </c>
      <c r="C948" s="4">
        <v>47</v>
      </c>
      <c r="D948" s="4">
        <v>133.9</v>
      </c>
      <c r="E948" s="4">
        <v>26.5</v>
      </c>
      <c r="F948" s="4">
        <v>14.44</v>
      </c>
      <c r="G948" s="4">
        <v>30.2</v>
      </c>
      <c r="H948" s="4">
        <v>1.88</v>
      </c>
      <c r="I948" s="4">
        <v>23.4</v>
      </c>
      <c r="J948" s="4">
        <v>63.6</v>
      </c>
      <c r="K948" s="4">
        <v>1.91</v>
      </c>
      <c r="L948" s="4">
        <v>78.333333333333343</v>
      </c>
      <c r="M948" s="4">
        <v>133.9</v>
      </c>
      <c r="N948" s="4">
        <v>33.125</v>
      </c>
      <c r="O948" s="4">
        <v>36.1</v>
      </c>
      <c r="P948" s="4">
        <v>75.5</v>
      </c>
      <c r="Q948" s="4">
        <v>94</v>
      </c>
      <c r="R948" s="4">
        <v>134</v>
      </c>
      <c r="S948" s="4" t="str" cm="1">
        <f t="array" ref="S948">_xlfn.IFS($R948&lt;=50,"Good",$R948&lt;=100,"Moderate",$R948&lt;=200,"Poor",$R948&lt;=300,"Very Poor",$R948&lt;=500,"Hazardous")</f>
        <v>Poor</v>
      </c>
      <c r="T948" t="s">
        <v>28</v>
      </c>
      <c r="X948" s="2"/>
      <c r="Y948" s="2"/>
    </row>
    <row r="949" spans="1:25" x14ac:dyDescent="0.3">
      <c r="A949" s="2">
        <v>45481</v>
      </c>
      <c r="B949" t="s">
        <v>22</v>
      </c>
      <c r="C949" s="4">
        <v>22.4</v>
      </c>
      <c r="D949" s="4">
        <v>11.6</v>
      </c>
      <c r="E949" s="4">
        <v>18.2</v>
      </c>
      <c r="F949" s="4">
        <v>4.8499999999999996</v>
      </c>
      <c r="G949" s="4">
        <v>43</v>
      </c>
      <c r="H949" s="4">
        <v>1.37</v>
      </c>
      <c r="I949" s="4">
        <v>21.9</v>
      </c>
      <c r="J949" s="4">
        <v>44.1</v>
      </c>
      <c r="K949" s="4">
        <v>0.77</v>
      </c>
      <c r="L949" s="4">
        <v>37.333333333333329</v>
      </c>
      <c r="M949" s="4">
        <v>11.6</v>
      </c>
      <c r="N949" s="4">
        <v>22.75</v>
      </c>
      <c r="O949" s="4">
        <v>12.125</v>
      </c>
      <c r="P949" s="4">
        <v>107.5</v>
      </c>
      <c r="Q949" s="4">
        <v>68.5</v>
      </c>
      <c r="R949" s="4">
        <v>108</v>
      </c>
      <c r="S949" s="4" t="str" cm="1">
        <f t="array" ref="S949">_xlfn.IFS($R949&lt;=50,"Good",$R949&lt;=100,"Moderate",$R949&lt;=200,"Poor",$R949&lt;=300,"Very Poor",$R949&lt;=500,"Hazardous")</f>
        <v>Poor</v>
      </c>
      <c r="T949" t="s">
        <v>27</v>
      </c>
      <c r="X949" s="2"/>
      <c r="Y949" s="2"/>
    </row>
    <row r="950" spans="1:25" x14ac:dyDescent="0.3">
      <c r="A950" s="2">
        <v>45481</v>
      </c>
      <c r="B950" t="s">
        <v>23</v>
      </c>
      <c r="C950" s="4">
        <v>59.5</v>
      </c>
      <c r="D950" s="4">
        <v>162.4</v>
      </c>
      <c r="E950" s="4">
        <v>56.3</v>
      </c>
      <c r="F950" s="4">
        <v>9.24</v>
      </c>
      <c r="G950" s="4">
        <v>56</v>
      </c>
      <c r="H950" s="4">
        <v>1.77</v>
      </c>
      <c r="I950" s="4">
        <v>27.3</v>
      </c>
      <c r="J950" s="4">
        <v>71.599999999999994</v>
      </c>
      <c r="K950" s="4">
        <v>2.12</v>
      </c>
      <c r="L950" s="4">
        <v>99.166666666666671</v>
      </c>
      <c r="M950" s="4">
        <v>162.4</v>
      </c>
      <c r="N950" s="4">
        <v>70.375</v>
      </c>
      <c r="O950" s="4">
        <v>23.1</v>
      </c>
      <c r="P950" s="4">
        <v>140</v>
      </c>
      <c r="Q950" s="4">
        <v>88.5</v>
      </c>
      <c r="R950" s="4">
        <v>162</v>
      </c>
      <c r="S950" s="4" t="str" cm="1">
        <f t="array" ref="S950">_xlfn.IFS($R950&lt;=50,"Good",$R950&lt;=100,"Moderate",$R950&lt;=200,"Poor",$R950&lt;=300,"Very Poor",$R950&lt;=500,"Hazardous")</f>
        <v>Poor</v>
      </c>
      <c r="T950" t="s">
        <v>28</v>
      </c>
      <c r="X950" s="2"/>
      <c r="Y950" s="2"/>
    </row>
    <row r="951" spans="1:25" x14ac:dyDescent="0.3">
      <c r="A951" s="2">
        <v>45481</v>
      </c>
      <c r="B951" t="s">
        <v>24</v>
      </c>
      <c r="C951" s="4">
        <v>16.8</v>
      </c>
      <c r="D951" s="4">
        <v>69.5</v>
      </c>
      <c r="E951" s="4">
        <v>39.4</v>
      </c>
      <c r="F951" s="4">
        <v>7.31</v>
      </c>
      <c r="G951" s="4">
        <v>97</v>
      </c>
      <c r="H951" s="4">
        <v>1.1000000000000001</v>
      </c>
      <c r="I951" s="4">
        <v>33.299999999999997</v>
      </c>
      <c r="J951" s="4">
        <v>52.2</v>
      </c>
      <c r="K951" s="4">
        <v>2.63</v>
      </c>
      <c r="L951" s="4">
        <v>28</v>
      </c>
      <c r="M951" s="4">
        <v>69.5</v>
      </c>
      <c r="N951" s="4">
        <v>49.249999999999993</v>
      </c>
      <c r="O951" s="4">
        <v>18.274999999999999</v>
      </c>
      <c r="P951" s="4">
        <v>242.5</v>
      </c>
      <c r="Q951" s="4">
        <v>55.000000000000007</v>
      </c>
      <c r="R951" s="4">
        <v>242</v>
      </c>
      <c r="S951" s="4" t="str" cm="1">
        <f t="array" ref="S951">_xlfn.IFS($R951&lt;=50,"Good",$R951&lt;=100,"Moderate",$R951&lt;=200,"Poor",$R951&lt;=300,"Very Poor",$R951&lt;=500,"Hazardous")</f>
        <v>Very Poor</v>
      </c>
      <c r="T951" t="s">
        <v>27</v>
      </c>
      <c r="X951" s="2"/>
      <c r="Y951" s="2"/>
    </row>
    <row r="952" spans="1:25" x14ac:dyDescent="0.3">
      <c r="A952" s="2">
        <v>45482</v>
      </c>
      <c r="B952" t="s">
        <v>20</v>
      </c>
      <c r="C952" s="4">
        <v>18.5</v>
      </c>
      <c r="D952" s="4">
        <v>69.400000000000006</v>
      </c>
      <c r="E952" s="4">
        <v>51.1</v>
      </c>
      <c r="F952" s="4">
        <v>7.39</v>
      </c>
      <c r="G952" s="4">
        <v>73.099999999999994</v>
      </c>
      <c r="H952" s="4">
        <v>1.2</v>
      </c>
      <c r="I952" s="4">
        <v>22.5</v>
      </c>
      <c r="J952" s="4">
        <v>98.7</v>
      </c>
      <c r="K952" s="4">
        <v>2.39</v>
      </c>
      <c r="L952" s="4">
        <v>30.833333333333339</v>
      </c>
      <c r="M952" s="4">
        <v>69.400000000000006</v>
      </c>
      <c r="N952" s="4">
        <v>63.875</v>
      </c>
      <c r="O952" s="4">
        <v>18.475000000000001</v>
      </c>
      <c r="P952" s="4">
        <v>182.75</v>
      </c>
      <c r="Q952" s="4">
        <v>60</v>
      </c>
      <c r="R952" s="4">
        <v>183</v>
      </c>
      <c r="S952" s="4" t="str" cm="1">
        <f t="array" ref="S952">_xlfn.IFS($R952&lt;=50,"Good",$R952&lt;=100,"Moderate",$R952&lt;=200,"Poor",$R952&lt;=300,"Very Poor",$R952&lt;=500,"Hazardous")</f>
        <v>Poor</v>
      </c>
      <c r="T952" t="s">
        <v>27</v>
      </c>
      <c r="X952" s="2"/>
      <c r="Y952" s="2"/>
    </row>
    <row r="953" spans="1:25" x14ac:dyDescent="0.3">
      <c r="A953" s="2">
        <v>45482</v>
      </c>
      <c r="B953" t="s">
        <v>21</v>
      </c>
      <c r="C953" s="4">
        <v>94.9</v>
      </c>
      <c r="D953" s="4">
        <v>95.9</v>
      </c>
      <c r="E953" s="4">
        <v>59.2</v>
      </c>
      <c r="F953" s="4">
        <v>12.64</v>
      </c>
      <c r="G953" s="4">
        <v>56.5</v>
      </c>
      <c r="H953" s="4">
        <v>0.05</v>
      </c>
      <c r="I953" s="4">
        <v>25.1</v>
      </c>
      <c r="J953" s="4">
        <v>82.1</v>
      </c>
      <c r="K953" s="4">
        <v>3.13</v>
      </c>
      <c r="L953" s="4">
        <v>158.16666666666671</v>
      </c>
      <c r="M953" s="4">
        <v>95.9</v>
      </c>
      <c r="N953" s="4">
        <v>74.000000000000014</v>
      </c>
      <c r="O953" s="4">
        <v>31.6</v>
      </c>
      <c r="P953" s="4">
        <v>141.25</v>
      </c>
      <c r="Q953" s="4">
        <v>2.5</v>
      </c>
      <c r="R953" s="4">
        <v>158</v>
      </c>
      <c r="S953" s="4" t="str" cm="1">
        <f t="array" ref="S953">_xlfn.IFS($R953&lt;=50,"Good",$R953&lt;=100,"Moderate",$R953&lt;=200,"Poor",$R953&lt;=300,"Very Poor",$R953&lt;=500,"Hazardous")</f>
        <v>Poor</v>
      </c>
      <c r="T953" t="s">
        <v>25</v>
      </c>
      <c r="X953" s="2"/>
      <c r="Y953" s="2"/>
    </row>
    <row r="954" spans="1:25" x14ac:dyDescent="0.3">
      <c r="A954" s="2">
        <v>45482</v>
      </c>
      <c r="B954" t="s">
        <v>22</v>
      </c>
      <c r="C954" s="4">
        <v>55.8</v>
      </c>
      <c r="D954" s="4">
        <v>12.7</v>
      </c>
      <c r="E954" s="4">
        <v>23.2</v>
      </c>
      <c r="F954" s="4">
        <v>7.64</v>
      </c>
      <c r="G954" s="4">
        <v>47.7</v>
      </c>
      <c r="H954" s="4">
        <v>1.47</v>
      </c>
      <c r="I954" s="4">
        <v>24</v>
      </c>
      <c r="J954" s="4">
        <v>67.3</v>
      </c>
      <c r="K954" s="4">
        <v>2.52</v>
      </c>
      <c r="L954" s="4">
        <v>93</v>
      </c>
      <c r="M954" s="4">
        <v>12.7</v>
      </c>
      <c r="N954" s="4">
        <v>29</v>
      </c>
      <c r="O954" s="4">
        <v>19.100000000000001</v>
      </c>
      <c r="P954" s="4">
        <v>119.25</v>
      </c>
      <c r="Q954" s="4">
        <v>73.5</v>
      </c>
      <c r="R954" s="4">
        <v>119</v>
      </c>
      <c r="S954" s="4" t="str" cm="1">
        <f t="array" ref="S954">_xlfn.IFS($R954&lt;=50,"Good",$R954&lt;=100,"Moderate",$R954&lt;=200,"Poor",$R954&lt;=300,"Very Poor",$R954&lt;=500,"Hazardous")</f>
        <v>Poor</v>
      </c>
      <c r="T954" t="s">
        <v>27</v>
      </c>
      <c r="X954" s="2"/>
      <c r="Y954" s="2"/>
    </row>
    <row r="955" spans="1:25" x14ac:dyDescent="0.3">
      <c r="A955" s="2">
        <v>45482</v>
      </c>
      <c r="B955" t="s">
        <v>23</v>
      </c>
      <c r="C955" s="4">
        <v>24.3</v>
      </c>
      <c r="D955" s="4">
        <v>5</v>
      </c>
      <c r="E955" s="4">
        <v>42.9</v>
      </c>
      <c r="F955" s="4">
        <v>7.1</v>
      </c>
      <c r="G955" s="4">
        <v>24.5</v>
      </c>
      <c r="H955" s="4">
        <v>0.18</v>
      </c>
      <c r="I955" s="4">
        <v>29.4</v>
      </c>
      <c r="J955" s="4">
        <v>55.2</v>
      </c>
      <c r="K955" s="4">
        <v>3.17</v>
      </c>
      <c r="L955" s="4">
        <v>40.5</v>
      </c>
      <c r="M955" s="4">
        <v>5</v>
      </c>
      <c r="N955" s="4">
        <v>53.625</v>
      </c>
      <c r="O955" s="4">
        <v>17.75</v>
      </c>
      <c r="P955" s="4">
        <v>61.25</v>
      </c>
      <c r="Q955" s="4">
        <v>9</v>
      </c>
      <c r="R955" s="4">
        <v>61</v>
      </c>
      <c r="S955" s="4" t="str" cm="1">
        <f t="array" ref="S955">_xlfn.IFS($R955&lt;=50,"Good",$R955&lt;=100,"Moderate",$R955&lt;=200,"Poor",$R955&lt;=300,"Very Poor",$R955&lt;=500,"Hazardous")</f>
        <v>Moderate</v>
      </c>
      <c r="T955" t="s">
        <v>27</v>
      </c>
      <c r="X955" s="2"/>
      <c r="Y955" s="2"/>
    </row>
    <row r="956" spans="1:25" x14ac:dyDescent="0.3">
      <c r="A956" s="2">
        <v>45482</v>
      </c>
      <c r="B956" t="s">
        <v>24</v>
      </c>
      <c r="C956" s="4">
        <v>102</v>
      </c>
      <c r="D956" s="4">
        <v>5</v>
      </c>
      <c r="E956" s="4">
        <v>27.3</v>
      </c>
      <c r="F956" s="4">
        <v>6.12</v>
      </c>
      <c r="G956" s="4">
        <v>84</v>
      </c>
      <c r="H956" s="4">
        <v>0.19</v>
      </c>
      <c r="I956" s="4">
        <v>38.6</v>
      </c>
      <c r="J956" s="4">
        <v>62.4</v>
      </c>
      <c r="K956" s="4">
        <v>2.88</v>
      </c>
      <c r="L956" s="4">
        <v>170</v>
      </c>
      <c r="M956" s="4">
        <v>5</v>
      </c>
      <c r="N956" s="4">
        <v>34.125</v>
      </c>
      <c r="O956" s="4">
        <v>15.3</v>
      </c>
      <c r="P956" s="4">
        <v>210</v>
      </c>
      <c r="Q956" s="4">
        <v>9.5</v>
      </c>
      <c r="R956" s="4">
        <v>210</v>
      </c>
      <c r="S956" s="4" t="str" cm="1">
        <f t="array" ref="S956">_xlfn.IFS($R956&lt;=50,"Good",$R956&lt;=100,"Moderate",$R956&lt;=200,"Poor",$R956&lt;=300,"Very Poor",$R956&lt;=500,"Hazardous")</f>
        <v>Very Poor</v>
      </c>
      <c r="T956" t="s">
        <v>27</v>
      </c>
      <c r="X956" s="2"/>
      <c r="Y956" s="2"/>
    </row>
    <row r="957" spans="1:25" x14ac:dyDescent="0.3">
      <c r="A957" s="2">
        <v>45483</v>
      </c>
      <c r="B957" t="s">
        <v>20</v>
      </c>
      <c r="C957" s="4">
        <v>49.7</v>
      </c>
      <c r="D957" s="4">
        <v>86.3</v>
      </c>
      <c r="E957" s="4">
        <v>60.7</v>
      </c>
      <c r="F957" s="4">
        <v>2.44</v>
      </c>
      <c r="G957" s="4">
        <v>55.9</v>
      </c>
      <c r="H957" s="4">
        <v>0.89</v>
      </c>
      <c r="I957" s="4">
        <v>19.7</v>
      </c>
      <c r="J957" s="4">
        <v>100</v>
      </c>
      <c r="K957" s="4">
        <v>3</v>
      </c>
      <c r="L957" s="4">
        <v>82.833333333333343</v>
      </c>
      <c r="M957" s="4">
        <v>86.3</v>
      </c>
      <c r="N957" s="4">
        <v>75.875</v>
      </c>
      <c r="O957" s="4">
        <v>6.1</v>
      </c>
      <c r="P957" s="4">
        <v>139.75</v>
      </c>
      <c r="Q957" s="4">
        <v>44.5</v>
      </c>
      <c r="R957" s="4">
        <v>140</v>
      </c>
      <c r="S957" s="4" t="str" cm="1">
        <f t="array" ref="S957">_xlfn.IFS($R957&lt;=50,"Good",$R957&lt;=100,"Moderate",$R957&lt;=200,"Poor",$R957&lt;=300,"Very Poor",$R957&lt;=500,"Hazardous")</f>
        <v>Poor</v>
      </c>
      <c r="T957" t="s">
        <v>27</v>
      </c>
      <c r="X957" s="2"/>
      <c r="Y957" s="2"/>
    </row>
    <row r="958" spans="1:25" x14ac:dyDescent="0.3">
      <c r="A958" s="2">
        <v>45483</v>
      </c>
      <c r="B958" t="s">
        <v>21</v>
      </c>
      <c r="C958" s="4">
        <v>78.400000000000006</v>
      </c>
      <c r="D958" s="4">
        <v>188.3</v>
      </c>
      <c r="E958" s="4">
        <v>16.600000000000001</v>
      </c>
      <c r="F958" s="4">
        <v>16.760000000000002</v>
      </c>
      <c r="G958" s="4">
        <v>1</v>
      </c>
      <c r="H958" s="4">
        <v>0.74</v>
      </c>
      <c r="I958" s="4">
        <v>21.8</v>
      </c>
      <c r="J958" s="4">
        <v>70.5</v>
      </c>
      <c r="K958" s="4">
        <v>2.76</v>
      </c>
      <c r="L958" s="4">
        <v>130.66666666666671</v>
      </c>
      <c r="M958" s="4">
        <v>188.3</v>
      </c>
      <c r="N958" s="4">
        <v>20.75</v>
      </c>
      <c r="O958" s="4">
        <v>41.900000000000013</v>
      </c>
      <c r="P958" s="4">
        <v>2.5</v>
      </c>
      <c r="Q958" s="4">
        <v>37</v>
      </c>
      <c r="R958" s="4">
        <v>188</v>
      </c>
      <c r="S958" s="4" t="str" cm="1">
        <f t="array" ref="S958">_xlfn.IFS($R958&lt;=50,"Good",$R958&lt;=100,"Moderate",$R958&lt;=200,"Poor",$R958&lt;=300,"Very Poor",$R958&lt;=500,"Hazardous")</f>
        <v>Poor</v>
      </c>
      <c r="T958" t="s">
        <v>28</v>
      </c>
      <c r="X958" s="2"/>
      <c r="Y958" s="2"/>
    </row>
    <row r="959" spans="1:25" x14ac:dyDescent="0.3">
      <c r="A959" s="2">
        <v>45483</v>
      </c>
      <c r="B959" t="s">
        <v>22</v>
      </c>
      <c r="C959" s="4">
        <v>41.8</v>
      </c>
      <c r="D959" s="4">
        <v>90.7</v>
      </c>
      <c r="E959" s="4">
        <v>19.3</v>
      </c>
      <c r="F959" s="4">
        <v>0.5</v>
      </c>
      <c r="G959" s="4">
        <v>55.3</v>
      </c>
      <c r="H959" s="4">
        <v>1.23</v>
      </c>
      <c r="I959" s="4">
        <v>36.1</v>
      </c>
      <c r="J959" s="4">
        <v>45.8</v>
      </c>
      <c r="K959" s="4">
        <v>3.33</v>
      </c>
      <c r="L959" s="4">
        <v>69.666666666666671</v>
      </c>
      <c r="M959" s="4">
        <v>90.7</v>
      </c>
      <c r="N959" s="4">
        <v>24.125</v>
      </c>
      <c r="O959" s="4">
        <v>1.25</v>
      </c>
      <c r="P959" s="4">
        <v>138.25</v>
      </c>
      <c r="Q959" s="4">
        <v>61.5</v>
      </c>
      <c r="R959" s="4">
        <v>138</v>
      </c>
      <c r="S959" s="4" t="str" cm="1">
        <f t="array" ref="S959">_xlfn.IFS($R959&lt;=50,"Good",$R959&lt;=100,"Moderate",$R959&lt;=200,"Poor",$R959&lt;=300,"Very Poor",$R959&lt;=500,"Hazardous")</f>
        <v>Poor</v>
      </c>
      <c r="T959" t="s">
        <v>27</v>
      </c>
      <c r="X959" s="2"/>
      <c r="Y959" s="2"/>
    </row>
    <row r="960" spans="1:25" x14ac:dyDescent="0.3">
      <c r="A960" s="2">
        <v>45483</v>
      </c>
      <c r="B960" t="s">
        <v>23</v>
      </c>
      <c r="C960" s="4">
        <v>41.2</v>
      </c>
      <c r="D960" s="4">
        <v>153.1</v>
      </c>
      <c r="E960" s="4">
        <v>52.4</v>
      </c>
      <c r="F960" s="4">
        <v>7.24</v>
      </c>
      <c r="G960" s="4">
        <v>31.5</v>
      </c>
      <c r="H960" s="4">
        <v>1.42</v>
      </c>
      <c r="I960" s="4">
        <v>29.5</v>
      </c>
      <c r="J960" s="4">
        <v>47.7</v>
      </c>
      <c r="K960" s="4">
        <v>0.91</v>
      </c>
      <c r="L960" s="4">
        <v>68.666666666666671</v>
      </c>
      <c r="M960" s="4">
        <v>153.1</v>
      </c>
      <c r="N960" s="4">
        <v>65.5</v>
      </c>
      <c r="O960" s="4">
        <v>18.100000000000001</v>
      </c>
      <c r="P960" s="4">
        <v>78.75</v>
      </c>
      <c r="Q960" s="4">
        <v>71</v>
      </c>
      <c r="R960" s="4">
        <v>153</v>
      </c>
      <c r="S960" s="4" t="str" cm="1">
        <f t="array" ref="S960">_xlfn.IFS($R960&lt;=50,"Good",$R960&lt;=100,"Moderate",$R960&lt;=200,"Poor",$R960&lt;=300,"Very Poor",$R960&lt;=500,"Hazardous")</f>
        <v>Poor</v>
      </c>
      <c r="T960" t="s">
        <v>28</v>
      </c>
      <c r="X960" s="2"/>
      <c r="Y960" s="2"/>
    </row>
    <row r="961" spans="1:25" x14ac:dyDescent="0.3">
      <c r="A961" s="2">
        <v>45483</v>
      </c>
      <c r="B961" t="s">
        <v>24</v>
      </c>
      <c r="C961" s="4">
        <v>45.2</v>
      </c>
      <c r="D961" s="4">
        <v>185.6</v>
      </c>
      <c r="E961" s="4">
        <v>59.8</v>
      </c>
      <c r="F961" s="4">
        <v>2.15</v>
      </c>
      <c r="G961" s="4">
        <v>11.9</v>
      </c>
      <c r="H961" s="4">
        <v>1.73</v>
      </c>
      <c r="I961" s="4">
        <v>17.100000000000001</v>
      </c>
      <c r="J961" s="4">
        <v>69.2</v>
      </c>
      <c r="K961" s="4">
        <v>2.2599999999999998</v>
      </c>
      <c r="L961" s="4">
        <v>75.333333333333329</v>
      </c>
      <c r="M961" s="4">
        <v>185.6</v>
      </c>
      <c r="N961" s="4">
        <v>74.75</v>
      </c>
      <c r="O961" s="4">
        <v>5.375</v>
      </c>
      <c r="P961" s="4">
        <v>29.75</v>
      </c>
      <c r="Q961" s="4">
        <v>86.5</v>
      </c>
      <c r="R961" s="4">
        <v>186</v>
      </c>
      <c r="S961" s="4" t="str" cm="1">
        <f t="array" ref="S961">_xlfn.IFS($R961&lt;=50,"Good",$R961&lt;=100,"Moderate",$R961&lt;=200,"Poor",$R961&lt;=300,"Very Poor",$R961&lt;=500,"Hazardous")</f>
        <v>Poor</v>
      </c>
      <c r="T961" t="s">
        <v>28</v>
      </c>
      <c r="X961" s="2"/>
      <c r="Y961" s="2"/>
    </row>
    <row r="962" spans="1:25" x14ac:dyDescent="0.3">
      <c r="A962" s="2">
        <v>45484</v>
      </c>
      <c r="B962" t="s">
        <v>20</v>
      </c>
      <c r="C962" s="4">
        <v>99.8</v>
      </c>
      <c r="D962" s="4">
        <v>67.900000000000006</v>
      </c>
      <c r="E962" s="4">
        <v>62.4</v>
      </c>
      <c r="F962" s="4">
        <v>8.2100000000000009</v>
      </c>
      <c r="G962" s="4">
        <v>53.3</v>
      </c>
      <c r="H962" s="4">
        <v>0.05</v>
      </c>
      <c r="I962" s="4">
        <v>9.6</v>
      </c>
      <c r="J962" s="4">
        <v>56</v>
      </c>
      <c r="K962" s="4">
        <v>2.8</v>
      </c>
      <c r="L962" s="4">
        <v>166.33333333333329</v>
      </c>
      <c r="M962" s="4">
        <v>67.900000000000006</v>
      </c>
      <c r="N962" s="4">
        <v>78</v>
      </c>
      <c r="O962" s="4">
        <v>20.524999999999999</v>
      </c>
      <c r="P962" s="4">
        <v>133.25</v>
      </c>
      <c r="Q962" s="4">
        <v>2.5</v>
      </c>
      <c r="R962" s="4">
        <v>166</v>
      </c>
      <c r="S962" s="4" t="str" cm="1">
        <f t="array" ref="S962">_xlfn.IFS($R962&lt;=50,"Good",$R962&lt;=100,"Moderate",$R962&lt;=200,"Poor",$R962&lt;=300,"Very Poor",$R962&lt;=500,"Hazardous")</f>
        <v>Poor</v>
      </c>
      <c r="T962" t="s">
        <v>25</v>
      </c>
      <c r="X962" s="2"/>
      <c r="Y962" s="2"/>
    </row>
    <row r="963" spans="1:25" x14ac:dyDescent="0.3">
      <c r="A963" s="2">
        <v>45484</v>
      </c>
      <c r="B963" t="s">
        <v>21</v>
      </c>
      <c r="C963" s="4">
        <v>26.2</v>
      </c>
      <c r="D963" s="4">
        <v>54.7</v>
      </c>
      <c r="E963" s="4">
        <v>56.2</v>
      </c>
      <c r="F963" s="4">
        <v>10.81</v>
      </c>
      <c r="G963" s="4">
        <v>45.7</v>
      </c>
      <c r="H963" s="4">
        <v>1.67</v>
      </c>
      <c r="I963" s="4">
        <v>16.8</v>
      </c>
      <c r="J963" s="4">
        <v>53.6</v>
      </c>
      <c r="K963" s="4">
        <v>4.4800000000000004</v>
      </c>
      <c r="L963" s="4">
        <v>43.666666666666657</v>
      </c>
      <c r="M963" s="4">
        <v>54.7</v>
      </c>
      <c r="N963" s="4">
        <v>70.25</v>
      </c>
      <c r="O963" s="4">
        <v>27.024999999999999</v>
      </c>
      <c r="P963" s="4">
        <v>114.25</v>
      </c>
      <c r="Q963" s="4">
        <v>83.499999999999986</v>
      </c>
      <c r="R963" s="4">
        <v>114</v>
      </c>
      <c r="S963" s="4" t="str" cm="1">
        <f t="array" ref="S963">_xlfn.IFS($R963&lt;=50,"Good",$R963&lt;=100,"Moderate",$R963&lt;=200,"Poor",$R963&lt;=300,"Very Poor",$R963&lt;=500,"Hazardous")</f>
        <v>Poor</v>
      </c>
      <c r="T963" t="s">
        <v>27</v>
      </c>
      <c r="X963" s="2"/>
      <c r="Y963" s="2"/>
    </row>
    <row r="964" spans="1:25" x14ac:dyDescent="0.3">
      <c r="A964" s="2">
        <v>45484</v>
      </c>
      <c r="B964" t="s">
        <v>22</v>
      </c>
      <c r="C964" s="4">
        <v>47.2</v>
      </c>
      <c r="D964" s="4">
        <v>97</v>
      </c>
      <c r="E964" s="4">
        <v>69.3</v>
      </c>
      <c r="F964" s="4">
        <v>0.76</v>
      </c>
      <c r="G964" s="4">
        <v>56.9</v>
      </c>
      <c r="H964" s="4">
        <v>1.67</v>
      </c>
      <c r="I964" s="4">
        <v>22.7</v>
      </c>
      <c r="J964" s="4">
        <v>75.5</v>
      </c>
      <c r="K964" s="4">
        <v>1.32</v>
      </c>
      <c r="L964" s="4">
        <v>78.666666666666671</v>
      </c>
      <c r="M964" s="4">
        <v>97</v>
      </c>
      <c r="N964" s="4">
        <v>86.625</v>
      </c>
      <c r="O964" s="4">
        <v>1.9</v>
      </c>
      <c r="P964" s="4">
        <v>142.25</v>
      </c>
      <c r="Q964" s="4">
        <v>83.499999999999986</v>
      </c>
      <c r="R964" s="4">
        <v>142</v>
      </c>
      <c r="S964" s="4" t="str" cm="1">
        <f t="array" ref="S964">_xlfn.IFS($R964&lt;=50,"Good",$R964&lt;=100,"Moderate",$R964&lt;=200,"Poor",$R964&lt;=300,"Very Poor",$R964&lt;=500,"Hazardous")</f>
        <v>Poor</v>
      </c>
      <c r="T964" t="s">
        <v>27</v>
      </c>
      <c r="X964" s="2"/>
      <c r="Y964" s="2"/>
    </row>
    <row r="965" spans="1:25" x14ac:dyDescent="0.3">
      <c r="A965" s="2">
        <v>45484</v>
      </c>
      <c r="B965" t="s">
        <v>23</v>
      </c>
      <c r="C965" s="4">
        <v>31.5</v>
      </c>
      <c r="D965" s="4">
        <v>114.5</v>
      </c>
      <c r="E965" s="4">
        <v>48.8</v>
      </c>
      <c r="F965" s="4">
        <v>10.88</v>
      </c>
      <c r="G965" s="4">
        <v>79.2</v>
      </c>
      <c r="H965" s="4">
        <v>0.93</v>
      </c>
      <c r="I965" s="4">
        <v>33.4</v>
      </c>
      <c r="J965" s="4">
        <v>53.8</v>
      </c>
      <c r="K965" s="4">
        <v>3.58</v>
      </c>
      <c r="L965" s="4">
        <v>52.5</v>
      </c>
      <c r="M965" s="4">
        <v>114.5</v>
      </c>
      <c r="N965" s="4">
        <v>61</v>
      </c>
      <c r="O965" s="4">
        <v>27.2</v>
      </c>
      <c r="P965" s="4">
        <v>198</v>
      </c>
      <c r="Q965" s="4">
        <v>46.5</v>
      </c>
      <c r="R965" s="4">
        <v>198</v>
      </c>
      <c r="S965" s="4" t="str" cm="1">
        <f t="array" ref="S965">_xlfn.IFS($R965&lt;=50,"Good",$R965&lt;=100,"Moderate",$R965&lt;=200,"Poor",$R965&lt;=300,"Very Poor",$R965&lt;=500,"Hazardous")</f>
        <v>Poor</v>
      </c>
      <c r="T965" t="s">
        <v>27</v>
      </c>
      <c r="X965" s="2"/>
      <c r="Y965" s="2"/>
    </row>
    <row r="966" spans="1:25" x14ac:dyDescent="0.3">
      <c r="A966" s="2">
        <v>45484</v>
      </c>
      <c r="B966" t="s">
        <v>24</v>
      </c>
      <c r="C966" s="4">
        <v>58.3</v>
      </c>
      <c r="D966" s="4">
        <v>129.1</v>
      </c>
      <c r="E966" s="4">
        <v>47.1</v>
      </c>
      <c r="F966" s="4">
        <v>0.5</v>
      </c>
      <c r="G966" s="4">
        <v>13.1</v>
      </c>
      <c r="H966" s="4">
        <v>1.1100000000000001</v>
      </c>
      <c r="I966" s="4">
        <v>13.2</v>
      </c>
      <c r="J966" s="4">
        <v>75</v>
      </c>
      <c r="K966" s="4">
        <v>4.05</v>
      </c>
      <c r="L966" s="4">
        <v>97.166666666666671</v>
      </c>
      <c r="M966" s="4">
        <v>129.1</v>
      </c>
      <c r="N966" s="4">
        <v>58.875000000000007</v>
      </c>
      <c r="O966" s="4">
        <v>1.25</v>
      </c>
      <c r="P966" s="4">
        <v>32.75</v>
      </c>
      <c r="Q966" s="4">
        <v>55.500000000000007</v>
      </c>
      <c r="R966" s="4">
        <v>129</v>
      </c>
      <c r="S966" s="4" t="str" cm="1">
        <f t="array" ref="S966">_xlfn.IFS($R966&lt;=50,"Good",$R966&lt;=100,"Moderate",$R966&lt;=200,"Poor",$R966&lt;=300,"Very Poor",$R966&lt;=500,"Hazardous")</f>
        <v>Poor</v>
      </c>
      <c r="T966" t="s">
        <v>28</v>
      </c>
      <c r="X966" s="2"/>
      <c r="Y966" s="2"/>
    </row>
    <row r="967" spans="1:25" x14ac:dyDescent="0.3">
      <c r="A967" s="2">
        <v>45485</v>
      </c>
      <c r="B967" t="s">
        <v>20</v>
      </c>
      <c r="C967" s="4">
        <v>64.2</v>
      </c>
      <c r="D967" s="4">
        <v>48.5</v>
      </c>
      <c r="E967" s="4">
        <v>66.8</v>
      </c>
      <c r="F967" s="4">
        <v>16.73</v>
      </c>
      <c r="G967" s="4">
        <v>50.2</v>
      </c>
      <c r="H967" s="4">
        <v>1.39</v>
      </c>
      <c r="I967" s="4">
        <v>26.4</v>
      </c>
      <c r="J967" s="4">
        <v>69.5</v>
      </c>
      <c r="K967" s="4">
        <v>2.36</v>
      </c>
      <c r="L967" s="4">
        <v>107</v>
      </c>
      <c r="M967" s="4">
        <v>48.5</v>
      </c>
      <c r="N967" s="4">
        <v>83.499999999999986</v>
      </c>
      <c r="O967" s="4">
        <v>41.825000000000003</v>
      </c>
      <c r="P967" s="4">
        <v>125.5</v>
      </c>
      <c r="Q967" s="4">
        <v>69.499999999999986</v>
      </c>
      <c r="R967" s="4">
        <v>126</v>
      </c>
      <c r="S967" s="4" t="str" cm="1">
        <f t="array" ref="S967">_xlfn.IFS($R967&lt;=50,"Good",$R967&lt;=100,"Moderate",$R967&lt;=200,"Poor",$R967&lt;=300,"Very Poor",$R967&lt;=500,"Hazardous")</f>
        <v>Poor</v>
      </c>
      <c r="T967" t="s">
        <v>27</v>
      </c>
      <c r="X967" s="2"/>
      <c r="Y967" s="2"/>
    </row>
    <row r="968" spans="1:25" x14ac:dyDescent="0.3">
      <c r="A968" s="2">
        <v>45485</v>
      </c>
      <c r="B968" t="s">
        <v>21</v>
      </c>
      <c r="C968" s="4">
        <v>59</v>
      </c>
      <c r="D968" s="4">
        <v>174.3</v>
      </c>
      <c r="E968" s="4">
        <v>91.9</v>
      </c>
      <c r="F968" s="4">
        <v>1</v>
      </c>
      <c r="G968" s="4">
        <v>46.8</v>
      </c>
      <c r="H968" s="4">
        <v>0.49</v>
      </c>
      <c r="I968" s="4">
        <v>36.1</v>
      </c>
      <c r="J968" s="4">
        <v>49.4</v>
      </c>
      <c r="K968" s="4">
        <v>0.77</v>
      </c>
      <c r="L968" s="4">
        <v>98.333333333333329</v>
      </c>
      <c r="M968" s="4">
        <v>174.3</v>
      </c>
      <c r="N968" s="4">
        <v>114.875</v>
      </c>
      <c r="O968" s="4">
        <v>2.5</v>
      </c>
      <c r="P968" s="4">
        <v>117</v>
      </c>
      <c r="Q968" s="4">
        <v>24.5</v>
      </c>
      <c r="R968" s="4">
        <v>174</v>
      </c>
      <c r="S968" s="4" t="str" cm="1">
        <f t="array" ref="S968">_xlfn.IFS($R968&lt;=50,"Good",$R968&lt;=100,"Moderate",$R968&lt;=200,"Poor",$R968&lt;=300,"Very Poor",$R968&lt;=500,"Hazardous")</f>
        <v>Poor</v>
      </c>
      <c r="T968" t="s">
        <v>28</v>
      </c>
      <c r="X968" s="2"/>
      <c r="Y968" s="2"/>
    </row>
    <row r="969" spans="1:25" x14ac:dyDescent="0.3">
      <c r="A969" s="2">
        <v>45485</v>
      </c>
      <c r="B969" t="s">
        <v>22</v>
      </c>
      <c r="C969" s="4">
        <v>60.2</v>
      </c>
      <c r="D969" s="4">
        <v>170.7</v>
      </c>
      <c r="E969" s="4">
        <v>44.3</v>
      </c>
      <c r="F969" s="4">
        <v>6.86</v>
      </c>
      <c r="G969" s="4">
        <v>47.7</v>
      </c>
      <c r="H969" s="4">
        <v>1.56</v>
      </c>
      <c r="I969" s="4">
        <v>18.899999999999999</v>
      </c>
      <c r="J969" s="4">
        <v>58</v>
      </c>
      <c r="K969" s="4">
        <v>1.96</v>
      </c>
      <c r="L969" s="4">
        <v>100.3333333333333</v>
      </c>
      <c r="M969" s="4">
        <v>170.7</v>
      </c>
      <c r="N969" s="4">
        <v>55.374999999999993</v>
      </c>
      <c r="O969" s="4">
        <v>17.149999999999999</v>
      </c>
      <c r="P969" s="4">
        <v>119.25</v>
      </c>
      <c r="Q969" s="4">
        <v>78</v>
      </c>
      <c r="R969" s="4">
        <v>171</v>
      </c>
      <c r="S969" s="4" t="str" cm="1">
        <f t="array" ref="S969">_xlfn.IFS($R969&lt;=50,"Good",$R969&lt;=100,"Moderate",$R969&lt;=200,"Poor",$R969&lt;=300,"Very Poor",$R969&lt;=500,"Hazardous")</f>
        <v>Poor</v>
      </c>
      <c r="T969" t="s">
        <v>28</v>
      </c>
      <c r="X969" s="2"/>
      <c r="Y969" s="2"/>
    </row>
    <row r="970" spans="1:25" x14ac:dyDescent="0.3">
      <c r="A970" s="2">
        <v>45485</v>
      </c>
      <c r="B970" t="s">
        <v>23</v>
      </c>
      <c r="C970" s="4">
        <v>20</v>
      </c>
      <c r="D970" s="4">
        <v>80.2</v>
      </c>
      <c r="E970" s="4">
        <v>53.7</v>
      </c>
      <c r="F970" s="4">
        <v>8.67</v>
      </c>
      <c r="G970" s="4">
        <v>56.1</v>
      </c>
      <c r="H970" s="4">
        <v>1.03</v>
      </c>
      <c r="I970" s="4">
        <v>28.7</v>
      </c>
      <c r="J970" s="4">
        <v>45.6</v>
      </c>
      <c r="K970" s="4">
        <v>2.13</v>
      </c>
      <c r="L970" s="4">
        <v>33.333333333333343</v>
      </c>
      <c r="M970" s="4">
        <v>80.2</v>
      </c>
      <c r="N970" s="4">
        <v>67.125</v>
      </c>
      <c r="O970" s="4">
        <v>21.675000000000001</v>
      </c>
      <c r="P970" s="4">
        <v>140.25</v>
      </c>
      <c r="Q970" s="4">
        <v>51.500000000000007</v>
      </c>
      <c r="R970" s="4">
        <v>140</v>
      </c>
      <c r="S970" s="4" t="str" cm="1">
        <f t="array" ref="S970">_xlfn.IFS($R970&lt;=50,"Good",$R970&lt;=100,"Moderate",$R970&lt;=200,"Poor",$R970&lt;=300,"Very Poor",$R970&lt;=500,"Hazardous")</f>
        <v>Poor</v>
      </c>
      <c r="T970" t="s">
        <v>27</v>
      </c>
      <c r="X970" s="2"/>
      <c r="Y970" s="2"/>
    </row>
    <row r="971" spans="1:25" x14ac:dyDescent="0.3">
      <c r="A971" s="2">
        <v>45485</v>
      </c>
      <c r="B971" t="s">
        <v>24</v>
      </c>
      <c r="C971" s="4">
        <v>57.9</v>
      </c>
      <c r="D971" s="4">
        <v>120.3</v>
      </c>
      <c r="E971" s="4">
        <v>45.2</v>
      </c>
      <c r="F971" s="4">
        <v>6.43</v>
      </c>
      <c r="G971" s="4">
        <v>33.6</v>
      </c>
      <c r="H971" s="4">
        <v>2.72</v>
      </c>
      <c r="I971" s="4">
        <v>31.3</v>
      </c>
      <c r="J971" s="4">
        <v>67.400000000000006</v>
      </c>
      <c r="K971" s="4">
        <v>2.72</v>
      </c>
      <c r="L971" s="4">
        <v>96.5</v>
      </c>
      <c r="M971" s="4">
        <v>120.3</v>
      </c>
      <c r="N971" s="4">
        <v>56.5</v>
      </c>
      <c r="O971" s="4">
        <v>16.074999999999999</v>
      </c>
      <c r="P971" s="4">
        <v>84</v>
      </c>
      <c r="Q971" s="4">
        <v>136</v>
      </c>
      <c r="R971" s="4">
        <v>136</v>
      </c>
      <c r="S971" s="4" t="str" cm="1">
        <f t="array" ref="S971">_xlfn.IFS($R971&lt;=50,"Good",$R971&lt;=100,"Moderate",$R971&lt;=200,"Poor",$R971&lt;=300,"Very Poor",$R971&lt;=500,"Hazardous")</f>
        <v>Poor</v>
      </c>
      <c r="T971" t="s">
        <v>29</v>
      </c>
      <c r="X971" s="2"/>
      <c r="Y971" s="2"/>
    </row>
    <row r="972" spans="1:25" x14ac:dyDescent="0.3">
      <c r="A972" s="2">
        <v>45486</v>
      </c>
      <c r="B972" t="s">
        <v>20</v>
      </c>
      <c r="C972" s="4">
        <v>42.7</v>
      </c>
      <c r="D972" s="4">
        <v>103.2</v>
      </c>
      <c r="E972" s="4">
        <v>46.8</v>
      </c>
      <c r="F972" s="4">
        <v>0.5</v>
      </c>
      <c r="G972" s="4">
        <v>1</v>
      </c>
      <c r="H972" s="4">
        <v>0.75</v>
      </c>
      <c r="I972" s="4">
        <v>26.4</v>
      </c>
      <c r="J972" s="4">
        <v>55.7</v>
      </c>
      <c r="K972" s="4">
        <v>4.2699999999999996</v>
      </c>
      <c r="L972" s="4">
        <v>71.166666666666671</v>
      </c>
      <c r="M972" s="4">
        <v>103.2</v>
      </c>
      <c r="N972" s="4">
        <v>58.5</v>
      </c>
      <c r="O972" s="4">
        <v>1.25</v>
      </c>
      <c r="P972" s="4">
        <v>2.5</v>
      </c>
      <c r="Q972" s="4">
        <v>37.5</v>
      </c>
      <c r="R972" s="4">
        <v>103</v>
      </c>
      <c r="S972" s="4" t="str" cm="1">
        <f t="array" ref="S972">_xlfn.IFS($R972&lt;=50,"Good",$R972&lt;=100,"Moderate",$R972&lt;=200,"Poor",$R972&lt;=300,"Very Poor",$R972&lt;=500,"Hazardous")</f>
        <v>Poor</v>
      </c>
      <c r="T972" t="s">
        <v>28</v>
      </c>
      <c r="X972" s="2"/>
      <c r="Y972" s="2"/>
    </row>
    <row r="973" spans="1:25" x14ac:dyDescent="0.3">
      <c r="A973" s="2">
        <v>45486</v>
      </c>
      <c r="B973" t="s">
        <v>21</v>
      </c>
      <c r="C973" s="4">
        <v>15.5</v>
      </c>
      <c r="D973" s="4">
        <v>74.900000000000006</v>
      </c>
      <c r="E973" s="4">
        <v>75.400000000000006</v>
      </c>
      <c r="F973" s="4">
        <v>8.66</v>
      </c>
      <c r="G973" s="4">
        <v>77.7</v>
      </c>
      <c r="H973" s="4">
        <v>2.4300000000000002</v>
      </c>
      <c r="I973" s="4">
        <v>20.100000000000001</v>
      </c>
      <c r="J973" s="4">
        <v>58.2</v>
      </c>
      <c r="K973" s="4">
        <v>2.17</v>
      </c>
      <c r="L973" s="4">
        <v>25.833333333333329</v>
      </c>
      <c r="M973" s="4">
        <v>74.900000000000006</v>
      </c>
      <c r="N973" s="4">
        <v>94.25</v>
      </c>
      <c r="O973" s="4">
        <v>21.65</v>
      </c>
      <c r="P973" s="4">
        <v>194.25</v>
      </c>
      <c r="Q973" s="4">
        <v>121.5</v>
      </c>
      <c r="R973" s="4">
        <v>194</v>
      </c>
      <c r="S973" s="4" t="str" cm="1">
        <f t="array" ref="S973">_xlfn.IFS($R973&lt;=50,"Good",$R973&lt;=100,"Moderate",$R973&lt;=200,"Poor",$R973&lt;=300,"Very Poor",$R973&lt;=500,"Hazardous")</f>
        <v>Poor</v>
      </c>
      <c r="T973" t="s">
        <v>27</v>
      </c>
      <c r="X973" s="2"/>
      <c r="Y973" s="2"/>
    </row>
    <row r="974" spans="1:25" x14ac:dyDescent="0.3">
      <c r="A974" s="2">
        <v>45486</v>
      </c>
      <c r="B974" t="s">
        <v>22</v>
      </c>
      <c r="C974" s="4">
        <v>2</v>
      </c>
      <c r="D974" s="4">
        <v>77</v>
      </c>
      <c r="E974" s="4">
        <v>47.6</v>
      </c>
      <c r="F974" s="4">
        <v>8.1300000000000008</v>
      </c>
      <c r="G974" s="4">
        <v>52.7</v>
      </c>
      <c r="H974" s="4">
        <v>0.74</v>
      </c>
      <c r="I974" s="4">
        <v>20.399999999999999</v>
      </c>
      <c r="J974" s="4">
        <v>82.8</v>
      </c>
      <c r="K974" s="4">
        <v>1.9</v>
      </c>
      <c r="L974" s="4">
        <v>3.333333333333333</v>
      </c>
      <c r="M974" s="4">
        <v>77</v>
      </c>
      <c r="N974" s="4">
        <v>59.500000000000007</v>
      </c>
      <c r="O974" s="4">
        <v>20.324999999999999</v>
      </c>
      <c r="P974" s="4">
        <v>131.75</v>
      </c>
      <c r="Q974" s="4">
        <v>37</v>
      </c>
      <c r="R974" s="4">
        <v>132</v>
      </c>
      <c r="S974" s="4" t="str" cm="1">
        <f t="array" ref="S974">_xlfn.IFS($R974&lt;=50,"Good",$R974&lt;=100,"Moderate",$R974&lt;=200,"Poor",$R974&lt;=300,"Very Poor",$R974&lt;=500,"Hazardous")</f>
        <v>Poor</v>
      </c>
      <c r="T974" t="s">
        <v>27</v>
      </c>
      <c r="X974" s="2"/>
      <c r="Y974" s="2"/>
    </row>
    <row r="975" spans="1:25" x14ac:dyDescent="0.3">
      <c r="A975" s="2">
        <v>45486</v>
      </c>
      <c r="B975" t="s">
        <v>23</v>
      </c>
      <c r="C975" s="4">
        <v>55.1</v>
      </c>
      <c r="D975" s="4">
        <v>103.8</v>
      </c>
      <c r="E975" s="4">
        <v>59.4</v>
      </c>
      <c r="F975" s="4">
        <v>10.29</v>
      </c>
      <c r="G975" s="4">
        <v>7.6</v>
      </c>
      <c r="H975" s="4">
        <v>0.39</v>
      </c>
      <c r="I975" s="4">
        <v>29.1</v>
      </c>
      <c r="J975" s="4">
        <v>58.8</v>
      </c>
      <c r="K975" s="4">
        <v>1.95</v>
      </c>
      <c r="L975" s="4">
        <v>91.833333333333343</v>
      </c>
      <c r="M975" s="4">
        <v>103.8</v>
      </c>
      <c r="N975" s="4">
        <v>74.25</v>
      </c>
      <c r="O975" s="4">
        <v>25.725000000000001</v>
      </c>
      <c r="P975" s="4">
        <v>19</v>
      </c>
      <c r="Q975" s="4">
        <v>19.5</v>
      </c>
      <c r="R975" s="4">
        <v>104</v>
      </c>
      <c r="S975" s="4" t="str" cm="1">
        <f t="array" ref="S975">_xlfn.IFS($R975&lt;=50,"Good",$R975&lt;=100,"Moderate",$R975&lt;=200,"Poor",$R975&lt;=300,"Very Poor",$R975&lt;=500,"Hazardous")</f>
        <v>Poor</v>
      </c>
      <c r="T975" t="s">
        <v>28</v>
      </c>
      <c r="X975" s="2"/>
      <c r="Y975" s="2"/>
    </row>
    <row r="976" spans="1:25" x14ac:dyDescent="0.3">
      <c r="A976" s="2">
        <v>45486</v>
      </c>
      <c r="B976" t="s">
        <v>24</v>
      </c>
      <c r="C976" s="4">
        <v>79.599999999999994</v>
      </c>
      <c r="D976" s="4">
        <v>115.5</v>
      </c>
      <c r="E976" s="4">
        <v>40.5</v>
      </c>
      <c r="F976" s="4">
        <v>10.47</v>
      </c>
      <c r="G976" s="4">
        <v>33.700000000000003</v>
      </c>
      <c r="H976" s="4">
        <v>1.88</v>
      </c>
      <c r="I976" s="4">
        <v>19.5</v>
      </c>
      <c r="J976" s="4">
        <v>71.8</v>
      </c>
      <c r="K976" s="4">
        <v>4.72</v>
      </c>
      <c r="L976" s="4">
        <v>132.66666666666671</v>
      </c>
      <c r="M976" s="4">
        <v>115.5</v>
      </c>
      <c r="N976" s="4">
        <v>50.625</v>
      </c>
      <c r="O976" s="4">
        <v>26.175000000000001</v>
      </c>
      <c r="P976" s="4">
        <v>84.25</v>
      </c>
      <c r="Q976" s="4">
        <v>94</v>
      </c>
      <c r="R976" s="4">
        <v>133</v>
      </c>
      <c r="S976" s="4" t="str" cm="1">
        <f t="array" ref="S976">_xlfn.IFS($R976&lt;=50,"Good",$R976&lt;=100,"Moderate",$R976&lt;=200,"Poor",$R976&lt;=300,"Very Poor",$R976&lt;=500,"Hazardous")</f>
        <v>Poor</v>
      </c>
      <c r="T976" t="s">
        <v>25</v>
      </c>
      <c r="X976" s="2"/>
      <c r="Y976" s="2"/>
    </row>
    <row r="977" spans="1:25" x14ac:dyDescent="0.3">
      <c r="A977" s="2">
        <v>45487</v>
      </c>
      <c r="B977" t="s">
        <v>20</v>
      </c>
      <c r="C977" s="4">
        <v>17.2</v>
      </c>
      <c r="D977" s="4">
        <v>91.4</v>
      </c>
      <c r="E977" s="4">
        <v>62.4</v>
      </c>
      <c r="F977" s="4">
        <v>12.68</v>
      </c>
      <c r="G977" s="4">
        <v>41.1</v>
      </c>
      <c r="H977" s="4">
        <v>0.7</v>
      </c>
      <c r="I977" s="4">
        <v>31.7</v>
      </c>
      <c r="J977" s="4">
        <v>81.3</v>
      </c>
      <c r="K977" s="4">
        <v>1.1000000000000001</v>
      </c>
      <c r="L977" s="4">
        <v>28.666666666666671</v>
      </c>
      <c r="M977" s="4">
        <v>91.4</v>
      </c>
      <c r="N977" s="4">
        <v>78</v>
      </c>
      <c r="O977" s="4">
        <v>31.7</v>
      </c>
      <c r="P977" s="4">
        <v>102.75</v>
      </c>
      <c r="Q977" s="4">
        <v>34.999999999999993</v>
      </c>
      <c r="R977" s="4">
        <v>103</v>
      </c>
      <c r="S977" s="4" t="str" cm="1">
        <f t="array" ref="S977">_xlfn.IFS($R977&lt;=50,"Good",$R977&lt;=100,"Moderate",$R977&lt;=200,"Poor",$R977&lt;=300,"Very Poor",$R977&lt;=500,"Hazardous")</f>
        <v>Poor</v>
      </c>
      <c r="T977" t="s">
        <v>27</v>
      </c>
      <c r="X977" s="2"/>
      <c r="Y977" s="2"/>
    </row>
    <row r="978" spans="1:25" x14ac:dyDescent="0.3">
      <c r="A978" s="2">
        <v>45487</v>
      </c>
      <c r="B978" t="s">
        <v>21</v>
      </c>
      <c r="C978" s="4">
        <v>23.9</v>
      </c>
      <c r="D978" s="4">
        <v>133.5</v>
      </c>
      <c r="E978" s="4">
        <v>57.6</v>
      </c>
      <c r="F978" s="4">
        <v>6.5</v>
      </c>
      <c r="G978" s="4">
        <v>71.2</v>
      </c>
      <c r="H978" s="4">
        <v>0.77</v>
      </c>
      <c r="I978" s="4">
        <v>10.199999999999999</v>
      </c>
      <c r="J978" s="4">
        <v>52.4</v>
      </c>
      <c r="K978" s="4">
        <v>2.58</v>
      </c>
      <c r="L978" s="4">
        <v>39.833333333333329</v>
      </c>
      <c r="M978" s="4">
        <v>133.5</v>
      </c>
      <c r="N978" s="4">
        <v>72.000000000000014</v>
      </c>
      <c r="O978" s="4">
        <v>16.25</v>
      </c>
      <c r="P978" s="4">
        <v>178</v>
      </c>
      <c r="Q978" s="4">
        <v>38.5</v>
      </c>
      <c r="R978" s="4">
        <v>178</v>
      </c>
      <c r="S978" s="4" t="str" cm="1">
        <f t="array" ref="S978">_xlfn.IFS($R978&lt;=50,"Good",$R978&lt;=100,"Moderate",$R978&lt;=200,"Poor",$R978&lt;=300,"Very Poor",$R978&lt;=500,"Hazardous")</f>
        <v>Poor</v>
      </c>
      <c r="T978" t="s">
        <v>27</v>
      </c>
      <c r="X978" s="2"/>
      <c r="Y978" s="2"/>
    </row>
    <row r="979" spans="1:25" x14ac:dyDescent="0.3">
      <c r="A979" s="2">
        <v>45487</v>
      </c>
      <c r="B979" t="s">
        <v>22</v>
      </c>
      <c r="C979" s="4">
        <v>39.299999999999997</v>
      </c>
      <c r="D979" s="4">
        <v>38.4</v>
      </c>
      <c r="E979" s="4">
        <v>6.6</v>
      </c>
      <c r="F979" s="4">
        <v>4.13</v>
      </c>
      <c r="G979" s="4">
        <v>59.3</v>
      </c>
      <c r="H979" s="4">
        <v>1.48</v>
      </c>
      <c r="I979" s="4">
        <v>33.299999999999997</v>
      </c>
      <c r="J979" s="4">
        <v>45.3</v>
      </c>
      <c r="K979" s="4">
        <v>1.1200000000000001</v>
      </c>
      <c r="L979" s="4">
        <v>65.499999999999986</v>
      </c>
      <c r="M979" s="4">
        <v>38.4</v>
      </c>
      <c r="N979" s="4">
        <v>8.25</v>
      </c>
      <c r="O979" s="4">
        <v>10.324999999999999</v>
      </c>
      <c r="P979" s="4">
        <v>148.25</v>
      </c>
      <c r="Q979" s="4">
        <v>74</v>
      </c>
      <c r="R979" s="4">
        <v>148</v>
      </c>
      <c r="S979" s="4" t="str" cm="1">
        <f t="array" ref="S979">_xlfn.IFS($R979&lt;=50,"Good",$R979&lt;=100,"Moderate",$R979&lt;=200,"Poor",$R979&lt;=300,"Very Poor",$R979&lt;=500,"Hazardous")</f>
        <v>Poor</v>
      </c>
      <c r="T979" t="s">
        <v>27</v>
      </c>
      <c r="X979" s="2"/>
      <c r="Y979" s="2"/>
    </row>
    <row r="980" spans="1:25" x14ac:dyDescent="0.3">
      <c r="A980" s="2">
        <v>45487</v>
      </c>
      <c r="B980" t="s">
        <v>23</v>
      </c>
      <c r="C980" s="4">
        <v>59.9</v>
      </c>
      <c r="D980" s="4">
        <v>126.5</v>
      </c>
      <c r="E980" s="4">
        <v>42.4</v>
      </c>
      <c r="F980" s="4">
        <v>0.5</v>
      </c>
      <c r="G980" s="4">
        <v>18.3</v>
      </c>
      <c r="H980" s="4">
        <v>0.95</v>
      </c>
      <c r="I980" s="4">
        <v>28.4</v>
      </c>
      <c r="J980" s="4">
        <v>73.8</v>
      </c>
      <c r="K980" s="4">
        <v>2.67</v>
      </c>
      <c r="L980" s="4">
        <v>99.833333333333329</v>
      </c>
      <c r="M980" s="4">
        <v>126.5</v>
      </c>
      <c r="N980" s="4">
        <v>53</v>
      </c>
      <c r="O980" s="4">
        <v>1.25</v>
      </c>
      <c r="P980" s="4">
        <v>45.75</v>
      </c>
      <c r="Q980" s="4">
        <v>47.5</v>
      </c>
      <c r="R980" s="4">
        <v>126</v>
      </c>
      <c r="S980" s="4" t="str" cm="1">
        <f t="array" ref="S980">_xlfn.IFS($R980&lt;=50,"Good",$R980&lt;=100,"Moderate",$R980&lt;=200,"Poor",$R980&lt;=300,"Very Poor",$R980&lt;=500,"Hazardous")</f>
        <v>Poor</v>
      </c>
      <c r="T980" t="s">
        <v>28</v>
      </c>
      <c r="X980" s="2"/>
      <c r="Y980" s="2"/>
    </row>
    <row r="981" spans="1:25" x14ac:dyDescent="0.3">
      <c r="A981" s="2">
        <v>45487</v>
      </c>
      <c r="B981" t="s">
        <v>24</v>
      </c>
      <c r="C981" s="4">
        <v>61.5</v>
      </c>
      <c r="D981" s="4">
        <v>110.1</v>
      </c>
      <c r="E981" s="4">
        <v>51.7</v>
      </c>
      <c r="F981" s="4">
        <v>8.42</v>
      </c>
      <c r="G981" s="4">
        <v>45.8</v>
      </c>
      <c r="H981" s="4">
        <v>0.91</v>
      </c>
      <c r="I981" s="4">
        <v>25.6</v>
      </c>
      <c r="J981" s="4">
        <v>68.7</v>
      </c>
      <c r="K981" s="4">
        <v>3.32</v>
      </c>
      <c r="L981" s="4">
        <v>102.5</v>
      </c>
      <c r="M981" s="4">
        <v>110.1</v>
      </c>
      <c r="N981" s="4">
        <v>64.625</v>
      </c>
      <c r="O981" s="4">
        <v>21.05</v>
      </c>
      <c r="P981" s="4">
        <v>114.5</v>
      </c>
      <c r="Q981" s="4">
        <v>45.5</v>
      </c>
      <c r="R981" s="4">
        <v>114</v>
      </c>
      <c r="S981" s="4" t="str" cm="1">
        <f t="array" ref="S981">_xlfn.IFS($R981&lt;=50,"Good",$R981&lt;=100,"Moderate",$R981&lt;=200,"Poor",$R981&lt;=300,"Very Poor",$R981&lt;=500,"Hazardous")</f>
        <v>Poor</v>
      </c>
      <c r="T981" t="s">
        <v>27</v>
      </c>
      <c r="X981" s="2"/>
      <c r="Y981" s="2"/>
    </row>
    <row r="982" spans="1:25" x14ac:dyDescent="0.3">
      <c r="A982" s="2">
        <v>45488</v>
      </c>
      <c r="B982" t="s">
        <v>20</v>
      </c>
      <c r="C982" s="4">
        <v>65.7</v>
      </c>
      <c r="D982" s="4">
        <v>184.5</v>
      </c>
      <c r="E982" s="4">
        <v>46.3</v>
      </c>
      <c r="F982" s="4">
        <v>4.37</v>
      </c>
      <c r="G982" s="4">
        <v>71.400000000000006</v>
      </c>
      <c r="H982" s="4">
        <v>0.35</v>
      </c>
      <c r="I982" s="4">
        <v>17.399999999999999</v>
      </c>
      <c r="J982" s="4">
        <v>66</v>
      </c>
      <c r="K982" s="4">
        <v>3.12</v>
      </c>
      <c r="L982" s="4">
        <v>109.5</v>
      </c>
      <c r="M982" s="4">
        <v>184.5</v>
      </c>
      <c r="N982" s="4">
        <v>57.874999999999993</v>
      </c>
      <c r="O982" s="4">
        <v>10.925000000000001</v>
      </c>
      <c r="P982" s="4">
        <v>178.5</v>
      </c>
      <c r="Q982" s="4">
        <v>17.5</v>
      </c>
      <c r="R982" s="4">
        <v>184</v>
      </c>
      <c r="S982" s="4" t="str" cm="1">
        <f t="array" ref="S982">_xlfn.IFS($R982&lt;=50,"Good",$R982&lt;=100,"Moderate",$R982&lt;=200,"Poor",$R982&lt;=300,"Very Poor",$R982&lt;=500,"Hazardous")</f>
        <v>Poor</v>
      </c>
      <c r="T982" t="s">
        <v>28</v>
      </c>
      <c r="X982" s="2"/>
      <c r="Y982" s="2"/>
    </row>
    <row r="983" spans="1:25" x14ac:dyDescent="0.3">
      <c r="A983" s="2">
        <v>45488</v>
      </c>
      <c r="B983" t="s">
        <v>21</v>
      </c>
      <c r="C983" s="4">
        <v>22.6</v>
      </c>
      <c r="D983" s="4">
        <v>97</v>
      </c>
      <c r="E983" s="4">
        <v>32.9</v>
      </c>
      <c r="F983" s="4">
        <v>5.57</v>
      </c>
      <c r="G983" s="4">
        <v>79.5</v>
      </c>
      <c r="H983" s="4">
        <v>1.62</v>
      </c>
      <c r="I983" s="4">
        <v>24.9</v>
      </c>
      <c r="J983" s="4">
        <v>50.2</v>
      </c>
      <c r="K983" s="4">
        <v>0.88</v>
      </c>
      <c r="L983" s="4">
        <v>37.666666666666657</v>
      </c>
      <c r="M983" s="4">
        <v>97</v>
      </c>
      <c r="N983" s="4">
        <v>41.124999999999993</v>
      </c>
      <c r="O983" s="4">
        <v>13.925000000000001</v>
      </c>
      <c r="P983" s="4">
        <v>198.75</v>
      </c>
      <c r="Q983" s="4">
        <v>81</v>
      </c>
      <c r="R983" s="4">
        <v>199</v>
      </c>
      <c r="S983" s="4" t="str" cm="1">
        <f t="array" ref="S983">_xlfn.IFS($R983&lt;=50,"Good",$R983&lt;=100,"Moderate",$R983&lt;=200,"Poor",$R983&lt;=300,"Very Poor",$R983&lt;=500,"Hazardous")</f>
        <v>Poor</v>
      </c>
      <c r="T983" t="s">
        <v>27</v>
      </c>
      <c r="X983" s="2"/>
      <c r="Y983" s="2"/>
    </row>
    <row r="984" spans="1:25" x14ac:dyDescent="0.3">
      <c r="A984" s="2">
        <v>45488</v>
      </c>
      <c r="B984" t="s">
        <v>22</v>
      </c>
      <c r="C984" s="4">
        <v>78</v>
      </c>
      <c r="D984" s="4">
        <v>118.2</v>
      </c>
      <c r="E984" s="4">
        <v>23.5</v>
      </c>
      <c r="F984" s="4">
        <v>8.81</v>
      </c>
      <c r="G984" s="4">
        <v>36.299999999999997</v>
      </c>
      <c r="H984" s="4">
        <v>0.78</v>
      </c>
      <c r="I984" s="4">
        <v>28</v>
      </c>
      <c r="J984" s="4">
        <v>46.7</v>
      </c>
      <c r="K984" s="4">
        <v>2.09</v>
      </c>
      <c r="L984" s="4">
        <v>130</v>
      </c>
      <c r="M984" s="4">
        <v>118.2</v>
      </c>
      <c r="N984" s="4">
        <v>29.375</v>
      </c>
      <c r="O984" s="4">
        <v>22.024999999999999</v>
      </c>
      <c r="P984" s="4">
        <v>90.75</v>
      </c>
      <c r="Q984" s="4">
        <v>39</v>
      </c>
      <c r="R984" s="4">
        <v>130</v>
      </c>
      <c r="S984" s="4" t="str" cm="1">
        <f t="array" ref="S984">_xlfn.IFS($R984&lt;=50,"Good",$R984&lt;=100,"Moderate",$R984&lt;=200,"Poor",$R984&lt;=300,"Very Poor",$R984&lt;=500,"Hazardous")</f>
        <v>Poor</v>
      </c>
      <c r="T984" t="s">
        <v>25</v>
      </c>
      <c r="X984" s="2"/>
      <c r="Y984" s="2"/>
    </row>
    <row r="985" spans="1:25" x14ac:dyDescent="0.3">
      <c r="A985" s="2">
        <v>45488</v>
      </c>
      <c r="B985" t="s">
        <v>23</v>
      </c>
      <c r="C985" s="4">
        <v>50.9</v>
      </c>
      <c r="D985" s="4">
        <v>72</v>
      </c>
      <c r="E985" s="4">
        <v>46.7</v>
      </c>
      <c r="F985" s="4">
        <v>13.88</v>
      </c>
      <c r="G985" s="4">
        <v>21.1</v>
      </c>
      <c r="H985" s="4">
        <v>0.16</v>
      </c>
      <c r="I985" s="4">
        <v>11</v>
      </c>
      <c r="J985" s="4">
        <v>57.3</v>
      </c>
      <c r="K985" s="4">
        <v>1.7</v>
      </c>
      <c r="L985" s="4">
        <v>84.833333333333329</v>
      </c>
      <c r="M985" s="4">
        <v>72</v>
      </c>
      <c r="N985" s="4">
        <v>58.375</v>
      </c>
      <c r="O985" s="4">
        <v>34.700000000000003</v>
      </c>
      <c r="P985" s="4">
        <v>52.750000000000007</v>
      </c>
      <c r="Q985" s="4">
        <v>8</v>
      </c>
      <c r="R985" s="4">
        <v>85</v>
      </c>
      <c r="S985" s="4" t="str" cm="1">
        <f t="array" ref="S985">_xlfn.IFS($R985&lt;=50,"Good",$R985&lt;=100,"Moderate",$R985&lt;=200,"Poor",$R985&lt;=300,"Very Poor",$R985&lt;=500,"Hazardous")</f>
        <v>Moderate</v>
      </c>
      <c r="T985" t="s">
        <v>25</v>
      </c>
      <c r="X985" s="2"/>
      <c r="Y985" s="2"/>
    </row>
    <row r="986" spans="1:25" x14ac:dyDescent="0.3">
      <c r="A986" s="2">
        <v>45488</v>
      </c>
      <c r="B986" t="s">
        <v>24</v>
      </c>
      <c r="C986" s="4">
        <v>58.3</v>
      </c>
      <c r="D986" s="4">
        <v>112.6</v>
      </c>
      <c r="E986" s="4">
        <v>11.4</v>
      </c>
      <c r="F986" s="4">
        <v>0.5</v>
      </c>
      <c r="G986" s="4">
        <v>52.1</v>
      </c>
      <c r="H986" s="4">
        <v>1.1299999999999999</v>
      </c>
      <c r="I986" s="4">
        <v>22</v>
      </c>
      <c r="J986" s="4">
        <v>30.2</v>
      </c>
      <c r="K986" s="4">
        <v>3.57</v>
      </c>
      <c r="L986" s="4">
        <v>97.166666666666671</v>
      </c>
      <c r="M986" s="4">
        <v>112.6</v>
      </c>
      <c r="N986" s="4">
        <v>14.25</v>
      </c>
      <c r="O986" s="4">
        <v>1.25</v>
      </c>
      <c r="P986" s="4">
        <v>130.25</v>
      </c>
      <c r="Q986" s="4">
        <v>56.499999999999993</v>
      </c>
      <c r="R986" s="4">
        <v>130</v>
      </c>
      <c r="S986" s="4" t="str" cm="1">
        <f t="array" ref="S986">_xlfn.IFS($R986&lt;=50,"Good",$R986&lt;=100,"Moderate",$R986&lt;=200,"Poor",$R986&lt;=300,"Very Poor",$R986&lt;=500,"Hazardous")</f>
        <v>Poor</v>
      </c>
      <c r="T986" t="s">
        <v>27</v>
      </c>
      <c r="X986" s="2"/>
      <c r="Y986" s="2"/>
    </row>
    <row r="987" spans="1:25" x14ac:dyDescent="0.3">
      <c r="A987" s="2">
        <v>45489</v>
      </c>
      <c r="B987" t="s">
        <v>20</v>
      </c>
      <c r="C987" s="4">
        <v>90.3</v>
      </c>
      <c r="D987" s="4">
        <v>125.7</v>
      </c>
      <c r="E987" s="4">
        <v>25.8</v>
      </c>
      <c r="F987" s="4">
        <v>7.56</v>
      </c>
      <c r="G987" s="4">
        <v>6.7</v>
      </c>
      <c r="H987" s="4">
        <v>1.69</v>
      </c>
      <c r="I987" s="4">
        <v>25.6</v>
      </c>
      <c r="J987" s="4">
        <v>28.2</v>
      </c>
      <c r="K987" s="4">
        <v>2.14</v>
      </c>
      <c r="L987" s="4">
        <v>150.5</v>
      </c>
      <c r="M987" s="4">
        <v>125.7</v>
      </c>
      <c r="N987" s="4">
        <v>32.25</v>
      </c>
      <c r="O987" s="4">
        <v>18.899999999999999</v>
      </c>
      <c r="P987" s="4">
        <v>16.75</v>
      </c>
      <c r="Q987" s="4">
        <v>84.499999999999986</v>
      </c>
      <c r="R987" s="4">
        <v>150</v>
      </c>
      <c r="S987" s="4" t="str" cm="1">
        <f t="array" ref="S987">_xlfn.IFS($R987&lt;=50,"Good",$R987&lt;=100,"Moderate",$R987&lt;=200,"Poor",$R987&lt;=300,"Very Poor",$R987&lt;=500,"Hazardous")</f>
        <v>Poor</v>
      </c>
      <c r="T987" t="s">
        <v>25</v>
      </c>
      <c r="X987" s="2"/>
      <c r="Y987" s="2"/>
    </row>
    <row r="988" spans="1:25" x14ac:dyDescent="0.3">
      <c r="A988" s="2">
        <v>45489</v>
      </c>
      <c r="B988" t="s">
        <v>21</v>
      </c>
      <c r="C988" s="4">
        <v>73.900000000000006</v>
      </c>
      <c r="D988" s="4">
        <v>100</v>
      </c>
      <c r="E988" s="4">
        <v>39.5</v>
      </c>
      <c r="F988" s="4">
        <v>1.88</v>
      </c>
      <c r="G988" s="4">
        <v>67.7</v>
      </c>
      <c r="H988" s="4">
        <v>0.81</v>
      </c>
      <c r="I988" s="4">
        <v>9.9</v>
      </c>
      <c r="J988" s="4">
        <v>53.3</v>
      </c>
      <c r="K988" s="4">
        <v>3.68</v>
      </c>
      <c r="L988" s="4">
        <v>123.1666666666667</v>
      </c>
      <c r="M988" s="4">
        <v>100</v>
      </c>
      <c r="N988" s="4">
        <v>49.375</v>
      </c>
      <c r="O988" s="4">
        <v>4.6999999999999993</v>
      </c>
      <c r="P988" s="4">
        <v>169.25</v>
      </c>
      <c r="Q988" s="4">
        <v>40.5</v>
      </c>
      <c r="R988" s="4">
        <v>169</v>
      </c>
      <c r="S988" s="4" t="str" cm="1">
        <f t="array" ref="S988">_xlfn.IFS($R988&lt;=50,"Good",$R988&lt;=100,"Moderate",$R988&lt;=200,"Poor",$R988&lt;=300,"Very Poor",$R988&lt;=500,"Hazardous")</f>
        <v>Poor</v>
      </c>
      <c r="T988" t="s">
        <v>27</v>
      </c>
      <c r="X988" s="2"/>
      <c r="Y988" s="2"/>
    </row>
    <row r="989" spans="1:25" x14ac:dyDescent="0.3">
      <c r="A989" s="2">
        <v>45489</v>
      </c>
      <c r="B989" t="s">
        <v>22</v>
      </c>
      <c r="C989" s="4">
        <v>36.799999999999997</v>
      </c>
      <c r="D989" s="4">
        <v>170.5</v>
      </c>
      <c r="E989" s="4">
        <v>40.700000000000003</v>
      </c>
      <c r="F989" s="4">
        <v>7.37</v>
      </c>
      <c r="G989" s="4">
        <v>35</v>
      </c>
      <c r="H989" s="4">
        <v>0.88</v>
      </c>
      <c r="I989" s="4">
        <v>23.2</v>
      </c>
      <c r="J989" s="4">
        <v>54.6</v>
      </c>
      <c r="K989" s="4">
        <v>3.14</v>
      </c>
      <c r="L989" s="4">
        <v>61.333333333333329</v>
      </c>
      <c r="M989" s="4">
        <v>170.5</v>
      </c>
      <c r="N989" s="4">
        <v>50.875</v>
      </c>
      <c r="O989" s="4">
        <v>18.425000000000001</v>
      </c>
      <c r="P989" s="4">
        <v>87.5</v>
      </c>
      <c r="Q989" s="4">
        <v>44</v>
      </c>
      <c r="R989" s="4">
        <v>170</v>
      </c>
      <c r="S989" s="4" t="str" cm="1">
        <f t="array" ref="S989">_xlfn.IFS($R989&lt;=50,"Good",$R989&lt;=100,"Moderate",$R989&lt;=200,"Poor",$R989&lt;=300,"Very Poor",$R989&lt;=500,"Hazardous")</f>
        <v>Poor</v>
      </c>
      <c r="T989" t="s">
        <v>28</v>
      </c>
      <c r="X989" s="2"/>
      <c r="Y989" s="2"/>
    </row>
    <row r="990" spans="1:25" x14ac:dyDescent="0.3">
      <c r="A990" s="2">
        <v>45489</v>
      </c>
      <c r="B990" t="s">
        <v>23</v>
      </c>
      <c r="C990" s="4">
        <v>25.5</v>
      </c>
      <c r="D990" s="4">
        <v>44.4</v>
      </c>
      <c r="E990" s="4">
        <v>18</v>
      </c>
      <c r="F990" s="4">
        <v>14.58</v>
      </c>
      <c r="G990" s="4">
        <v>53.3</v>
      </c>
      <c r="H990" s="4">
        <v>1.1100000000000001</v>
      </c>
      <c r="I990" s="4">
        <v>17.600000000000001</v>
      </c>
      <c r="J990" s="4">
        <v>71.2</v>
      </c>
      <c r="K990" s="4">
        <v>2.36</v>
      </c>
      <c r="L990" s="4">
        <v>42.5</v>
      </c>
      <c r="M990" s="4">
        <v>44.4</v>
      </c>
      <c r="N990" s="4">
        <v>22.5</v>
      </c>
      <c r="O990" s="4">
        <v>36.450000000000003</v>
      </c>
      <c r="P990" s="4">
        <v>133.25</v>
      </c>
      <c r="Q990" s="4">
        <v>55.500000000000007</v>
      </c>
      <c r="R990" s="4">
        <v>133</v>
      </c>
      <c r="S990" s="4" t="str" cm="1">
        <f t="array" ref="S990">_xlfn.IFS($R990&lt;=50,"Good",$R990&lt;=100,"Moderate",$R990&lt;=200,"Poor",$R990&lt;=300,"Very Poor",$R990&lt;=500,"Hazardous")</f>
        <v>Poor</v>
      </c>
      <c r="T990" t="s">
        <v>27</v>
      </c>
      <c r="X990" s="2"/>
      <c r="Y990" s="2"/>
    </row>
    <row r="991" spans="1:25" x14ac:dyDescent="0.3">
      <c r="A991" s="2">
        <v>45489</v>
      </c>
      <c r="B991" t="s">
        <v>24</v>
      </c>
      <c r="C991" s="4">
        <v>58.5</v>
      </c>
      <c r="D991" s="4">
        <v>54</v>
      </c>
      <c r="E991" s="4">
        <v>42.4</v>
      </c>
      <c r="F991" s="4">
        <v>5.18</v>
      </c>
      <c r="G991" s="4">
        <v>22.9</v>
      </c>
      <c r="H991" s="4">
        <v>1.44</v>
      </c>
      <c r="I991" s="4">
        <v>14.2</v>
      </c>
      <c r="J991" s="4">
        <v>70.2</v>
      </c>
      <c r="K991" s="4">
        <v>3.82</v>
      </c>
      <c r="L991" s="4">
        <v>97.5</v>
      </c>
      <c r="M991" s="4">
        <v>54</v>
      </c>
      <c r="N991" s="4">
        <v>53</v>
      </c>
      <c r="O991" s="4">
        <v>12.95</v>
      </c>
      <c r="P991" s="4">
        <v>57.249999999999993</v>
      </c>
      <c r="Q991" s="4">
        <v>72</v>
      </c>
      <c r="R991" s="4">
        <v>98</v>
      </c>
      <c r="S991" s="4" t="str" cm="1">
        <f t="array" ref="S991">_xlfn.IFS($R991&lt;=50,"Good",$R991&lt;=100,"Moderate",$R991&lt;=200,"Poor",$R991&lt;=300,"Very Poor",$R991&lt;=500,"Hazardous")</f>
        <v>Moderate</v>
      </c>
      <c r="T991" t="s">
        <v>25</v>
      </c>
      <c r="X991" s="2"/>
      <c r="Y991" s="2"/>
    </row>
    <row r="992" spans="1:25" x14ac:dyDescent="0.3">
      <c r="A992" s="2">
        <v>45490</v>
      </c>
      <c r="B992" t="s">
        <v>20</v>
      </c>
      <c r="C992" s="4">
        <v>30.9</v>
      </c>
      <c r="D992" s="4">
        <v>65.099999999999994</v>
      </c>
      <c r="E992" s="4">
        <v>37.299999999999997</v>
      </c>
      <c r="F992" s="4">
        <v>8.66</v>
      </c>
      <c r="G992" s="4">
        <v>41.6</v>
      </c>
      <c r="H992" s="4">
        <v>1.34</v>
      </c>
      <c r="I992" s="4">
        <v>37.299999999999997</v>
      </c>
      <c r="J992" s="4">
        <v>50.9</v>
      </c>
      <c r="K992" s="4">
        <v>0.44</v>
      </c>
      <c r="L992" s="4">
        <v>51.5</v>
      </c>
      <c r="M992" s="4">
        <v>65.099999999999994</v>
      </c>
      <c r="N992" s="4">
        <v>46.625</v>
      </c>
      <c r="O992" s="4">
        <v>21.65</v>
      </c>
      <c r="P992" s="4">
        <v>104</v>
      </c>
      <c r="Q992" s="4">
        <v>67</v>
      </c>
      <c r="R992" s="4">
        <v>104</v>
      </c>
      <c r="S992" s="4" t="str" cm="1">
        <f t="array" ref="S992">_xlfn.IFS($R992&lt;=50,"Good",$R992&lt;=100,"Moderate",$R992&lt;=200,"Poor",$R992&lt;=300,"Very Poor",$R992&lt;=500,"Hazardous")</f>
        <v>Poor</v>
      </c>
      <c r="T992" t="s">
        <v>27</v>
      </c>
      <c r="X992" s="2"/>
      <c r="Y992" s="2"/>
    </row>
    <row r="993" spans="1:25" x14ac:dyDescent="0.3">
      <c r="A993" s="2">
        <v>45490</v>
      </c>
      <c r="B993" t="s">
        <v>21</v>
      </c>
      <c r="C993" s="4">
        <v>84.8</v>
      </c>
      <c r="D993" s="4">
        <v>221</v>
      </c>
      <c r="E993" s="4">
        <v>52.9</v>
      </c>
      <c r="F993" s="4">
        <v>2.56</v>
      </c>
      <c r="G993" s="4">
        <v>46.1</v>
      </c>
      <c r="H993" s="4">
        <v>0.53</v>
      </c>
      <c r="I993" s="4">
        <v>29.5</v>
      </c>
      <c r="J993" s="4">
        <v>35.700000000000003</v>
      </c>
      <c r="K993" s="4">
        <v>2.14</v>
      </c>
      <c r="L993" s="4">
        <v>141.33333333333329</v>
      </c>
      <c r="M993" s="4">
        <v>221</v>
      </c>
      <c r="N993" s="4">
        <v>66.125</v>
      </c>
      <c r="O993" s="4">
        <v>6.4</v>
      </c>
      <c r="P993" s="4">
        <v>115.25</v>
      </c>
      <c r="Q993" s="4">
        <v>26.5</v>
      </c>
      <c r="R993" s="4">
        <v>221</v>
      </c>
      <c r="S993" s="4" t="str" cm="1">
        <f t="array" ref="S993">_xlfn.IFS($R993&lt;=50,"Good",$R993&lt;=100,"Moderate",$R993&lt;=200,"Poor",$R993&lt;=300,"Very Poor",$R993&lt;=500,"Hazardous")</f>
        <v>Very Poor</v>
      </c>
      <c r="T993" t="s">
        <v>28</v>
      </c>
      <c r="X993" s="2"/>
      <c r="Y993" s="2"/>
    </row>
    <row r="994" spans="1:25" x14ac:dyDescent="0.3">
      <c r="A994" s="2">
        <v>45490</v>
      </c>
      <c r="B994" t="s">
        <v>22</v>
      </c>
      <c r="C994" s="4">
        <v>22.7</v>
      </c>
      <c r="D994" s="4">
        <v>97</v>
      </c>
      <c r="E994" s="4">
        <v>28.6</v>
      </c>
      <c r="F994" s="4">
        <v>6.75</v>
      </c>
      <c r="G994" s="4">
        <v>38.5</v>
      </c>
      <c r="H994" s="4">
        <v>0.46</v>
      </c>
      <c r="I994" s="4">
        <v>29.4</v>
      </c>
      <c r="J994" s="4">
        <v>59.1</v>
      </c>
      <c r="K994" s="4">
        <v>1.31</v>
      </c>
      <c r="L994" s="4">
        <v>37.833333333333329</v>
      </c>
      <c r="M994" s="4">
        <v>97</v>
      </c>
      <c r="N994" s="4">
        <v>35.750000000000007</v>
      </c>
      <c r="O994" s="4">
        <v>16.875</v>
      </c>
      <c r="P994" s="4">
        <v>96.25</v>
      </c>
      <c r="Q994" s="4">
        <v>23</v>
      </c>
      <c r="R994" s="4">
        <v>97</v>
      </c>
      <c r="S994" s="4" t="str" cm="1">
        <f t="array" ref="S994">_xlfn.IFS($R994&lt;=50,"Good",$R994&lt;=100,"Moderate",$R994&lt;=200,"Poor",$R994&lt;=300,"Very Poor",$R994&lt;=500,"Hazardous")</f>
        <v>Moderate</v>
      </c>
      <c r="T994" t="s">
        <v>28</v>
      </c>
      <c r="X994" s="2"/>
      <c r="Y994" s="2"/>
    </row>
    <row r="995" spans="1:25" x14ac:dyDescent="0.3">
      <c r="A995" s="2">
        <v>45490</v>
      </c>
      <c r="B995" t="s">
        <v>23</v>
      </c>
      <c r="C995" s="4">
        <v>101.8</v>
      </c>
      <c r="D995" s="4">
        <v>118.9</v>
      </c>
      <c r="E995" s="4">
        <v>33.5</v>
      </c>
      <c r="F995" s="4">
        <v>12.06</v>
      </c>
      <c r="G995" s="4">
        <v>86</v>
      </c>
      <c r="H995" s="4">
        <v>0.89</v>
      </c>
      <c r="I995" s="4">
        <v>27.4</v>
      </c>
      <c r="J995" s="4">
        <v>42.2</v>
      </c>
      <c r="K995" s="4">
        <v>2.3199999999999998</v>
      </c>
      <c r="L995" s="4">
        <v>169.66666666666671</v>
      </c>
      <c r="M995" s="4">
        <v>118.9</v>
      </c>
      <c r="N995" s="4">
        <v>41.875</v>
      </c>
      <c r="O995" s="4">
        <v>30.15</v>
      </c>
      <c r="P995" s="4">
        <v>215</v>
      </c>
      <c r="Q995" s="4">
        <v>44.5</v>
      </c>
      <c r="R995" s="4">
        <v>215</v>
      </c>
      <c r="S995" s="4" t="str" cm="1">
        <f t="array" ref="S995">_xlfn.IFS($R995&lt;=50,"Good",$R995&lt;=100,"Moderate",$R995&lt;=200,"Poor",$R995&lt;=300,"Very Poor",$R995&lt;=500,"Hazardous")</f>
        <v>Very Poor</v>
      </c>
      <c r="T995" t="s">
        <v>27</v>
      </c>
      <c r="X995" s="2"/>
      <c r="Y995" s="2"/>
    </row>
    <row r="996" spans="1:25" x14ac:dyDescent="0.3">
      <c r="A996" s="2">
        <v>45490</v>
      </c>
      <c r="B996" t="s">
        <v>24</v>
      </c>
      <c r="C996" s="4">
        <v>47.5</v>
      </c>
      <c r="D996" s="4">
        <v>115.4</v>
      </c>
      <c r="E996" s="4">
        <v>45.5</v>
      </c>
      <c r="F996" s="4">
        <v>9.5</v>
      </c>
      <c r="G996" s="4">
        <v>50.5</v>
      </c>
      <c r="H996" s="4">
        <v>0.42</v>
      </c>
      <c r="I996" s="4">
        <v>18.399999999999999</v>
      </c>
      <c r="J996" s="4">
        <v>50.2</v>
      </c>
      <c r="K996" s="4">
        <v>2.66</v>
      </c>
      <c r="L996" s="4">
        <v>79.166666666666657</v>
      </c>
      <c r="M996" s="4">
        <v>115.4</v>
      </c>
      <c r="N996" s="4">
        <v>56.875</v>
      </c>
      <c r="O996" s="4">
        <v>23.75</v>
      </c>
      <c r="P996" s="4">
        <v>126.25</v>
      </c>
      <c r="Q996" s="4">
        <v>21</v>
      </c>
      <c r="R996" s="4">
        <v>126</v>
      </c>
      <c r="S996" s="4" t="str" cm="1">
        <f t="array" ref="S996">_xlfn.IFS($R996&lt;=50,"Good",$R996&lt;=100,"Moderate",$R996&lt;=200,"Poor",$R996&lt;=300,"Very Poor",$R996&lt;=500,"Hazardous")</f>
        <v>Poor</v>
      </c>
      <c r="T996" t="s">
        <v>27</v>
      </c>
      <c r="X996" s="2"/>
      <c r="Y996" s="2"/>
    </row>
    <row r="997" spans="1:25" x14ac:dyDescent="0.3">
      <c r="A997" s="2">
        <v>45491</v>
      </c>
      <c r="B997" t="s">
        <v>20</v>
      </c>
      <c r="C997" s="4">
        <v>84.2</v>
      </c>
      <c r="D997" s="4">
        <v>46.2</v>
      </c>
      <c r="E997" s="4">
        <v>34.799999999999997</v>
      </c>
      <c r="F997" s="4">
        <v>11.74</v>
      </c>
      <c r="G997" s="4">
        <v>37.4</v>
      </c>
      <c r="H997" s="4">
        <v>1.36</v>
      </c>
      <c r="I997" s="4">
        <v>24</v>
      </c>
      <c r="J997" s="4">
        <v>64.599999999999994</v>
      </c>
      <c r="K997" s="4">
        <v>2.23</v>
      </c>
      <c r="L997" s="4">
        <v>140.33333333333329</v>
      </c>
      <c r="M997" s="4">
        <v>46.2</v>
      </c>
      <c r="N997" s="4">
        <v>43.5</v>
      </c>
      <c r="O997" s="4">
        <v>29.35</v>
      </c>
      <c r="P997" s="4">
        <v>93.5</v>
      </c>
      <c r="Q997" s="4">
        <v>68</v>
      </c>
      <c r="R997" s="4">
        <v>140</v>
      </c>
      <c r="S997" s="4" t="str" cm="1">
        <f t="array" ref="S997">_xlfn.IFS($R997&lt;=50,"Good",$R997&lt;=100,"Moderate",$R997&lt;=200,"Poor",$R997&lt;=300,"Very Poor",$R997&lt;=500,"Hazardous")</f>
        <v>Poor</v>
      </c>
      <c r="T997" t="s">
        <v>25</v>
      </c>
      <c r="X997" s="2"/>
      <c r="Y997" s="2"/>
    </row>
    <row r="998" spans="1:25" x14ac:dyDescent="0.3">
      <c r="A998" s="2">
        <v>45491</v>
      </c>
      <c r="B998" t="s">
        <v>21</v>
      </c>
      <c r="C998" s="4">
        <v>80</v>
      </c>
      <c r="D998" s="4">
        <v>27.3</v>
      </c>
      <c r="E998" s="4">
        <v>37.700000000000003</v>
      </c>
      <c r="F998" s="4">
        <v>9.48</v>
      </c>
      <c r="G998" s="4">
        <v>66.7</v>
      </c>
      <c r="H998" s="4">
        <v>2.1</v>
      </c>
      <c r="I998" s="4">
        <v>22.3</v>
      </c>
      <c r="J998" s="4">
        <v>86.6</v>
      </c>
      <c r="K998" s="4">
        <v>1.71</v>
      </c>
      <c r="L998" s="4">
        <v>133.33333333333329</v>
      </c>
      <c r="M998" s="4">
        <v>27.3</v>
      </c>
      <c r="N998" s="4">
        <v>47.125</v>
      </c>
      <c r="O998" s="4">
        <v>23.7</v>
      </c>
      <c r="P998" s="4">
        <v>166.75</v>
      </c>
      <c r="Q998" s="4">
        <v>105</v>
      </c>
      <c r="R998" s="4">
        <v>167</v>
      </c>
      <c r="S998" s="4" t="str" cm="1">
        <f t="array" ref="S998">_xlfn.IFS($R998&lt;=50,"Good",$R998&lt;=100,"Moderate",$R998&lt;=200,"Poor",$R998&lt;=300,"Very Poor",$R998&lt;=500,"Hazardous")</f>
        <v>Poor</v>
      </c>
      <c r="T998" t="s">
        <v>27</v>
      </c>
      <c r="X998" s="2"/>
      <c r="Y998" s="2"/>
    </row>
    <row r="999" spans="1:25" x14ac:dyDescent="0.3">
      <c r="A999" s="2">
        <v>45491</v>
      </c>
      <c r="B999" t="s">
        <v>22</v>
      </c>
      <c r="C999" s="4">
        <v>75.900000000000006</v>
      </c>
      <c r="D999" s="4">
        <v>128.5</v>
      </c>
      <c r="E999" s="4">
        <v>20.3</v>
      </c>
      <c r="F999" s="4">
        <v>7.25</v>
      </c>
      <c r="G999" s="4">
        <v>36.799999999999997</v>
      </c>
      <c r="H999" s="4">
        <v>1.2</v>
      </c>
      <c r="I999" s="4">
        <v>23.4</v>
      </c>
      <c r="J999" s="4">
        <v>54.5</v>
      </c>
      <c r="K999" s="4">
        <v>4.1399999999999997</v>
      </c>
      <c r="L999" s="4">
        <v>126.5</v>
      </c>
      <c r="M999" s="4">
        <v>128.5</v>
      </c>
      <c r="N999" s="4">
        <v>25.375</v>
      </c>
      <c r="O999" s="4">
        <v>18.125</v>
      </c>
      <c r="P999" s="4">
        <v>92</v>
      </c>
      <c r="Q999" s="4">
        <v>60</v>
      </c>
      <c r="R999" s="4">
        <v>128</v>
      </c>
      <c r="S999" s="4" t="str" cm="1">
        <f t="array" ref="S999">_xlfn.IFS($R999&lt;=50,"Good",$R999&lt;=100,"Moderate",$R999&lt;=200,"Poor",$R999&lt;=300,"Very Poor",$R999&lt;=500,"Hazardous")</f>
        <v>Poor</v>
      </c>
      <c r="T999" t="s">
        <v>28</v>
      </c>
      <c r="X999" s="2"/>
      <c r="Y999" s="2"/>
    </row>
    <row r="1000" spans="1:25" x14ac:dyDescent="0.3">
      <c r="A1000" s="2">
        <v>45491</v>
      </c>
      <c r="B1000" t="s">
        <v>23</v>
      </c>
      <c r="C1000" s="4">
        <v>45.6</v>
      </c>
      <c r="D1000" s="4">
        <v>135.69999999999999</v>
      </c>
      <c r="E1000" s="4">
        <v>32.4</v>
      </c>
      <c r="F1000" s="4">
        <v>13.07</v>
      </c>
      <c r="G1000" s="4">
        <v>23</v>
      </c>
      <c r="H1000" s="4">
        <v>0.67</v>
      </c>
      <c r="I1000" s="4">
        <v>35.700000000000003</v>
      </c>
      <c r="J1000" s="4">
        <v>52</v>
      </c>
      <c r="K1000" s="4">
        <v>4.42</v>
      </c>
      <c r="L1000" s="4">
        <v>76</v>
      </c>
      <c r="M1000" s="4">
        <v>135.69999999999999</v>
      </c>
      <c r="N1000" s="4">
        <v>40.5</v>
      </c>
      <c r="O1000" s="4">
        <v>32.674999999999997</v>
      </c>
      <c r="P1000" s="4">
        <v>57.5</v>
      </c>
      <c r="Q1000" s="4">
        <v>33.5</v>
      </c>
      <c r="R1000" s="4">
        <v>136</v>
      </c>
      <c r="S1000" s="4" t="str" cm="1">
        <f t="array" ref="S1000">_xlfn.IFS($R1000&lt;=50,"Good",$R1000&lt;=100,"Moderate",$R1000&lt;=200,"Poor",$R1000&lt;=300,"Very Poor",$R1000&lt;=500,"Hazardous")</f>
        <v>Poor</v>
      </c>
      <c r="T1000" t="s">
        <v>28</v>
      </c>
      <c r="X1000" s="2"/>
      <c r="Y1000" s="2"/>
    </row>
    <row r="1001" spans="1:25" x14ac:dyDescent="0.3">
      <c r="A1001" s="2">
        <v>45491</v>
      </c>
      <c r="B1001" t="s">
        <v>24</v>
      </c>
      <c r="C1001" s="4">
        <v>76.3</v>
      </c>
      <c r="D1001" s="4">
        <v>97.4</v>
      </c>
      <c r="E1001" s="4">
        <v>7.7</v>
      </c>
      <c r="F1001" s="4">
        <v>6.95</v>
      </c>
      <c r="G1001" s="4">
        <v>46.8</v>
      </c>
      <c r="H1001" s="4">
        <v>1.67</v>
      </c>
      <c r="I1001" s="4">
        <v>36.1</v>
      </c>
      <c r="J1001" s="4">
        <v>47.7</v>
      </c>
      <c r="K1001" s="4">
        <v>3.96</v>
      </c>
      <c r="L1001" s="4">
        <v>127.1666666666667</v>
      </c>
      <c r="M1001" s="4">
        <v>97.4</v>
      </c>
      <c r="N1001" s="4">
        <v>9.625</v>
      </c>
      <c r="O1001" s="4">
        <v>17.375</v>
      </c>
      <c r="P1001" s="4">
        <v>117</v>
      </c>
      <c r="Q1001" s="4">
        <v>83.499999999999986</v>
      </c>
      <c r="R1001" s="4">
        <v>127</v>
      </c>
      <c r="S1001" s="4" t="str" cm="1">
        <f t="array" ref="S1001">_xlfn.IFS($R1001&lt;=50,"Good",$R1001&lt;=100,"Moderate",$R1001&lt;=200,"Poor",$R1001&lt;=300,"Very Poor",$R1001&lt;=500,"Hazardous")</f>
        <v>Poor</v>
      </c>
      <c r="T1001" t="s">
        <v>25</v>
      </c>
      <c r="X1001" s="2"/>
      <c r="Y1001" s="2"/>
    </row>
    <row r="1002" spans="1:25" x14ac:dyDescent="0.3">
      <c r="A1002" s="2">
        <v>45492</v>
      </c>
      <c r="B1002" t="s">
        <v>20</v>
      </c>
      <c r="C1002" s="4">
        <v>76.3</v>
      </c>
      <c r="D1002" s="4">
        <v>169.7</v>
      </c>
      <c r="E1002" s="4">
        <v>50.6</v>
      </c>
      <c r="F1002" s="4">
        <v>0.5</v>
      </c>
      <c r="G1002" s="4">
        <v>41.5</v>
      </c>
      <c r="H1002" s="4">
        <v>0.47</v>
      </c>
      <c r="I1002" s="4">
        <v>23.6</v>
      </c>
      <c r="J1002" s="4">
        <v>77.599999999999994</v>
      </c>
      <c r="K1002" s="4">
        <v>2.87</v>
      </c>
      <c r="L1002" s="4">
        <v>127.1666666666667</v>
      </c>
      <c r="M1002" s="4">
        <v>169.7</v>
      </c>
      <c r="N1002" s="4">
        <v>63.25</v>
      </c>
      <c r="O1002" s="4">
        <v>1.25</v>
      </c>
      <c r="P1002" s="4">
        <v>103.75</v>
      </c>
      <c r="Q1002" s="4">
        <v>23.5</v>
      </c>
      <c r="R1002" s="4">
        <v>170</v>
      </c>
      <c r="S1002" s="4" t="str" cm="1">
        <f t="array" ref="S1002">_xlfn.IFS($R1002&lt;=50,"Good",$R1002&lt;=100,"Moderate",$R1002&lt;=200,"Poor",$R1002&lt;=300,"Very Poor",$R1002&lt;=500,"Hazardous")</f>
        <v>Poor</v>
      </c>
      <c r="T1002" t="s">
        <v>28</v>
      </c>
      <c r="X1002" s="2"/>
      <c r="Y1002" s="2"/>
    </row>
    <row r="1003" spans="1:25" x14ac:dyDescent="0.3">
      <c r="A1003" s="2">
        <v>45492</v>
      </c>
      <c r="B1003" t="s">
        <v>21</v>
      </c>
      <c r="C1003" s="4">
        <v>94.4</v>
      </c>
      <c r="D1003" s="4">
        <v>140.5</v>
      </c>
      <c r="E1003" s="4">
        <v>19</v>
      </c>
      <c r="F1003" s="4">
        <v>0.5</v>
      </c>
      <c r="G1003" s="4">
        <v>54.7</v>
      </c>
      <c r="H1003" s="4">
        <v>1.07</v>
      </c>
      <c r="I1003" s="4">
        <v>18.2</v>
      </c>
      <c r="J1003" s="4">
        <v>29.4</v>
      </c>
      <c r="K1003" s="4">
        <v>1.62</v>
      </c>
      <c r="L1003" s="4">
        <v>157.33333333333329</v>
      </c>
      <c r="M1003" s="4">
        <v>140.5</v>
      </c>
      <c r="N1003" s="4">
        <v>23.75</v>
      </c>
      <c r="O1003" s="4">
        <v>1.25</v>
      </c>
      <c r="P1003" s="4">
        <v>136.75</v>
      </c>
      <c r="Q1003" s="4">
        <v>53.500000000000007</v>
      </c>
      <c r="R1003" s="4">
        <v>157</v>
      </c>
      <c r="S1003" s="4" t="str" cm="1">
        <f t="array" ref="S1003">_xlfn.IFS($R1003&lt;=50,"Good",$R1003&lt;=100,"Moderate",$R1003&lt;=200,"Poor",$R1003&lt;=300,"Very Poor",$R1003&lt;=500,"Hazardous")</f>
        <v>Poor</v>
      </c>
      <c r="T1003" t="s">
        <v>25</v>
      </c>
      <c r="X1003" s="2"/>
      <c r="Y1003" s="2"/>
    </row>
    <row r="1004" spans="1:25" x14ac:dyDescent="0.3">
      <c r="A1004" s="2">
        <v>45492</v>
      </c>
      <c r="B1004" t="s">
        <v>22</v>
      </c>
      <c r="C1004" s="4">
        <v>41.2</v>
      </c>
      <c r="D1004" s="4">
        <v>121.6</v>
      </c>
      <c r="E1004" s="4">
        <v>37.1</v>
      </c>
      <c r="F1004" s="4">
        <v>12.19</v>
      </c>
      <c r="G1004" s="4">
        <v>13.4</v>
      </c>
      <c r="H1004" s="4">
        <v>1.31</v>
      </c>
      <c r="I1004" s="4">
        <v>25.3</v>
      </c>
      <c r="J1004" s="4">
        <v>72.5</v>
      </c>
      <c r="K1004" s="4">
        <v>1.98</v>
      </c>
      <c r="L1004" s="4">
        <v>68.666666666666671</v>
      </c>
      <c r="M1004" s="4">
        <v>121.6</v>
      </c>
      <c r="N1004" s="4">
        <v>46.375</v>
      </c>
      <c r="O1004" s="4">
        <v>30.475000000000001</v>
      </c>
      <c r="P1004" s="4">
        <v>33.5</v>
      </c>
      <c r="Q1004" s="4">
        <v>65.5</v>
      </c>
      <c r="R1004" s="4">
        <v>122</v>
      </c>
      <c r="S1004" s="4" t="str" cm="1">
        <f t="array" ref="S1004">_xlfn.IFS($R1004&lt;=50,"Good",$R1004&lt;=100,"Moderate",$R1004&lt;=200,"Poor",$R1004&lt;=300,"Very Poor",$R1004&lt;=500,"Hazardous")</f>
        <v>Poor</v>
      </c>
      <c r="T1004" t="s">
        <v>28</v>
      </c>
      <c r="X1004" s="2"/>
      <c r="Y1004" s="2"/>
    </row>
    <row r="1005" spans="1:25" x14ac:dyDescent="0.3">
      <c r="A1005" s="2">
        <v>45492</v>
      </c>
      <c r="B1005" t="s">
        <v>23</v>
      </c>
      <c r="C1005" s="4">
        <v>73.7</v>
      </c>
      <c r="D1005" s="4">
        <v>110.2</v>
      </c>
      <c r="E1005" s="4">
        <v>25.1</v>
      </c>
      <c r="F1005" s="4">
        <v>6.35</v>
      </c>
      <c r="G1005" s="4">
        <v>34</v>
      </c>
      <c r="H1005" s="4">
        <v>1.19</v>
      </c>
      <c r="I1005" s="4">
        <v>16.7</v>
      </c>
      <c r="J1005" s="4">
        <v>59.5</v>
      </c>
      <c r="K1005" s="4">
        <v>2.97</v>
      </c>
      <c r="L1005" s="4">
        <v>122.8333333333333</v>
      </c>
      <c r="M1005" s="4">
        <v>110.2</v>
      </c>
      <c r="N1005" s="4">
        <v>31.375</v>
      </c>
      <c r="O1005" s="4">
        <v>15.875</v>
      </c>
      <c r="P1005" s="4">
        <v>85</v>
      </c>
      <c r="Q1005" s="4">
        <v>59.5</v>
      </c>
      <c r="R1005" s="4">
        <v>123</v>
      </c>
      <c r="S1005" s="4" t="str" cm="1">
        <f t="array" ref="S1005">_xlfn.IFS($R1005&lt;=50,"Good",$R1005&lt;=100,"Moderate",$R1005&lt;=200,"Poor",$R1005&lt;=300,"Very Poor",$R1005&lt;=500,"Hazardous")</f>
        <v>Poor</v>
      </c>
      <c r="T1005" t="s">
        <v>25</v>
      </c>
      <c r="X1005" s="2"/>
      <c r="Y1005" s="2"/>
    </row>
    <row r="1006" spans="1:25" x14ac:dyDescent="0.3">
      <c r="A1006" s="2">
        <v>45492</v>
      </c>
      <c r="B1006" t="s">
        <v>24</v>
      </c>
      <c r="C1006" s="4">
        <v>53.7</v>
      </c>
      <c r="D1006" s="4">
        <v>176.7</v>
      </c>
      <c r="E1006" s="4">
        <v>53.2</v>
      </c>
      <c r="F1006" s="4">
        <v>7.01</v>
      </c>
      <c r="G1006" s="4">
        <v>50</v>
      </c>
      <c r="H1006" s="4">
        <v>1.21</v>
      </c>
      <c r="I1006" s="4">
        <v>27.8</v>
      </c>
      <c r="J1006" s="4">
        <v>27.1</v>
      </c>
      <c r="K1006" s="4">
        <v>2.64</v>
      </c>
      <c r="L1006" s="4">
        <v>89.500000000000014</v>
      </c>
      <c r="M1006" s="4">
        <v>176.7</v>
      </c>
      <c r="N1006" s="4">
        <v>66.5</v>
      </c>
      <c r="O1006" s="4">
        <v>17.524999999999999</v>
      </c>
      <c r="P1006" s="4">
        <v>125</v>
      </c>
      <c r="Q1006" s="4">
        <v>60.5</v>
      </c>
      <c r="R1006" s="4">
        <v>177</v>
      </c>
      <c r="S1006" s="4" t="str" cm="1">
        <f t="array" ref="S1006">_xlfn.IFS($R1006&lt;=50,"Good",$R1006&lt;=100,"Moderate",$R1006&lt;=200,"Poor",$R1006&lt;=300,"Very Poor",$R1006&lt;=500,"Hazardous")</f>
        <v>Poor</v>
      </c>
      <c r="T1006" t="s">
        <v>28</v>
      </c>
      <c r="X1006" s="2"/>
      <c r="Y1006" s="2"/>
    </row>
    <row r="1007" spans="1:25" x14ac:dyDescent="0.3">
      <c r="A1007" s="2">
        <v>45493</v>
      </c>
      <c r="B1007" t="s">
        <v>20</v>
      </c>
      <c r="C1007" s="4">
        <v>14.2</v>
      </c>
      <c r="D1007" s="4">
        <v>181</v>
      </c>
      <c r="E1007" s="4">
        <v>40.299999999999997</v>
      </c>
      <c r="F1007" s="4">
        <v>6.47</v>
      </c>
      <c r="G1007" s="4">
        <v>71.8</v>
      </c>
      <c r="H1007" s="4">
        <v>1.34</v>
      </c>
      <c r="I1007" s="4">
        <v>17.100000000000001</v>
      </c>
      <c r="J1007" s="4">
        <v>58.7</v>
      </c>
      <c r="K1007" s="4">
        <v>2.1</v>
      </c>
      <c r="L1007" s="4">
        <v>23.666666666666661</v>
      </c>
      <c r="M1007" s="4">
        <v>181</v>
      </c>
      <c r="N1007" s="4">
        <v>50.374999999999993</v>
      </c>
      <c r="O1007" s="4">
        <v>16.175000000000001</v>
      </c>
      <c r="P1007" s="4">
        <v>179.5</v>
      </c>
      <c r="Q1007" s="4">
        <v>67</v>
      </c>
      <c r="R1007" s="4">
        <v>181</v>
      </c>
      <c r="S1007" s="4" t="str" cm="1">
        <f t="array" ref="S1007">_xlfn.IFS($R1007&lt;=50,"Good",$R1007&lt;=100,"Moderate",$R1007&lt;=200,"Poor",$R1007&lt;=300,"Very Poor",$R1007&lt;=500,"Hazardous")</f>
        <v>Poor</v>
      </c>
      <c r="T1007" t="s">
        <v>28</v>
      </c>
      <c r="X1007" s="2"/>
      <c r="Y1007" s="2"/>
    </row>
    <row r="1008" spans="1:25" x14ac:dyDescent="0.3">
      <c r="A1008" s="2">
        <v>45493</v>
      </c>
      <c r="B1008" t="s">
        <v>21</v>
      </c>
      <c r="C1008" s="4">
        <v>7.7</v>
      </c>
      <c r="D1008" s="4">
        <v>78.599999999999994</v>
      </c>
      <c r="E1008" s="4">
        <v>41.3</v>
      </c>
      <c r="F1008" s="4">
        <v>7.43</v>
      </c>
      <c r="G1008" s="4">
        <v>3.7</v>
      </c>
      <c r="H1008" s="4">
        <v>1.89</v>
      </c>
      <c r="I1008" s="4">
        <v>24.3</v>
      </c>
      <c r="J1008" s="4">
        <v>60.7</v>
      </c>
      <c r="K1008" s="4">
        <v>2.98</v>
      </c>
      <c r="L1008" s="4">
        <v>12.83333333333333</v>
      </c>
      <c r="M1008" s="4">
        <v>78.599999999999994</v>
      </c>
      <c r="N1008" s="4">
        <v>51.625</v>
      </c>
      <c r="O1008" s="4">
        <v>18.574999999999999</v>
      </c>
      <c r="P1008" s="4">
        <v>9.2500000000000018</v>
      </c>
      <c r="Q1008" s="4">
        <v>94.5</v>
      </c>
      <c r="R1008" s="4">
        <v>94</v>
      </c>
      <c r="S1008" s="4" t="str" cm="1">
        <f t="array" ref="S1008">_xlfn.IFS($R1008&lt;=50,"Good",$R1008&lt;=100,"Moderate",$R1008&lt;=200,"Poor",$R1008&lt;=300,"Very Poor",$R1008&lt;=500,"Hazardous")</f>
        <v>Moderate</v>
      </c>
      <c r="T1008" t="s">
        <v>29</v>
      </c>
      <c r="X1008" s="2"/>
      <c r="Y1008" s="2"/>
    </row>
    <row r="1009" spans="1:25" x14ac:dyDescent="0.3">
      <c r="A1009" s="2">
        <v>45493</v>
      </c>
      <c r="B1009" t="s">
        <v>22</v>
      </c>
      <c r="C1009" s="4">
        <v>27.6</v>
      </c>
      <c r="D1009" s="4">
        <v>112</v>
      </c>
      <c r="E1009" s="4">
        <v>28.6</v>
      </c>
      <c r="F1009" s="4">
        <v>2.67</v>
      </c>
      <c r="G1009" s="4">
        <v>51.6</v>
      </c>
      <c r="H1009" s="4">
        <v>1.59</v>
      </c>
      <c r="I1009" s="4">
        <v>30.1</v>
      </c>
      <c r="J1009" s="4">
        <v>76.599999999999994</v>
      </c>
      <c r="K1009" s="4">
        <v>1.88</v>
      </c>
      <c r="L1009" s="4">
        <v>46</v>
      </c>
      <c r="M1009" s="4">
        <v>112</v>
      </c>
      <c r="N1009" s="4">
        <v>35.750000000000007</v>
      </c>
      <c r="O1009" s="4">
        <v>6.6749999999999998</v>
      </c>
      <c r="P1009" s="4">
        <v>129</v>
      </c>
      <c r="Q1009" s="4">
        <v>79.5</v>
      </c>
      <c r="R1009" s="4">
        <v>129</v>
      </c>
      <c r="S1009" s="4" t="str" cm="1">
        <f t="array" ref="S1009">_xlfn.IFS($R1009&lt;=50,"Good",$R1009&lt;=100,"Moderate",$R1009&lt;=200,"Poor",$R1009&lt;=300,"Very Poor",$R1009&lt;=500,"Hazardous")</f>
        <v>Poor</v>
      </c>
      <c r="T1009" t="s">
        <v>27</v>
      </c>
      <c r="X1009" s="2"/>
      <c r="Y1009" s="2"/>
    </row>
    <row r="1010" spans="1:25" x14ac:dyDescent="0.3">
      <c r="A1010" s="2">
        <v>45493</v>
      </c>
      <c r="B1010" t="s">
        <v>23</v>
      </c>
      <c r="C1010" s="4">
        <v>9.6999999999999993</v>
      </c>
      <c r="D1010" s="4">
        <v>167.5</v>
      </c>
      <c r="E1010" s="4">
        <v>68.900000000000006</v>
      </c>
      <c r="F1010" s="4">
        <v>12.57</v>
      </c>
      <c r="G1010" s="4">
        <v>31.6</v>
      </c>
      <c r="H1010" s="4">
        <v>0.41</v>
      </c>
      <c r="I1010" s="4">
        <v>17.5</v>
      </c>
      <c r="J1010" s="4">
        <v>29.7</v>
      </c>
      <c r="K1010" s="4">
        <v>2.37</v>
      </c>
      <c r="L1010" s="4">
        <v>16.166666666666661</v>
      </c>
      <c r="M1010" s="4">
        <v>167.5</v>
      </c>
      <c r="N1010" s="4">
        <v>86.125</v>
      </c>
      <c r="O1010" s="4">
        <v>31.425000000000001</v>
      </c>
      <c r="P1010" s="4">
        <v>79</v>
      </c>
      <c r="Q1010" s="4">
        <v>20.5</v>
      </c>
      <c r="R1010" s="4">
        <v>168</v>
      </c>
      <c r="S1010" s="4" t="str" cm="1">
        <f t="array" ref="S1010">_xlfn.IFS($R1010&lt;=50,"Good",$R1010&lt;=100,"Moderate",$R1010&lt;=200,"Poor",$R1010&lt;=300,"Very Poor",$R1010&lt;=500,"Hazardous")</f>
        <v>Poor</v>
      </c>
      <c r="T1010" t="s">
        <v>28</v>
      </c>
      <c r="X1010" s="2"/>
      <c r="Y1010" s="2"/>
    </row>
    <row r="1011" spans="1:25" x14ac:dyDescent="0.3">
      <c r="A1011" s="2">
        <v>45493</v>
      </c>
      <c r="B1011" t="s">
        <v>24</v>
      </c>
      <c r="C1011" s="4">
        <v>95.2</v>
      </c>
      <c r="D1011" s="4">
        <v>98.1</v>
      </c>
      <c r="E1011" s="4">
        <v>44.9</v>
      </c>
      <c r="F1011" s="4">
        <v>13.09</v>
      </c>
      <c r="G1011" s="4">
        <v>32.9</v>
      </c>
      <c r="H1011" s="4">
        <v>2.13</v>
      </c>
      <c r="I1011" s="4">
        <v>38.9</v>
      </c>
      <c r="J1011" s="4">
        <v>57.6</v>
      </c>
      <c r="K1011" s="4">
        <v>2.31</v>
      </c>
      <c r="L1011" s="4">
        <v>158.66666666666671</v>
      </c>
      <c r="M1011" s="4">
        <v>98.1</v>
      </c>
      <c r="N1011" s="4">
        <v>56.125</v>
      </c>
      <c r="O1011" s="4">
        <v>32.724999999999987</v>
      </c>
      <c r="P1011" s="4">
        <v>82.249999999999986</v>
      </c>
      <c r="Q1011" s="4">
        <v>106.5</v>
      </c>
      <c r="R1011" s="4">
        <v>159</v>
      </c>
      <c r="S1011" s="4" t="str" cm="1">
        <f t="array" ref="S1011">_xlfn.IFS($R1011&lt;=50,"Good",$R1011&lt;=100,"Moderate",$R1011&lt;=200,"Poor",$R1011&lt;=300,"Very Poor",$R1011&lt;=500,"Hazardous")</f>
        <v>Poor</v>
      </c>
      <c r="T1011" t="s">
        <v>25</v>
      </c>
      <c r="X1011" s="2"/>
      <c r="Y1011" s="2"/>
    </row>
    <row r="1012" spans="1:25" x14ac:dyDescent="0.3">
      <c r="A1012" s="2">
        <v>45494</v>
      </c>
      <c r="B1012" t="s">
        <v>20</v>
      </c>
      <c r="C1012" s="4">
        <v>74.400000000000006</v>
      </c>
      <c r="D1012" s="4">
        <v>91.2</v>
      </c>
      <c r="E1012" s="4">
        <v>20.100000000000001</v>
      </c>
      <c r="F1012" s="4">
        <v>13.25</v>
      </c>
      <c r="G1012" s="4">
        <v>81</v>
      </c>
      <c r="H1012" s="4">
        <v>1.19</v>
      </c>
      <c r="I1012" s="4">
        <v>16.2</v>
      </c>
      <c r="J1012" s="4">
        <v>37.9</v>
      </c>
      <c r="K1012" s="4">
        <v>2.63</v>
      </c>
      <c r="L1012" s="4">
        <v>124</v>
      </c>
      <c r="M1012" s="4">
        <v>91.2</v>
      </c>
      <c r="N1012" s="4">
        <v>25.125</v>
      </c>
      <c r="O1012" s="4">
        <v>33.125</v>
      </c>
      <c r="P1012" s="4">
        <v>202.5</v>
      </c>
      <c r="Q1012" s="4">
        <v>59.5</v>
      </c>
      <c r="R1012" s="4">
        <v>202</v>
      </c>
      <c r="S1012" s="4" t="str" cm="1">
        <f t="array" ref="S1012">_xlfn.IFS($R1012&lt;=50,"Good",$R1012&lt;=100,"Moderate",$R1012&lt;=200,"Poor",$R1012&lt;=300,"Very Poor",$R1012&lt;=500,"Hazardous")</f>
        <v>Very Poor</v>
      </c>
      <c r="T1012" t="s">
        <v>27</v>
      </c>
      <c r="X1012" s="2"/>
      <c r="Y1012" s="2"/>
    </row>
    <row r="1013" spans="1:25" x14ac:dyDescent="0.3">
      <c r="A1013" s="2">
        <v>45494</v>
      </c>
      <c r="B1013" t="s">
        <v>21</v>
      </c>
      <c r="C1013" s="4">
        <v>45</v>
      </c>
      <c r="D1013" s="4">
        <v>99.5</v>
      </c>
      <c r="E1013" s="4">
        <v>65.400000000000006</v>
      </c>
      <c r="F1013" s="4">
        <v>11.67</v>
      </c>
      <c r="G1013" s="4">
        <v>93.1</v>
      </c>
      <c r="H1013" s="4">
        <v>0.61</v>
      </c>
      <c r="I1013" s="4">
        <v>22.6</v>
      </c>
      <c r="J1013" s="4">
        <v>73.7</v>
      </c>
      <c r="K1013" s="4">
        <v>3.04</v>
      </c>
      <c r="L1013" s="4">
        <v>75</v>
      </c>
      <c r="M1013" s="4">
        <v>99.5</v>
      </c>
      <c r="N1013" s="4">
        <v>81.75</v>
      </c>
      <c r="O1013" s="4">
        <v>29.175000000000001</v>
      </c>
      <c r="P1013" s="4">
        <v>232.75</v>
      </c>
      <c r="Q1013" s="4">
        <v>30.5</v>
      </c>
      <c r="R1013" s="4">
        <v>233</v>
      </c>
      <c r="S1013" s="4" t="str" cm="1">
        <f t="array" ref="S1013">_xlfn.IFS($R1013&lt;=50,"Good",$R1013&lt;=100,"Moderate",$R1013&lt;=200,"Poor",$R1013&lt;=300,"Very Poor",$R1013&lt;=500,"Hazardous")</f>
        <v>Very Poor</v>
      </c>
      <c r="T1013" t="s">
        <v>27</v>
      </c>
      <c r="X1013" s="2"/>
      <c r="Y1013" s="2"/>
    </row>
    <row r="1014" spans="1:25" x14ac:dyDescent="0.3">
      <c r="A1014" s="2">
        <v>45494</v>
      </c>
      <c r="B1014" t="s">
        <v>22</v>
      </c>
      <c r="C1014" s="4">
        <v>80.5</v>
      </c>
      <c r="D1014" s="4">
        <v>110.4</v>
      </c>
      <c r="E1014" s="4">
        <v>62.3</v>
      </c>
      <c r="F1014" s="4">
        <v>8.1300000000000008</v>
      </c>
      <c r="G1014" s="4">
        <v>63.2</v>
      </c>
      <c r="H1014" s="4">
        <v>0.76</v>
      </c>
      <c r="I1014" s="4">
        <v>25.1</v>
      </c>
      <c r="J1014" s="4">
        <v>76.400000000000006</v>
      </c>
      <c r="K1014" s="4">
        <v>4.4400000000000004</v>
      </c>
      <c r="L1014" s="4">
        <v>134.16666666666671</v>
      </c>
      <c r="M1014" s="4">
        <v>110.4</v>
      </c>
      <c r="N1014" s="4">
        <v>77.875</v>
      </c>
      <c r="O1014" s="4">
        <v>20.324999999999999</v>
      </c>
      <c r="P1014" s="4">
        <v>158</v>
      </c>
      <c r="Q1014" s="4">
        <v>38</v>
      </c>
      <c r="R1014" s="4">
        <v>158</v>
      </c>
      <c r="S1014" s="4" t="str" cm="1">
        <f t="array" ref="S1014">_xlfn.IFS($R1014&lt;=50,"Good",$R1014&lt;=100,"Moderate",$R1014&lt;=200,"Poor",$R1014&lt;=300,"Very Poor",$R1014&lt;=500,"Hazardous")</f>
        <v>Poor</v>
      </c>
      <c r="T1014" t="s">
        <v>27</v>
      </c>
      <c r="X1014" s="2"/>
      <c r="Y1014" s="2"/>
    </row>
    <row r="1015" spans="1:25" x14ac:dyDescent="0.3">
      <c r="A1015" s="2">
        <v>45494</v>
      </c>
      <c r="B1015" t="s">
        <v>23</v>
      </c>
      <c r="C1015" s="4">
        <v>65.5</v>
      </c>
      <c r="D1015" s="4">
        <v>92</v>
      </c>
      <c r="E1015" s="4">
        <v>58</v>
      </c>
      <c r="F1015" s="4">
        <v>0.5</v>
      </c>
      <c r="G1015" s="4">
        <v>4.4000000000000004</v>
      </c>
      <c r="H1015" s="4">
        <v>1.29</v>
      </c>
      <c r="I1015" s="4">
        <v>25.1</v>
      </c>
      <c r="J1015" s="4">
        <v>70.900000000000006</v>
      </c>
      <c r="K1015" s="4">
        <v>2.58</v>
      </c>
      <c r="L1015" s="4">
        <v>109.1666666666667</v>
      </c>
      <c r="M1015" s="4">
        <v>92</v>
      </c>
      <c r="N1015" s="4">
        <v>72.5</v>
      </c>
      <c r="O1015" s="4">
        <v>1.25</v>
      </c>
      <c r="P1015" s="4">
        <v>11</v>
      </c>
      <c r="Q1015" s="4">
        <v>64.5</v>
      </c>
      <c r="R1015" s="4">
        <v>109</v>
      </c>
      <c r="S1015" s="4" t="str" cm="1">
        <f t="array" ref="S1015">_xlfn.IFS($R1015&lt;=50,"Good",$R1015&lt;=100,"Moderate",$R1015&lt;=200,"Poor",$R1015&lt;=300,"Very Poor",$R1015&lt;=500,"Hazardous")</f>
        <v>Poor</v>
      </c>
      <c r="T1015" t="s">
        <v>25</v>
      </c>
      <c r="X1015" s="2"/>
      <c r="Y1015" s="2"/>
    </row>
    <row r="1016" spans="1:25" x14ac:dyDescent="0.3">
      <c r="A1016" s="2">
        <v>45494</v>
      </c>
      <c r="B1016" t="s">
        <v>24</v>
      </c>
      <c r="C1016" s="4">
        <v>67.900000000000006</v>
      </c>
      <c r="D1016" s="4">
        <v>62.6</v>
      </c>
      <c r="E1016" s="4">
        <v>49.6</v>
      </c>
      <c r="F1016" s="4">
        <v>11.42</v>
      </c>
      <c r="G1016" s="4">
        <v>77.599999999999994</v>
      </c>
      <c r="H1016" s="4">
        <v>2.12</v>
      </c>
      <c r="I1016" s="4">
        <v>26.7</v>
      </c>
      <c r="J1016" s="4">
        <v>64.900000000000006</v>
      </c>
      <c r="K1016" s="4">
        <v>1.17</v>
      </c>
      <c r="L1016" s="4">
        <v>113.1666666666667</v>
      </c>
      <c r="M1016" s="4">
        <v>62.6</v>
      </c>
      <c r="N1016" s="4">
        <v>62</v>
      </c>
      <c r="O1016" s="4">
        <v>28.55</v>
      </c>
      <c r="P1016" s="4">
        <v>194</v>
      </c>
      <c r="Q1016" s="4">
        <v>106</v>
      </c>
      <c r="R1016" s="4">
        <v>194</v>
      </c>
      <c r="S1016" s="4" t="str" cm="1">
        <f t="array" ref="S1016">_xlfn.IFS($R1016&lt;=50,"Good",$R1016&lt;=100,"Moderate",$R1016&lt;=200,"Poor",$R1016&lt;=300,"Very Poor",$R1016&lt;=500,"Hazardous")</f>
        <v>Poor</v>
      </c>
      <c r="T1016" t="s">
        <v>27</v>
      </c>
      <c r="X1016" s="2"/>
      <c r="Y1016" s="2"/>
    </row>
    <row r="1017" spans="1:25" x14ac:dyDescent="0.3">
      <c r="A1017" s="2">
        <v>45495</v>
      </c>
      <c r="B1017" t="s">
        <v>20</v>
      </c>
      <c r="C1017" s="4">
        <v>40.5</v>
      </c>
      <c r="D1017" s="4">
        <v>99.7</v>
      </c>
      <c r="E1017" s="4">
        <v>60.7</v>
      </c>
      <c r="F1017" s="4">
        <v>4.55</v>
      </c>
      <c r="G1017" s="4">
        <v>68.900000000000006</v>
      </c>
      <c r="H1017" s="4">
        <v>1.1000000000000001</v>
      </c>
      <c r="I1017" s="4">
        <v>23.8</v>
      </c>
      <c r="J1017" s="4">
        <v>64.5</v>
      </c>
      <c r="K1017" s="4">
        <v>2.0299999999999998</v>
      </c>
      <c r="L1017" s="4">
        <v>67.5</v>
      </c>
      <c r="M1017" s="4">
        <v>99.7</v>
      </c>
      <c r="N1017" s="4">
        <v>75.875</v>
      </c>
      <c r="O1017" s="4">
        <v>11.375</v>
      </c>
      <c r="P1017" s="4">
        <v>172.25</v>
      </c>
      <c r="Q1017" s="4">
        <v>55.000000000000007</v>
      </c>
      <c r="R1017" s="4">
        <v>172</v>
      </c>
      <c r="S1017" s="4" t="str" cm="1">
        <f t="array" ref="S1017">_xlfn.IFS($R1017&lt;=50,"Good",$R1017&lt;=100,"Moderate",$R1017&lt;=200,"Poor",$R1017&lt;=300,"Very Poor",$R1017&lt;=500,"Hazardous")</f>
        <v>Poor</v>
      </c>
      <c r="T1017" t="s">
        <v>27</v>
      </c>
      <c r="X1017" s="2"/>
      <c r="Y1017" s="2"/>
    </row>
    <row r="1018" spans="1:25" x14ac:dyDescent="0.3">
      <c r="A1018" s="2">
        <v>45495</v>
      </c>
      <c r="B1018" t="s">
        <v>21</v>
      </c>
      <c r="C1018" s="4">
        <v>47.1</v>
      </c>
      <c r="D1018" s="4">
        <v>17.7</v>
      </c>
      <c r="E1018" s="4">
        <v>40</v>
      </c>
      <c r="F1018" s="4">
        <v>5.6</v>
      </c>
      <c r="G1018" s="4">
        <v>33.9</v>
      </c>
      <c r="H1018" s="4">
        <v>1.45</v>
      </c>
      <c r="I1018" s="4">
        <v>29.6</v>
      </c>
      <c r="J1018" s="4">
        <v>64.2</v>
      </c>
      <c r="K1018" s="4">
        <v>3.69</v>
      </c>
      <c r="L1018" s="4">
        <v>78.5</v>
      </c>
      <c r="M1018" s="4">
        <v>17.7</v>
      </c>
      <c r="N1018" s="4">
        <v>50</v>
      </c>
      <c r="O1018" s="4">
        <v>14</v>
      </c>
      <c r="P1018" s="4">
        <v>84.749999999999986</v>
      </c>
      <c r="Q1018" s="4">
        <v>72.5</v>
      </c>
      <c r="R1018" s="4">
        <v>85</v>
      </c>
      <c r="S1018" s="4" t="str" cm="1">
        <f t="array" ref="S1018">_xlfn.IFS($R1018&lt;=50,"Good",$R1018&lt;=100,"Moderate",$R1018&lt;=200,"Poor",$R1018&lt;=300,"Very Poor",$R1018&lt;=500,"Hazardous")</f>
        <v>Moderate</v>
      </c>
      <c r="T1018" t="s">
        <v>27</v>
      </c>
      <c r="X1018" s="2"/>
      <c r="Y1018" s="2"/>
    </row>
    <row r="1019" spans="1:25" x14ac:dyDescent="0.3">
      <c r="A1019" s="2">
        <v>45495</v>
      </c>
      <c r="B1019" t="s">
        <v>22</v>
      </c>
      <c r="C1019" s="4">
        <v>58.7</v>
      </c>
      <c r="D1019" s="4">
        <v>77.7</v>
      </c>
      <c r="E1019" s="4">
        <v>27.2</v>
      </c>
      <c r="F1019" s="4">
        <v>7.27</v>
      </c>
      <c r="G1019" s="4">
        <v>51.6</v>
      </c>
      <c r="H1019" s="4">
        <v>1.55</v>
      </c>
      <c r="I1019" s="4">
        <v>33.299999999999997</v>
      </c>
      <c r="J1019" s="4">
        <v>50.3</v>
      </c>
      <c r="K1019" s="4">
        <v>2.38</v>
      </c>
      <c r="L1019" s="4">
        <v>97.833333333333343</v>
      </c>
      <c r="M1019" s="4">
        <v>77.7</v>
      </c>
      <c r="N1019" s="4">
        <v>34</v>
      </c>
      <c r="O1019" s="4">
        <v>18.175000000000001</v>
      </c>
      <c r="P1019" s="4">
        <v>129</v>
      </c>
      <c r="Q1019" s="4">
        <v>77.5</v>
      </c>
      <c r="R1019" s="4">
        <v>129</v>
      </c>
      <c r="S1019" s="4" t="str" cm="1">
        <f t="array" ref="S1019">_xlfn.IFS($R1019&lt;=50,"Good",$R1019&lt;=100,"Moderate",$R1019&lt;=200,"Poor",$R1019&lt;=300,"Very Poor",$R1019&lt;=500,"Hazardous")</f>
        <v>Poor</v>
      </c>
      <c r="T1019" t="s">
        <v>27</v>
      </c>
      <c r="X1019" s="2"/>
      <c r="Y1019" s="2"/>
    </row>
    <row r="1020" spans="1:25" x14ac:dyDescent="0.3">
      <c r="A1020" s="2">
        <v>45495</v>
      </c>
      <c r="B1020" t="s">
        <v>23</v>
      </c>
      <c r="C1020" s="4">
        <v>64.099999999999994</v>
      </c>
      <c r="D1020" s="4">
        <v>147.30000000000001</v>
      </c>
      <c r="E1020" s="4">
        <v>51</v>
      </c>
      <c r="F1020" s="4">
        <v>6.14</v>
      </c>
      <c r="G1020" s="4">
        <v>8.6</v>
      </c>
      <c r="H1020" s="4">
        <v>0.48</v>
      </c>
      <c r="I1020" s="4">
        <v>26.9</v>
      </c>
      <c r="J1020" s="4">
        <v>66.2</v>
      </c>
      <c r="K1020" s="4">
        <v>1.18</v>
      </c>
      <c r="L1020" s="4">
        <v>106.8333333333333</v>
      </c>
      <c r="M1020" s="4">
        <v>147.30000000000001</v>
      </c>
      <c r="N1020" s="4">
        <v>63.75</v>
      </c>
      <c r="O1020" s="4">
        <v>15.35</v>
      </c>
      <c r="P1020" s="4">
        <v>21.5</v>
      </c>
      <c r="Q1020" s="4">
        <v>24</v>
      </c>
      <c r="R1020" s="4">
        <v>147</v>
      </c>
      <c r="S1020" s="4" t="str" cm="1">
        <f t="array" ref="S1020">_xlfn.IFS($R1020&lt;=50,"Good",$R1020&lt;=100,"Moderate",$R1020&lt;=200,"Poor",$R1020&lt;=300,"Very Poor",$R1020&lt;=500,"Hazardous")</f>
        <v>Poor</v>
      </c>
      <c r="T1020" t="s">
        <v>28</v>
      </c>
      <c r="X1020" s="2"/>
      <c r="Y1020" s="2"/>
    </row>
    <row r="1021" spans="1:25" x14ac:dyDescent="0.3">
      <c r="A1021" s="2">
        <v>45495</v>
      </c>
      <c r="B1021" t="s">
        <v>24</v>
      </c>
      <c r="C1021" s="4">
        <v>54</v>
      </c>
      <c r="D1021" s="4">
        <v>138.9</v>
      </c>
      <c r="E1021" s="4">
        <v>19.3</v>
      </c>
      <c r="F1021" s="4">
        <v>11.9</v>
      </c>
      <c r="G1021" s="4">
        <v>33.6</v>
      </c>
      <c r="H1021" s="4">
        <v>1.72</v>
      </c>
      <c r="I1021" s="4">
        <v>21.3</v>
      </c>
      <c r="J1021" s="4">
        <v>41.5</v>
      </c>
      <c r="K1021" s="4">
        <v>2.4500000000000002</v>
      </c>
      <c r="L1021" s="4">
        <v>90</v>
      </c>
      <c r="M1021" s="4">
        <v>138.9</v>
      </c>
      <c r="N1021" s="4">
        <v>24.125</v>
      </c>
      <c r="O1021" s="4">
        <v>29.75</v>
      </c>
      <c r="P1021" s="4">
        <v>84</v>
      </c>
      <c r="Q1021" s="4">
        <v>86</v>
      </c>
      <c r="R1021" s="4">
        <v>139</v>
      </c>
      <c r="S1021" s="4" t="str" cm="1">
        <f t="array" ref="S1021">_xlfn.IFS($R1021&lt;=50,"Good",$R1021&lt;=100,"Moderate",$R1021&lt;=200,"Poor",$R1021&lt;=300,"Very Poor",$R1021&lt;=500,"Hazardous")</f>
        <v>Poor</v>
      </c>
      <c r="T1021" t="s">
        <v>28</v>
      </c>
      <c r="X1021" s="2"/>
      <c r="Y1021" s="2"/>
    </row>
    <row r="1022" spans="1:25" x14ac:dyDescent="0.3">
      <c r="A1022" s="2">
        <v>45496</v>
      </c>
      <c r="B1022" t="s">
        <v>20</v>
      </c>
      <c r="C1022" s="4">
        <v>52.6</v>
      </c>
      <c r="D1022" s="4">
        <v>89</v>
      </c>
      <c r="E1022" s="4">
        <v>37.4</v>
      </c>
      <c r="F1022" s="4">
        <v>8.9</v>
      </c>
      <c r="G1022" s="4">
        <v>41.1</v>
      </c>
      <c r="H1022" s="4">
        <v>1.07</v>
      </c>
      <c r="I1022" s="4">
        <v>13</v>
      </c>
      <c r="J1022" s="4">
        <v>67.099999999999994</v>
      </c>
      <c r="K1022" s="4">
        <v>2.39</v>
      </c>
      <c r="L1022" s="4">
        <v>87.666666666666671</v>
      </c>
      <c r="M1022" s="4">
        <v>89</v>
      </c>
      <c r="N1022" s="4">
        <v>46.75</v>
      </c>
      <c r="O1022" s="4">
        <v>22.25</v>
      </c>
      <c r="P1022" s="4">
        <v>102.75</v>
      </c>
      <c r="Q1022" s="4">
        <v>53.500000000000007</v>
      </c>
      <c r="R1022" s="4">
        <v>103</v>
      </c>
      <c r="S1022" s="4" t="str" cm="1">
        <f t="array" ref="S1022">_xlfn.IFS($R1022&lt;=50,"Good",$R1022&lt;=100,"Moderate",$R1022&lt;=200,"Poor",$R1022&lt;=300,"Very Poor",$R1022&lt;=500,"Hazardous")</f>
        <v>Poor</v>
      </c>
      <c r="T1022" t="s">
        <v>27</v>
      </c>
      <c r="X1022" s="2"/>
      <c r="Y1022" s="2"/>
    </row>
    <row r="1023" spans="1:25" x14ac:dyDescent="0.3">
      <c r="A1023" s="2">
        <v>45496</v>
      </c>
      <c r="B1023" t="s">
        <v>21</v>
      </c>
      <c r="C1023" s="4">
        <v>108.3</v>
      </c>
      <c r="D1023" s="4">
        <v>63.6</v>
      </c>
      <c r="E1023" s="4">
        <v>8.8000000000000007</v>
      </c>
      <c r="F1023" s="4">
        <v>11.09</v>
      </c>
      <c r="G1023" s="4">
        <v>60.8</v>
      </c>
      <c r="H1023" s="4">
        <v>0.59</v>
      </c>
      <c r="I1023" s="4">
        <v>14.3</v>
      </c>
      <c r="J1023" s="4">
        <v>87.7</v>
      </c>
      <c r="K1023" s="4">
        <v>4.2</v>
      </c>
      <c r="L1023" s="4">
        <v>180.5</v>
      </c>
      <c r="M1023" s="4">
        <v>63.6</v>
      </c>
      <c r="N1023" s="4">
        <v>11</v>
      </c>
      <c r="O1023" s="4">
        <v>27.725000000000001</v>
      </c>
      <c r="P1023" s="4">
        <v>152</v>
      </c>
      <c r="Q1023" s="4">
        <v>29.5</v>
      </c>
      <c r="R1023" s="4">
        <v>180</v>
      </c>
      <c r="S1023" s="4" t="str" cm="1">
        <f t="array" ref="S1023">_xlfn.IFS($R1023&lt;=50,"Good",$R1023&lt;=100,"Moderate",$R1023&lt;=200,"Poor",$R1023&lt;=300,"Very Poor",$R1023&lt;=500,"Hazardous")</f>
        <v>Poor</v>
      </c>
      <c r="T1023" t="s">
        <v>25</v>
      </c>
      <c r="X1023" s="2"/>
      <c r="Y1023" s="2"/>
    </row>
    <row r="1024" spans="1:25" x14ac:dyDescent="0.3">
      <c r="A1024" s="2">
        <v>45496</v>
      </c>
      <c r="B1024" t="s">
        <v>22</v>
      </c>
      <c r="C1024" s="4">
        <v>2</v>
      </c>
      <c r="D1024" s="4">
        <v>70.3</v>
      </c>
      <c r="E1024" s="4">
        <v>59.5</v>
      </c>
      <c r="F1024" s="4">
        <v>4.2699999999999996</v>
      </c>
      <c r="G1024" s="4">
        <v>26.3</v>
      </c>
      <c r="H1024" s="4">
        <v>0.78</v>
      </c>
      <c r="I1024" s="4">
        <v>17.2</v>
      </c>
      <c r="J1024" s="4">
        <v>29.3</v>
      </c>
      <c r="K1024" s="4">
        <v>3.76</v>
      </c>
      <c r="L1024" s="4">
        <v>3.333333333333333</v>
      </c>
      <c r="M1024" s="4">
        <v>70.3</v>
      </c>
      <c r="N1024" s="4">
        <v>74.375</v>
      </c>
      <c r="O1024" s="4">
        <v>10.675000000000001</v>
      </c>
      <c r="P1024" s="4">
        <v>65.75</v>
      </c>
      <c r="Q1024" s="4">
        <v>39</v>
      </c>
      <c r="R1024" s="4">
        <v>74</v>
      </c>
      <c r="S1024" s="4" t="str" cm="1">
        <f t="array" ref="S1024">_xlfn.IFS($R1024&lt;=50,"Good",$R1024&lt;=100,"Moderate",$R1024&lt;=200,"Poor",$R1024&lt;=300,"Very Poor",$R1024&lt;=500,"Hazardous")</f>
        <v>Moderate</v>
      </c>
      <c r="T1024" t="s">
        <v>26</v>
      </c>
      <c r="X1024" s="2"/>
      <c r="Y1024" s="2"/>
    </row>
    <row r="1025" spans="1:25" x14ac:dyDescent="0.3">
      <c r="A1025" s="2">
        <v>45496</v>
      </c>
      <c r="B1025" t="s">
        <v>23</v>
      </c>
      <c r="C1025" s="4">
        <v>3.8</v>
      </c>
      <c r="D1025" s="4">
        <v>107.9</v>
      </c>
      <c r="E1025" s="4">
        <v>50.2</v>
      </c>
      <c r="F1025" s="4">
        <v>0.6</v>
      </c>
      <c r="G1025" s="4">
        <v>16.899999999999999</v>
      </c>
      <c r="H1025" s="4">
        <v>1.54</v>
      </c>
      <c r="I1025" s="4">
        <v>28.7</v>
      </c>
      <c r="J1025" s="4">
        <v>48.9</v>
      </c>
      <c r="K1025" s="4">
        <v>3.94</v>
      </c>
      <c r="L1025" s="4">
        <v>6.333333333333333</v>
      </c>
      <c r="M1025" s="4">
        <v>107.9</v>
      </c>
      <c r="N1025" s="4">
        <v>62.75</v>
      </c>
      <c r="O1025" s="4">
        <v>1.5</v>
      </c>
      <c r="P1025" s="4">
        <v>42.249999999999993</v>
      </c>
      <c r="Q1025" s="4">
        <v>77</v>
      </c>
      <c r="R1025" s="4">
        <v>108</v>
      </c>
      <c r="S1025" s="4" t="str" cm="1">
        <f t="array" ref="S1025">_xlfn.IFS($R1025&lt;=50,"Good",$R1025&lt;=100,"Moderate",$R1025&lt;=200,"Poor",$R1025&lt;=300,"Very Poor",$R1025&lt;=500,"Hazardous")</f>
        <v>Poor</v>
      </c>
      <c r="T1025" t="s">
        <v>28</v>
      </c>
      <c r="X1025" s="2"/>
      <c r="Y1025" s="2"/>
    </row>
    <row r="1026" spans="1:25" x14ac:dyDescent="0.3">
      <c r="A1026" s="2">
        <v>45496</v>
      </c>
      <c r="B1026" t="s">
        <v>24</v>
      </c>
      <c r="C1026" s="4">
        <v>84.7</v>
      </c>
      <c r="D1026" s="4">
        <v>119.8</v>
      </c>
      <c r="E1026" s="4">
        <v>23.8</v>
      </c>
      <c r="F1026" s="4">
        <v>5.22</v>
      </c>
      <c r="G1026" s="4">
        <v>51.9</v>
      </c>
      <c r="H1026" s="4">
        <v>0.96</v>
      </c>
      <c r="I1026" s="4">
        <v>31.6</v>
      </c>
      <c r="J1026" s="4">
        <v>32.5</v>
      </c>
      <c r="K1026" s="4">
        <v>1.21</v>
      </c>
      <c r="L1026" s="4">
        <v>141.16666666666671</v>
      </c>
      <c r="M1026" s="4">
        <v>119.8</v>
      </c>
      <c r="N1026" s="4">
        <v>29.75</v>
      </c>
      <c r="O1026" s="4">
        <v>13.05</v>
      </c>
      <c r="P1026" s="4">
        <v>129.75</v>
      </c>
      <c r="Q1026" s="4">
        <v>48</v>
      </c>
      <c r="R1026" s="4">
        <v>141</v>
      </c>
      <c r="S1026" s="4" t="str" cm="1">
        <f t="array" ref="S1026">_xlfn.IFS($R1026&lt;=50,"Good",$R1026&lt;=100,"Moderate",$R1026&lt;=200,"Poor",$R1026&lt;=300,"Very Poor",$R1026&lt;=500,"Hazardous")</f>
        <v>Poor</v>
      </c>
      <c r="T1026" t="s">
        <v>25</v>
      </c>
      <c r="X1026" s="2"/>
      <c r="Y1026" s="2"/>
    </row>
    <row r="1027" spans="1:25" x14ac:dyDescent="0.3">
      <c r="A1027" s="2">
        <v>45497</v>
      </c>
      <c r="B1027" t="s">
        <v>20</v>
      </c>
      <c r="C1027" s="4">
        <v>60.2</v>
      </c>
      <c r="D1027" s="4">
        <v>83.3</v>
      </c>
      <c r="E1027" s="4">
        <v>29.9</v>
      </c>
      <c r="F1027" s="4">
        <v>0.5</v>
      </c>
      <c r="G1027" s="4">
        <v>46.6</v>
      </c>
      <c r="H1027" s="4">
        <v>1.07</v>
      </c>
      <c r="I1027" s="4">
        <v>29.6</v>
      </c>
      <c r="J1027" s="4">
        <v>61.2</v>
      </c>
      <c r="K1027" s="4">
        <v>2.34</v>
      </c>
      <c r="L1027" s="4">
        <v>100.3333333333333</v>
      </c>
      <c r="M1027" s="4">
        <v>83.3</v>
      </c>
      <c r="N1027" s="4">
        <v>37.375</v>
      </c>
      <c r="O1027" s="4">
        <v>1.25</v>
      </c>
      <c r="P1027" s="4">
        <v>116.5</v>
      </c>
      <c r="Q1027" s="4">
        <v>53.500000000000007</v>
      </c>
      <c r="R1027" s="4">
        <v>116</v>
      </c>
      <c r="S1027" s="4" t="str" cm="1">
        <f t="array" ref="S1027">_xlfn.IFS($R1027&lt;=50,"Good",$R1027&lt;=100,"Moderate",$R1027&lt;=200,"Poor",$R1027&lt;=300,"Very Poor",$R1027&lt;=500,"Hazardous")</f>
        <v>Poor</v>
      </c>
      <c r="T1027" t="s">
        <v>27</v>
      </c>
      <c r="X1027" s="2"/>
      <c r="Y1027" s="2"/>
    </row>
    <row r="1028" spans="1:25" x14ac:dyDescent="0.3">
      <c r="A1028" s="2">
        <v>45497</v>
      </c>
      <c r="B1028" t="s">
        <v>21</v>
      </c>
      <c r="C1028" s="4">
        <v>95.3</v>
      </c>
      <c r="D1028" s="4">
        <v>41.3</v>
      </c>
      <c r="E1028" s="4">
        <v>55.7</v>
      </c>
      <c r="F1028" s="4">
        <v>0.5</v>
      </c>
      <c r="G1028" s="4">
        <v>23.8</v>
      </c>
      <c r="H1028" s="4">
        <v>0.47</v>
      </c>
      <c r="I1028" s="4">
        <v>30.5</v>
      </c>
      <c r="J1028" s="4">
        <v>58.8</v>
      </c>
      <c r="K1028" s="4">
        <v>2.48</v>
      </c>
      <c r="L1028" s="4">
        <v>158.83333333333329</v>
      </c>
      <c r="M1028" s="4">
        <v>41.3</v>
      </c>
      <c r="N1028" s="4">
        <v>69.625</v>
      </c>
      <c r="O1028" s="4">
        <v>1.25</v>
      </c>
      <c r="P1028" s="4">
        <v>59.500000000000007</v>
      </c>
      <c r="Q1028" s="4">
        <v>23.5</v>
      </c>
      <c r="R1028" s="4">
        <v>159</v>
      </c>
      <c r="S1028" s="4" t="str" cm="1">
        <f t="array" ref="S1028">_xlfn.IFS($R1028&lt;=50,"Good",$R1028&lt;=100,"Moderate",$R1028&lt;=200,"Poor",$R1028&lt;=300,"Very Poor",$R1028&lt;=500,"Hazardous")</f>
        <v>Poor</v>
      </c>
      <c r="T1028" t="s">
        <v>25</v>
      </c>
      <c r="X1028" s="2"/>
      <c r="Y1028" s="2"/>
    </row>
    <row r="1029" spans="1:25" x14ac:dyDescent="0.3">
      <c r="A1029" s="2">
        <v>45497</v>
      </c>
      <c r="B1029" t="s">
        <v>22</v>
      </c>
      <c r="C1029" s="4">
        <v>20.399999999999999</v>
      </c>
      <c r="D1029" s="4">
        <v>77.5</v>
      </c>
      <c r="E1029" s="4">
        <v>22.6</v>
      </c>
      <c r="F1029" s="4">
        <v>7.54</v>
      </c>
      <c r="G1029" s="4">
        <v>14.5</v>
      </c>
      <c r="H1029" s="4">
        <v>1.52</v>
      </c>
      <c r="I1029" s="4">
        <v>13.3</v>
      </c>
      <c r="J1029" s="4">
        <v>45.5</v>
      </c>
      <c r="K1029" s="4">
        <v>4.51</v>
      </c>
      <c r="L1029" s="4">
        <v>33.999999999999993</v>
      </c>
      <c r="M1029" s="4">
        <v>77.5</v>
      </c>
      <c r="N1029" s="4">
        <v>28.25</v>
      </c>
      <c r="O1029" s="4">
        <v>18.850000000000001</v>
      </c>
      <c r="P1029" s="4">
        <v>36.25</v>
      </c>
      <c r="Q1029" s="4">
        <v>76</v>
      </c>
      <c r="R1029" s="4">
        <v>78</v>
      </c>
      <c r="S1029" s="4" t="str" cm="1">
        <f t="array" ref="S1029">_xlfn.IFS($R1029&lt;=50,"Good",$R1029&lt;=100,"Moderate",$R1029&lt;=200,"Poor",$R1029&lt;=300,"Very Poor",$R1029&lt;=500,"Hazardous")</f>
        <v>Moderate</v>
      </c>
      <c r="T1029" t="s">
        <v>28</v>
      </c>
      <c r="X1029" s="2"/>
      <c r="Y1029" s="2"/>
    </row>
    <row r="1030" spans="1:25" x14ac:dyDescent="0.3">
      <c r="A1030" s="2">
        <v>45497</v>
      </c>
      <c r="B1030" t="s">
        <v>23</v>
      </c>
      <c r="C1030" s="4">
        <v>37.6</v>
      </c>
      <c r="D1030" s="4">
        <v>32.9</v>
      </c>
      <c r="E1030" s="4">
        <v>39.5</v>
      </c>
      <c r="F1030" s="4">
        <v>4.5</v>
      </c>
      <c r="G1030" s="4">
        <v>19.100000000000001</v>
      </c>
      <c r="H1030" s="4">
        <v>0.43</v>
      </c>
      <c r="I1030" s="4">
        <v>44.4</v>
      </c>
      <c r="J1030" s="4">
        <v>55.5</v>
      </c>
      <c r="K1030" s="4">
        <v>0.2</v>
      </c>
      <c r="L1030" s="4">
        <v>62.666666666666657</v>
      </c>
      <c r="M1030" s="4">
        <v>32.9</v>
      </c>
      <c r="N1030" s="4">
        <v>49.375</v>
      </c>
      <c r="O1030" s="4">
        <v>11.25</v>
      </c>
      <c r="P1030" s="4">
        <v>47.75</v>
      </c>
      <c r="Q1030" s="4">
        <v>21.5</v>
      </c>
      <c r="R1030" s="4">
        <v>63</v>
      </c>
      <c r="S1030" s="4" t="str" cm="1">
        <f t="array" ref="S1030">_xlfn.IFS($R1030&lt;=50,"Good",$R1030&lt;=100,"Moderate",$R1030&lt;=200,"Poor",$R1030&lt;=300,"Very Poor",$R1030&lt;=500,"Hazardous")</f>
        <v>Moderate</v>
      </c>
      <c r="T1030" t="s">
        <v>25</v>
      </c>
      <c r="X1030" s="2"/>
      <c r="Y1030" s="2"/>
    </row>
    <row r="1031" spans="1:25" x14ac:dyDescent="0.3">
      <c r="A1031" s="2">
        <v>45497</v>
      </c>
      <c r="B1031" t="s">
        <v>24</v>
      </c>
      <c r="C1031" s="4">
        <v>92.2</v>
      </c>
      <c r="D1031" s="4">
        <v>137.9</v>
      </c>
      <c r="E1031" s="4">
        <v>26.1</v>
      </c>
      <c r="F1031" s="4">
        <v>2.93</v>
      </c>
      <c r="G1031" s="4">
        <v>62.5</v>
      </c>
      <c r="H1031" s="4">
        <v>0.93</v>
      </c>
      <c r="I1031" s="4">
        <v>11.5</v>
      </c>
      <c r="J1031" s="4">
        <v>92.2</v>
      </c>
      <c r="K1031" s="4">
        <v>2.48</v>
      </c>
      <c r="L1031" s="4">
        <v>153.66666666666671</v>
      </c>
      <c r="M1031" s="4">
        <v>137.9</v>
      </c>
      <c r="N1031" s="4">
        <v>32.625</v>
      </c>
      <c r="O1031" s="4">
        <v>7.3250000000000011</v>
      </c>
      <c r="P1031" s="4">
        <v>156.25</v>
      </c>
      <c r="Q1031" s="4">
        <v>46.5</v>
      </c>
      <c r="R1031" s="4">
        <v>156</v>
      </c>
      <c r="S1031" s="4" t="str" cm="1">
        <f t="array" ref="S1031">_xlfn.IFS($R1031&lt;=50,"Good",$R1031&lt;=100,"Moderate",$R1031&lt;=200,"Poor",$R1031&lt;=300,"Very Poor",$R1031&lt;=500,"Hazardous")</f>
        <v>Poor</v>
      </c>
      <c r="T1031" t="s">
        <v>27</v>
      </c>
      <c r="X1031" s="2"/>
      <c r="Y1031" s="2"/>
    </row>
    <row r="1032" spans="1:25" x14ac:dyDescent="0.3">
      <c r="A1032" s="2">
        <v>45498</v>
      </c>
      <c r="B1032" t="s">
        <v>20</v>
      </c>
      <c r="C1032" s="4">
        <v>96.5</v>
      </c>
      <c r="D1032" s="4">
        <v>181</v>
      </c>
      <c r="E1032" s="4">
        <v>23</v>
      </c>
      <c r="F1032" s="4">
        <v>12.11</v>
      </c>
      <c r="G1032" s="4">
        <v>27.3</v>
      </c>
      <c r="H1032" s="4">
        <v>7.0000000000000007E-2</v>
      </c>
      <c r="I1032" s="4">
        <v>22</v>
      </c>
      <c r="J1032" s="4">
        <v>67.2</v>
      </c>
      <c r="K1032" s="4">
        <v>1.94</v>
      </c>
      <c r="L1032" s="4">
        <v>160.83333333333329</v>
      </c>
      <c r="M1032" s="4">
        <v>181</v>
      </c>
      <c r="N1032" s="4">
        <v>28.75</v>
      </c>
      <c r="O1032" s="4">
        <v>30.274999999999999</v>
      </c>
      <c r="P1032" s="4">
        <v>68.25</v>
      </c>
      <c r="Q1032" s="4">
        <v>3.5</v>
      </c>
      <c r="R1032" s="4">
        <v>181</v>
      </c>
      <c r="S1032" s="4" t="str" cm="1">
        <f t="array" ref="S1032">_xlfn.IFS($R1032&lt;=50,"Good",$R1032&lt;=100,"Moderate",$R1032&lt;=200,"Poor",$R1032&lt;=300,"Very Poor",$R1032&lt;=500,"Hazardous")</f>
        <v>Poor</v>
      </c>
      <c r="T1032" t="s">
        <v>28</v>
      </c>
      <c r="X1032" s="2"/>
      <c r="Y1032" s="2"/>
    </row>
    <row r="1033" spans="1:25" x14ac:dyDescent="0.3">
      <c r="A1033" s="2">
        <v>45498</v>
      </c>
      <c r="B1033" t="s">
        <v>21</v>
      </c>
      <c r="C1033" s="4">
        <v>50.8</v>
      </c>
      <c r="D1033" s="4">
        <v>188.6</v>
      </c>
      <c r="E1033" s="4">
        <v>47.1</v>
      </c>
      <c r="F1033" s="4">
        <v>3.78</v>
      </c>
      <c r="G1033" s="4">
        <v>71.900000000000006</v>
      </c>
      <c r="H1033" s="4">
        <v>1.32</v>
      </c>
      <c r="I1033" s="4">
        <v>7.3</v>
      </c>
      <c r="J1033" s="4">
        <v>67.7</v>
      </c>
      <c r="K1033" s="4">
        <v>2.97</v>
      </c>
      <c r="L1033" s="4">
        <v>84.666666666666671</v>
      </c>
      <c r="M1033" s="4">
        <v>188.6</v>
      </c>
      <c r="N1033" s="4">
        <v>58.875000000000007</v>
      </c>
      <c r="O1033" s="4">
        <v>9.4499999999999993</v>
      </c>
      <c r="P1033" s="4">
        <v>179.75</v>
      </c>
      <c r="Q1033" s="4">
        <v>66</v>
      </c>
      <c r="R1033" s="4">
        <v>189</v>
      </c>
      <c r="S1033" s="4" t="str" cm="1">
        <f t="array" ref="S1033">_xlfn.IFS($R1033&lt;=50,"Good",$R1033&lt;=100,"Moderate",$R1033&lt;=200,"Poor",$R1033&lt;=300,"Very Poor",$R1033&lt;=500,"Hazardous")</f>
        <v>Poor</v>
      </c>
      <c r="T1033" t="s">
        <v>28</v>
      </c>
      <c r="X1033" s="2"/>
      <c r="Y1033" s="2"/>
    </row>
    <row r="1034" spans="1:25" x14ac:dyDescent="0.3">
      <c r="A1034" s="2">
        <v>45498</v>
      </c>
      <c r="B1034" t="s">
        <v>22</v>
      </c>
      <c r="C1034" s="4">
        <v>46.1</v>
      </c>
      <c r="D1034" s="4">
        <v>131.9</v>
      </c>
      <c r="E1034" s="4">
        <v>24</v>
      </c>
      <c r="F1034" s="4">
        <v>7.36</v>
      </c>
      <c r="G1034" s="4">
        <v>1</v>
      </c>
      <c r="H1034" s="4">
        <v>1.1000000000000001</v>
      </c>
      <c r="I1034" s="4">
        <v>38.700000000000003</v>
      </c>
      <c r="J1034" s="4">
        <v>42.1</v>
      </c>
      <c r="K1034" s="4">
        <v>1.59</v>
      </c>
      <c r="L1034" s="4">
        <v>76.833333333333343</v>
      </c>
      <c r="M1034" s="4">
        <v>131.9</v>
      </c>
      <c r="N1034" s="4">
        <v>30</v>
      </c>
      <c r="O1034" s="4">
        <v>18.399999999999999</v>
      </c>
      <c r="P1034" s="4">
        <v>2.5</v>
      </c>
      <c r="Q1034" s="4">
        <v>55.000000000000007</v>
      </c>
      <c r="R1034" s="4">
        <v>132</v>
      </c>
      <c r="S1034" s="4" t="str" cm="1">
        <f t="array" ref="S1034">_xlfn.IFS($R1034&lt;=50,"Good",$R1034&lt;=100,"Moderate",$R1034&lt;=200,"Poor",$R1034&lt;=300,"Very Poor",$R1034&lt;=500,"Hazardous")</f>
        <v>Poor</v>
      </c>
      <c r="T1034" t="s">
        <v>28</v>
      </c>
      <c r="X1034" s="2"/>
      <c r="Y1034" s="2"/>
    </row>
    <row r="1035" spans="1:25" x14ac:dyDescent="0.3">
      <c r="A1035" s="2">
        <v>45498</v>
      </c>
      <c r="B1035" t="s">
        <v>23</v>
      </c>
      <c r="C1035" s="4">
        <v>31</v>
      </c>
      <c r="D1035" s="4">
        <v>102.2</v>
      </c>
      <c r="E1035" s="4">
        <v>19</v>
      </c>
      <c r="F1035" s="4">
        <v>8.08</v>
      </c>
      <c r="G1035" s="4">
        <v>61.2</v>
      </c>
      <c r="H1035" s="4">
        <v>1.22</v>
      </c>
      <c r="I1035" s="4">
        <v>12.6</v>
      </c>
      <c r="J1035" s="4">
        <v>77.900000000000006</v>
      </c>
      <c r="K1035" s="4">
        <v>3.62</v>
      </c>
      <c r="L1035" s="4">
        <v>51.666666666666657</v>
      </c>
      <c r="M1035" s="4">
        <v>102.2</v>
      </c>
      <c r="N1035" s="4">
        <v>23.75</v>
      </c>
      <c r="O1035" s="4">
        <v>20.2</v>
      </c>
      <c r="P1035" s="4">
        <v>153</v>
      </c>
      <c r="Q1035" s="4">
        <v>61</v>
      </c>
      <c r="R1035" s="4">
        <v>153</v>
      </c>
      <c r="S1035" s="4" t="str" cm="1">
        <f t="array" ref="S1035">_xlfn.IFS($R1035&lt;=50,"Good",$R1035&lt;=100,"Moderate",$R1035&lt;=200,"Poor",$R1035&lt;=300,"Very Poor",$R1035&lt;=500,"Hazardous")</f>
        <v>Poor</v>
      </c>
      <c r="T1035" t="s">
        <v>27</v>
      </c>
      <c r="X1035" s="2"/>
      <c r="Y1035" s="2"/>
    </row>
    <row r="1036" spans="1:25" x14ac:dyDescent="0.3">
      <c r="A1036" s="2">
        <v>45498</v>
      </c>
      <c r="B1036" t="s">
        <v>24</v>
      </c>
      <c r="C1036" s="4">
        <v>74.7</v>
      </c>
      <c r="D1036" s="4">
        <v>125.3</v>
      </c>
      <c r="E1036" s="4">
        <v>43.5</v>
      </c>
      <c r="F1036" s="4">
        <v>11.58</v>
      </c>
      <c r="G1036" s="4">
        <v>96.9</v>
      </c>
      <c r="H1036" s="4">
        <v>0.55000000000000004</v>
      </c>
      <c r="I1036" s="4">
        <v>32.5</v>
      </c>
      <c r="J1036" s="4">
        <v>58.4</v>
      </c>
      <c r="K1036" s="4">
        <v>2.84</v>
      </c>
      <c r="L1036" s="4">
        <v>124.5</v>
      </c>
      <c r="M1036" s="4">
        <v>125.3</v>
      </c>
      <c r="N1036" s="4">
        <v>54.375</v>
      </c>
      <c r="O1036" s="4">
        <v>28.95</v>
      </c>
      <c r="P1036" s="4">
        <v>242.25</v>
      </c>
      <c r="Q1036" s="4">
        <v>27.5</v>
      </c>
      <c r="R1036" s="4">
        <v>242</v>
      </c>
      <c r="S1036" s="4" t="str" cm="1">
        <f t="array" ref="S1036">_xlfn.IFS($R1036&lt;=50,"Good",$R1036&lt;=100,"Moderate",$R1036&lt;=200,"Poor",$R1036&lt;=300,"Very Poor",$R1036&lt;=500,"Hazardous")</f>
        <v>Very Poor</v>
      </c>
      <c r="T1036" t="s">
        <v>27</v>
      </c>
      <c r="X1036" s="2"/>
      <c r="Y1036" s="2"/>
    </row>
    <row r="1037" spans="1:25" x14ac:dyDescent="0.3">
      <c r="A1037" s="2">
        <v>45499</v>
      </c>
      <c r="B1037" t="s">
        <v>20</v>
      </c>
      <c r="C1037" s="4">
        <v>12.8</v>
      </c>
      <c r="D1037" s="4">
        <v>94.7</v>
      </c>
      <c r="E1037" s="4">
        <v>23.1</v>
      </c>
      <c r="F1037" s="4">
        <v>5.23</v>
      </c>
      <c r="G1037" s="4">
        <v>14.4</v>
      </c>
      <c r="H1037" s="4">
        <v>0.86</v>
      </c>
      <c r="I1037" s="4">
        <v>22.2</v>
      </c>
      <c r="J1037" s="4">
        <v>61.7</v>
      </c>
      <c r="K1037" s="4">
        <v>0.56000000000000005</v>
      </c>
      <c r="L1037" s="4">
        <v>21.333333333333339</v>
      </c>
      <c r="M1037" s="4">
        <v>94.7</v>
      </c>
      <c r="N1037" s="4">
        <v>28.875</v>
      </c>
      <c r="O1037" s="4">
        <v>13.074999999999999</v>
      </c>
      <c r="P1037" s="4">
        <v>36.000000000000007</v>
      </c>
      <c r="Q1037" s="4">
        <v>43</v>
      </c>
      <c r="R1037" s="4">
        <v>95</v>
      </c>
      <c r="S1037" s="4" t="str" cm="1">
        <f t="array" ref="S1037">_xlfn.IFS($R1037&lt;=50,"Good",$R1037&lt;=100,"Moderate",$R1037&lt;=200,"Poor",$R1037&lt;=300,"Very Poor",$R1037&lt;=500,"Hazardous")</f>
        <v>Moderate</v>
      </c>
      <c r="T1037" t="s">
        <v>28</v>
      </c>
      <c r="X1037" s="2"/>
      <c r="Y1037" s="2"/>
    </row>
    <row r="1038" spans="1:25" x14ac:dyDescent="0.3">
      <c r="A1038" s="2">
        <v>45499</v>
      </c>
      <c r="B1038" t="s">
        <v>21</v>
      </c>
      <c r="C1038" s="4">
        <v>16.600000000000001</v>
      </c>
      <c r="D1038" s="4">
        <v>141.69999999999999</v>
      </c>
      <c r="E1038" s="4">
        <v>29.1</v>
      </c>
      <c r="F1038" s="4">
        <v>13.37</v>
      </c>
      <c r="G1038" s="4">
        <v>57</v>
      </c>
      <c r="H1038" s="4">
        <v>1.56</v>
      </c>
      <c r="I1038" s="4">
        <v>34.9</v>
      </c>
      <c r="J1038" s="4">
        <v>54.4</v>
      </c>
      <c r="K1038" s="4">
        <v>1.81</v>
      </c>
      <c r="L1038" s="4">
        <v>27.666666666666671</v>
      </c>
      <c r="M1038" s="4">
        <v>141.69999999999999</v>
      </c>
      <c r="N1038" s="4">
        <v>36.375000000000007</v>
      </c>
      <c r="O1038" s="4">
        <v>33.424999999999997</v>
      </c>
      <c r="P1038" s="4">
        <v>142.5</v>
      </c>
      <c r="Q1038" s="4">
        <v>78</v>
      </c>
      <c r="R1038" s="4">
        <v>142</v>
      </c>
      <c r="S1038" s="4" t="str" cm="1">
        <f t="array" ref="S1038">_xlfn.IFS($R1038&lt;=50,"Good",$R1038&lt;=100,"Moderate",$R1038&lt;=200,"Poor",$R1038&lt;=300,"Very Poor",$R1038&lt;=500,"Hazardous")</f>
        <v>Poor</v>
      </c>
      <c r="T1038" t="s">
        <v>27</v>
      </c>
      <c r="X1038" s="2"/>
      <c r="Y1038" s="2"/>
    </row>
    <row r="1039" spans="1:25" x14ac:dyDescent="0.3">
      <c r="A1039" s="2">
        <v>45499</v>
      </c>
      <c r="B1039" t="s">
        <v>22</v>
      </c>
      <c r="C1039" s="4">
        <v>65.5</v>
      </c>
      <c r="D1039" s="4">
        <v>114.4</v>
      </c>
      <c r="E1039" s="4">
        <v>31.4</v>
      </c>
      <c r="F1039" s="4">
        <v>11.37</v>
      </c>
      <c r="G1039" s="4">
        <v>33</v>
      </c>
      <c r="H1039" s="4">
        <v>0.93</v>
      </c>
      <c r="I1039" s="4">
        <v>25.1</v>
      </c>
      <c r="J1039" s="4">
        <v>43.2</v>
      </c>
      <c r="K1039" s="4">
        <v>2.59</v>
      </c>
      <c r="L1039" s="4">
        <v>109.1666666666667</v>
      </c>
      <c r="M1039" s="4">
        <v>114.4</v>
      </c>
      <c r="N1039" s="4">
        <v>39.25</v>
      </c>
      <c r="O1039" s="4">
        <v>28.425000000000001</v>
      </c>
      <c r="P1039" s="4">
        <v>82.5</v>
      </c>
      <c r="Q1039" s="4">
        <v>46.5</v>
      </c>
      <c r="R1039" s="4">
        <v>114</v>
      </c>
      <c r="S1039" s="4" t="str" cm="1">
        <f t="array" ref="S1039">_xlfn.IFS($R1039&lt;=50,"Good",$R1039&lt;=100,"Moderate",$R1039&lt;=200,"Poor",$R1039&lt;=300,"Very Poor",$R1039&lt;=500,"Hazardous")</f>
        <v>Poor</v>
      </c>
      <c r="T1039" t="s">
        <v>28</v>
      </c>
      <c r="X1039" s="2"/>
      <c r="Y1039" s="2"/>
    </row>
    <row r="1040" spans="1:25" x14ac:dyDescent="0.3">
      <c r="A1040" s="2">
        <v>45499</v>
      </c>
      <c r="B1040" t="s">
        <v>23</v>
      </c>
      <c r="C1040" s="4">
        <v>81.5</v>
      </c>
      <c r="D1040" s="4">
        <v>117.4</v>
      </c>
      <c r="E1040" s="4">
        <v>36.5</v>
      </c>
      <c r="F1040" s="4">
        <v>5.75</v>
      </c>
      <c r="G1040" s="4">
        <v>48.3</v>
      </c>
      <c r="H1040" s="4">
        <v>1.32</v>
      </c>
      <c r="I1040" s="4">
        <v>29.3</v>
      </c>
      <c r="J1040" s="4">
        <v>54</v>
      </c>
      <c r="K1040" s="4">
        <v>2.89</v>
      </c>
      <c r="L1040" s="4">
        <v>135.83333333333329</v>
      </c>
      <c r="M1040" s="4">
        <v>117.4</v>
      </c>
      <c r="N1040" s="4">
        <v>45.625</v>
      </c>
      <c r="O1040" s="4">
        <v>14.375</v>
      </c>
      <c r="P1040" s="4">
        <v>120.75</v>
      </c>
      <c r="Q1040" s="4">
        <v>66</v>
      </c>
      <c r="R1040" s="4">
        <v>136</v>
      </c>
      <c r="S1040" s="4" t="str" cm="1">
        <f t="array" ref="S1040">_xlfn.IFS($R1040&lt;=50,"Good",$R1040&lt;=100,"Moderate",$R1040&lt;=200,"Poor",$R1040&lt;=300,"Very Poor",$R1040&lt;=500,"Hazardous")</f>
        <v>Poor</v>
      </c>
      <c r="T1040" t="s">
        <v>25</v>
      </c>
      <c r="X1040" s="2"/>
      <c r="Y1040" s="2"/>
    </row>
    <row r="1041" spans="1:25" x14ac:dyDescent="0.3">
      <c r="A1041" s="2">
        <v>45499</v>
      </c>
      <c r="B1041" t="s">
        <v>24</v>
      </c>
      <c r="C1041" s="4">
        <v>65.5</v>
      </c>
      <c r="D1041" s="4">
        <v>52.4</v>
      </c>
      <c r="E1041" s="4">
        <v>42.6</v>
      </c>
      <c r="F1041" s="4">
        <v>0.5</v>
      </c>
      <c r="G1041" s="4">
        <v>57.3</v>
      </c>
      <c r="H1041" s="4">
        <v>1.4</v>
      </c>
      <c r="I1041" s="4">
        <v>30.2</v>
      </c>
      <c r="J1041" s="4">
        <v>52.9</v>
      </c>
      <c r="K1041" s="4">
        <v>3.37</v>
      </c>
      <c r="L1041" s="4">
        <v>109.1666666666667</v>
      </c>
      <c r="M1041" s="4">
        <v>52.4</v>
      </c>
      <c r="N1041" s="4">
        <v>53.25</v>
      </c>
      <c r="O1041" s="4">
        <v>1.25</v>
      </c>
      <c r="P1041" s="4">
        <v>143.25</v>
      </c>
      <c r="Q1041" s="4">
        <v>69.999999999999986</v>
      </c>
      <c r="R1041" s="4">
        <v>143</v>
      </c>
      <c r="S1041" s="4" t="str" cm="1">
        <f t="array" ref="S1041">_xlfn.IFS($R1041&lt;=50,"Good",$R1041&lt;=100,"Moderate",$R1041&lt;=200,"Poor",$R1041&lt;=300,"Very Poor",$R1041&lt;=500,"Hazardous")</f>
        <v>Poor</v>
      </c>
      <c r="T1041" t="s">
        <v>27</v>
      </c>
      <c r="X1041" s="2"/>
      <c r="Y1041" s="2"/>
    </row>
    <row r="1042" spans="1:25" x14ac:dyDescent="0.3">
      <c r="A1042" s="2">
        <v>45500</v>
      </c>
      <c r="B1042" t="s">
        <v>20</v>
      </c>
      <c r="C1042" s="4">
        <v>94.5</v>
      </c>
      <c r="D1042" s="4">
        <v>188.4</v>
      </c>
      <c r="E1042" s="4">
        <v>40.9</v>
      </c>
      <c r="F1042" s="4">
        <v>8</v>
      </c>
      <c r="G1042" s="4">
        <v>77.900000000000006</v>
      </c>
      <c r="H1042" s="4">
        <v>0.28000000000000003</v>
      </c>
      <c r="I1042" s="4">
        <v>22.7</v>
      </c>
      <c r="J1042" s="4">
        <v>84</v>
      </c>
      <c r="K1042" s="4">
        <v>3.67</v>
      </c>
      <c r="L1042" s="4">
        <v>157.5</v>
      </c>
      <c r="M1042" s="4">
        <v>188.4</v>
      </c>
      <c r="N1042" s="4">
        <v>51.125</v>
      </c>
      <c r="O1042" s="4">
        <v>20</v>
      </c>
      <c r="P1042" s="4">
        <v>194.75</v>
      </c>
      <c r="Q1042" s="4">
        <v>14</v>
      </c>
      <c r="R1042" s="4">
        <v>195</v>
      </c>
      <c r="S1042" s="4" t="str" cm="1">
        <f t="array" ref="S1042">_xlfn.IFS($R1042&lt;=50,"Good",$R1042&lt;=100,"Moderate",$R1042&lt;=200,"Poor",$R1042&lt;=300,"Very Poor",$R1042&lt;=500,"Hazardous")</f>
        <v>Poor</v>
      </c>
      <c r="T1042" t="s">
        <v>27</v>
      </c>
      <c r="X1042" s="2"/>
      <c r="Y1042" s="2"/>
    </row>
    <row r="1043" spans="1:25" x14ac:dyDescent="0.3">
      <c r="A1043" s="2">
        <v>45500</v>
      </c>
      <c r="B1043" t="s">
        <v>21</v>
      </c>
      <c r="C1043" s="4">
        <v>71.099999999999994</v>
      </c>
      <c r="D1043" s="4">
        <v>29.7</v>
      </c>
      <c r="E1043" s="4">
        <v>44</v>
      </c>
      <c r="F1043" s="4">
        <v>5.05</v>
      </c>
      <c r="G1043" s="4">
        <v>60.3</v>
      </c>
      <c r="H1043" s="4">
        <v>0.71</v>
      </c>
      <c r="I1043" s="4">
        <v>17.8</v>
      </c>
      <c r="J1043" s="4">
        <v>22.8</v>
      </c>
      <c r="K1043" s="4">
        <v>3.97</v>
      </c>
      <c r="L1043" s="4">
        <v>118.5</v>
      </c>
      <c r="M1043" s="4">
        <v>29.7</v>
      </c>
      <c r="N1043" s="4">
        <v>55</v>
      </c>
      <c r="O1043" s="4">
        <v>12.625</v>
      </c>
      <c r="P1043" s="4">
        <v>150.75</v>
      </c>
      <c r="Q1043" s="4">
        <v>35.5</v>
      </c>
      <c r="R1043" s="4">
        <v>151</v>
      </c>
      <c r="S1043" s="4" t="str" cm="1">
        <f t="array" ref="S1043">_xlfn.IFS($R1043&lt;=50,"Good",$R1043&lt;=100,"Moderate",$R1043&lt;=200,"Poor",$R1043&lt;=300,"Very Poor",$R1043&lt;=500,"Hazardous")</f>
        <v>Poor</v>
      </c>
      <c r="T1043" t="s">
        <v>27</v>
      </c>
      <c r="X1043" s="2"/>
      <c r="Y1043" s="2"/>
    </row>
    <row r="1044" spans="1:25" x14ac:dyDescent="0.3">
      <c r="A1044" s="2">
        <v>45500</v>
      </c>
      <c r="B1044" t="s">
        <v>22</v>
      </c>
      <c r="C1044" s="4">
        <v>36.5</v>
      </c>
      <c r="D1044" s="4">
        <v>98.4</v>
      </c>
      <c r="E1044" s="4">
        <v>34.200000000000003</v>
      </c>
      <c r="F1044" s="4">
        <v>2.02</v>
      </c>
      <c r="G1044" s="4">
        <v>8.1</v>
      </c>
      <c r="H1044" s="4">
        <v>0.45</v>
      </c>
      <c r="I1044" s="4">
        <v>19.899999999999999</v>
      </c>
      <c r="J1044" s="4">
        <v>66.599999999999994</v>
      </c>
      <c r="K1044" s="4">
        <v>1.55</v>
      </c>
      <c r="L1044" s="4">
        <v>60.833333333333343</v>
      </c>
      <c r="M1044" s="4">
        <v>98.4</v>
      </c>
      <c r="N1044" s="4">
        <v>42.75</v>
      </c>
      <c r="O1044" s="4">
        <v>5.05</v>
      </c>
      <c r="P1044" s="4">
        <v>20.25</v>
      </c>
      <c r="Q1044" s="4">
        <v>22.5</v>
      </c>
      <c r="R1044" s="4">
        <v>98</v>
      </c>
      <c r="S1044" s="4" t="str" cm="1">
        <f t="array" ref="S1044">_xlfn.IFS($R1044&lt;=50,"Good",$R1044&lt;=100,"Moderate",$R1044&lt;=200,"Poor",$R1044&lt;=300,"Very Poor",$R1044&lt;=500,"Hazardous")</f>
        <v>Moderate</v>
      </c>
      <c r="T1044" t="s">
        <v>28</v>
      </c>
      <c r="X1044" s="2"/>
      <c r="Y1044" s="2"/>
    </row>
    <row r="1045" spans="1:25" x14ac:dyDescent="0.3">
      <c r="A1045" s="2">
        <v>45500</v>
      </c>
      <c r="B1045" t="s">
        <v>23</v>
      </c>
      <c r="C1045" s="4">
        <v>89.9</v>
      </c>
      <c r="D1045" s="4">
        <v>145.30000000000001</v>
      </c>
      <c r="E1045" s="4">
        <v>48.9</v>
      </c>
      <c r="F1045" s="4">
        <v>5.92</v>
      </c>
      <c r="G1045" s="4">
        <v>77.900000000000006</v>
      </c>
      <c r="H1045" s="4">
        <v>0.86</v>
      </c>
      <c r="I1045" s="4">
        <v>24.8</v>
      </c>
      <c r="J1045" s="4">
        <v>63.1</v>
      </c>
      <c r="K1045" s="4">
        <v>3.34</v>
      </c>
      <c r="L1045" s="4">
        <v>149.83333333333329</v>
      </c>
      <c r="M1045" s="4">
        <v>145.30000000000001</v>
      </c>
      <c r="N1045" s="4">
        <v>61.125</v>
      </c>
      <c r="O1045" s="4">
        <v>14.8</v>
      </c>
      <c r="P1045" s="4">
        <v>194.75</v>
      </c>
      <c r="Q1045" s="4">
        <v>43</v>
      </c>
      <c r="R1045" s="4">
        <v>195</v>
      </c>
      <c r="S1045" s="4" t="str" cm="1">
        <f t="array" ref="S1045">_xlfn.IFS($R1045&lt;=50,"Good",$R1045&lt;=100,"Moderate",$R1045&lt;=200,"Poor",$R1045&lt;=300,"Very Poor",$R1045&lt;=500,"Hazardous")</f>
        <v>Poor</v>
      </c>
      <c r="T1045" t="s">
        <v>27</v>
      </c>
      <c r="X1045" s="2"/>
      <c r="Y1045" s="2"/>
    </row>
    <row r="1046" spans="1:25" x14ac:dyDescent="0.3">
      <c r="A1046" s="2">
        <v>45500</v>
      </c>
      <c r="B1046" t="s">
        <v>24</v>
      </c>
      <c r="C1046" s="4">
        <v>69.599999999999994</v>
      </c>
      <c r="D1046" s="4">
        <v>80.5</v>
      </c>
      <c r="E1046" s="4">
        <v>30.2</v>
      </c>
      <c r="F1046" s="4">
        <v>9.86</v>
      </c>
      <c r="G1046" s="4">
        <v>63.7</v>
      </c>
      <c r="H1046" s="4">
        <v>0.85</v>
      </c>
      <c r="I1046" s="4">
        <v>13.9</v>
      </c>
      <c r="J1046" s="4">
        <v>56.3</v>
      </c>
      <c r="K1046" s="4">
        <v>3.75</v>
      </c>
      <c r="L1046" s="4">
        <v>116</v>
      </c>
      <c r="M1046" s="4">
        <v>80.5</v>
      </c>
      <c r="N1046" s="4">
        <v>37.75</v>
      </c>
      <c r="O1046" s="4">
        <v>24.65</v>
      </c>
      <c r="P1046" s="4">
        <v>159.25</v>
      </c>
      <c r="Q1046" s="4">
        <v>42.499999999999993</v>
      </c>
      <c r="R1046" s="4">
        <v>159</v>
      </c>
      <c r="S1046" s="4" t="str" cm="1">
        <f t="array" ref="S1046">_xlfn.IFS($R1046&lt;=50,"Good",$R1046&lt;=100,"Moderate",$R1046&lt;=200,"Poor",$R1046&lt;=300,"Very Poor",$R1046&lt;=500,"Hazardous")</f>
        <v>Poor</v>
      </c>
      <c r="T1046" t="s">
        <v>27</v>
      </c>
      <c r="X1046" s="2"/>
      <c r="Y1046" s="2"/>
    </row>
    <row r="1047" spans="1:25" x14ac:dyDescent="0.3">
      <c r="A1047" s="2">
        <v>45501</v>
      </c>
      <c r="B1047" t="s">
        <v>20</v>
      </c>
      <c r="C1047" s="4">
        <v>105</v>
      </c>
      <c r="D1047" s="4">
        <v>44.3</v>
      </c>
      <c r="E1047" s="4">
        <v>33.6</v>
      </c>
      <c r="F1047" s="4">
        <v>5.57</v>
      </c>
      <c r="G1047" s="4">
        <v>85</v>
      </c>
      <c r="H1047" s="4">
        <v>1.08</v>
      </c>
      <c r="I1047" s="4">
        <v>18.600000000000001</v>
      </c>
      <c r="J1047" s="4">
        <v>70.099999999999994</v>
      </c>
      <c r="K1047" s="4">
        <v>2.0099999999999998</v>
      </c>
      <c r="L1047" s="4">
        <v>175</v>
      </c>
      <c r="M1047" s="4">
        <v>44.3</v>
      </c>
      <c r="N1047" s="4">
        <v>42</v>
      </c>
      <c r="O1047" s="4">
        <v>13.925000000000001</v>
      </c>
      <c r="P1047" s="4">
        <v>212.5</v>
      </c>
      <c r="Q1047" s="4">
        <v>54.000000000000007</v>
      </c>
      <c r="R1047" s="4">
        <v>212</v>
      </c>
      <c r="S1047" s="4" t="str" cm="1">
        <f t="array" ref="S1047">_xlfn.IFS($R1047&lt;=50,"Good",$R1047&lt;=100,"Moderate",$R1047&lt;=200,"Poor",$R1047&lt;=300,"Very Poor",$R1047&lt;=500,"Hazardous")</f>
        <v>Very Poor</v>
      </c>
      <c r="T1047" t="s">
        <v>27</v>
      </c>
      <c r="X1047" s="2"/>
      <c r="Y1047" s="2"/>
    </row>
    <row r="1048" spans="1:25" x14ac:dyDescent="0.3">
      <c r="A1048" s="2">
        <v>45501</v>
      </c>
      <c r="B1048" t="s">
        <v>21</v>
      </c>
      <c r="C1048" s="4">
        <v>23.3</v>
      </c>
      <c r="D1048" s="4">
        <v>66.400000000000006</v>
      </c>
      <c r="E1048" s="4">
        <v>79.7</v>
      </c>
      <c r="F1048" s="4">
        <v>9.92</v>
      </c>
      <c r="G1048" s="4">
        <v>53.4</v>
      </c>
      <c r="H1048" s="4">
        <v>1.05</v>
      </c>
      <c r="I1048" s="4">
        <v>27</v>
      </c>
      <c r="J1048" s="4">
        <v>65</v>
      </c>
      <c r="K1048" s="4">
        <v>2.85</v>
      </c>
      <c r="L1048" s="4">
        <v>38.833333333333343</v>
      </c>
      <c r="M1048" s="4">
        <v>66.400000000000006</v>
      </c>
      <c r="N1048" s="4">
        <v>99.625</v>
      </c>
      <c r="O1048" s="4">
        <v>24.8</v>
      </c>
      <c r="P1048" s="4">
        <v>133.5</v>
      </c>
      <c r="Q1048" s="4">
        <v>52.500000000000007</v>
      </c>
      <c r="R1048" s="4">
        <v>134</v>
      </c>
      <c r="S1048" s="4" t="str" cm="1">
        <f t="array" ref="S1048">_xlfn.IFS($R1048&lt;=50,"Good",$R1048&lt;=100,"Moderate",$R1048&lt;=200,"Poor",$R1048&lt;=300,"Very Poor",$R1048&lt;=500,"Hazardous")</f>
        <v>Poor</v>
      </c>
      <c r="T1048" t="s">
        <v>27</v>
      </c>
      <c r="X1048" s="2"/>
      <c r="Y1048" s="2"/>
    </row>
    <row r="1049" spans="1:25" x14ac:dyDescent="0.3">
      <c r="A1049" s="2">
        <v>45501</v>
      </c>
      <c r="B1049" t="s">
        <v>22</v>
      </c>
      <c r="C1049" s="4">
        <v>48.2</v>
      </c>
      <c r="D1049" s="4">
        <v>130.80000000000001</v>
      </c>
      <c r="E1049" s="4">
        <v>34.6</v>
      </c>
      <c r="F1049" s="4">
        <v>2.36</v>
      </c>
      <c r="G1049" s="4">
        <v>23.5</v>
      </c>
      <c r="H1049" s="4">
        <v>0.05</v>
      </c>
      <c r="I1049" s="4">
        <v>39.200000000000003</v>
      </c>
      <c r="J1049" s="4">
        <v>75.5</v>
      </c>
      <c r="K1049" s="4">
        <v>1.5</v>
      </c>
      <c r="L1049" s="4">
        <v>80.333333333333343</v>
      </c>
      <c r="M1049" s="4">
        <v>130.80000000000001</v>
      </c>
      <c r="N1049" s="4">
        <v>43.250000000000007</v>
      </c>
      <c r="O1049" s="4">
        <v>5.8999999999999986</v>
      </c>
      <c r="P1049" s="4">
        <v>58.75</v>
      </c>
      <c r="Q1049" s="4">
        <v>2.5</v>
      </c>
      <c r="R1049" s="4">
        <v>131</v>
      </c>
      <c r="S1049" s="4" t="str" cm="1">
        <f t="array" ref="S1049">_xlfn.IFS($R1049&lt;=50,"Good",$R1049&lt;=100,"Moderate",$R1049&lt;=200,"Poor",$R1049&lt;=300,"Very Poor",$R1049&lt;=500,"Hazardous")</f>
        <v>Poor</v>
      </c>
      <c r="T1049" t="s">
        <v>28</v>
      </c>
      <c r="X1049" s="2"/>
      <c r="Y1049" s="2"/>
    </row>
    <row r="1050" spans="1:25" x14ac:dyDescent="0.3">
      <c r="A1050" s="2">
        <v>45501</v>
      </c>
      <c r="B1050" t="s">
        <v>23</v>
      </c>
      <c r="C1050" s="4">
        <v>41.2</v>
      </c>
      <c r="D1050" s="4">
        <v>65.400000000000006</v>
      </c>
      <c r="E1050" s="4">
        <v>60.7</v>
      </c>
      <c r="F1050" s="4">
        <v>0.72</v>
      </c>
      <c r="G1050" s="4">
        <v>42.9</v>
      </c>
      <c r="H1050" s="4">
        <v>0.91</v>
      </c>
      <c r="I1050" s="4">
        <v>30.8</v>
      </c>
      <c r="J1050" s="4">
        <v>58.1</v>
      </c>
      <c r="K1050" s="4">
        <v>0.39</v>
      </c>
      <c r="L1050" s="4">
        <v>68.666666666666671</v>
      </c>
      <c r="M1050" s="4">
        <v>65.400000000000006</v>
      </c>
      <c r="N1050" s="4">
        <v>75.875</v>
      </c>
      <c r="O1050" s="4">
        <v>1.8</v>
      </c>
      <c r="P1050" s="4">
        <v>107.25</v>
      </c>
      <c r="Q1050" s="4">
        <v>45.5</v>
      </c>
      <c r="R1050" s="4">
        <v>107</v>
      </c>
      <c r="S1050" s="4" t="str" cm="1">
        <f t="array" ref="S1050">_xlfn.IFS($R1050&lt;=50,"Good",$R1050&lt;=100,"Moderate",$R1050&lt;=200,"Poor",$R1050&lt;=300,"Very Poor",$R1050&lt;=500,"Hazardous")</f>
        <v>Poor</v>
      </c>
      <c r="T1050" t="s">
        <v>27</v>
      </c>
      <c r="X1050" s="2"/>
      <c r="Y1050" s="2"/>
    </row>
    <row r="1051" spans="1:25" x14ac:dyDescent="0.3">
      <c r="A1051" s="2">
        <v>45501</v>
      </c>
      <c r="B1051" t="s">
        <v>24</v>
      </c>
      <c r="C1051" s="4">
        <v>46.2</v>
      </c>
      <c r="D1051" s="4">
        <v>54.3</v>
      </c>
      <c r="E1051" s="4">
        <v>41</v>
      </c>
      <c r="F1051" s="4">
        <v>13.35</v>
      </c>
      <c r="G1051" s="4">
        <v>1</v>
      </c>
      <c r="H1051" s="4">
        <v>0.63</v>
      </c>
      <c r="I1051" s="4">
        <v>21.1</v>
      </c>
      <c r="J1051" s="4">
        <v>53.1</v>
      </c>
      <c r="K1051" s="4">
        <v>3.89</v>
      </c>
      <c r="L1051" s="4">
        <v>77</v>
      </c>
      <c r="M1051" s="4">
        <v>54.3</v>
      </c>
      <c r="N1051" s="4">
        <v>51.25</v>
      </c>
      <c r="O1051" s="4">
        <v>33.375</v>
      </c>
      <c r="P1051" s="4">
        <v>2.5</v>
      </c>
      <c r="Q1051" s="4">
        <v>31.5</v>
      </c>
      <c r="R1051" s="4">
        <v>77</v>
      </c>
      <c r="S1051" s="4" t="str" cm="1">
        <f t="array" ref="S1051">_xlfn.IFS($R1051&lt;=50,"Good",$R1051&lt;=100,"Moderate",$R1051&lt;=200,"Poor",$R1051&lt;=300,"Very Poor",$R1051&lt;=500,"Hazardous")</f>
        <v>Moderate</v>
      </c>
      <c r="T1051" t="s">
        <v>25</v>
      </c>
      <c r="X1051" s="2"/>
      <c r="Y1051" s="2"/>
    </row>
    <row r="1052" spans="1:25" x14ac:dyDescent="0.3">
      <c r="A1052" s="2">
        <v>45502</v>
      </c>
      <c r="B1052" t="s">
        <v>20</v>
      </c>
      <c r="C1052" s="4">
        <v>50.4</v>
      </c>
      <c r="D1052" s="4">
        <v>133.4</v>
      </c>
      <c r="E1052" s="4">
        <v>29.9</v>
      </c>
      <c r="F1052" s="4">
        <v>8.42</v>
      </c>
      <c r="G1052" s="4">
        <v>68.400000000000006</v>
      </c>
      <c r="H1052" s="4">
        <v>0.7</v>
      </c>
      <c r="I1052" s="4">
        <v>30.5</v>
      </c>
      <c r="J1052" s="4">
        <v>60.9</v>
      </c>
      <c r="K1052" s="4">
        <v>3.75</v>
      </c>
      <c r="L1052" s="4">
        <v>83.999999999999986</v>
      </c>
      <c r="M1052" s="4">
        <v>133.4</v>
      </c>
      <c r="N1052" s="4">
        <v>37.375</v>
      </c>
      <c r="O1052" s="4">
        <v>21.05</v>
      </c>
      <c r="P1052" s="4">
        <v>171</v>
      </c>
      <c r="Q1052" s="4">
        <v>34.999999999999993</v>
      </c>
      <c r="R1052" s="4">
        <v>171</v>
      </c>
      <c r="S1052" s="4" t="str" cm="1">
        <f t="array" ref="S1052">_xlfn.IFS($R1052&lt;=50,"Good",$R1052&lt;=100,"Moderate",$R1052&lt;=200,"Poor",$R1052&lt;=300,"Very Poor",$R1052&lt;=500,"Hazardous")</f>
        <v>Poor</v>
      </c>
      <c r="T1052" t="s">
        <v>27</v>
      </c>
      <c r="X1052" s="2"/>
      <c r="Y1052" s="2"/>
    </row>
    <row r="1053" spans="1:25" x14ac:dyDescent="0.3">
      <c r="A1053" s="2">
        <v>45502</v>
      </c>
      <c r="B1053" t="s">
        <v>21</v>
      </c>
      <c r="C1053" s="4">
        <v>54</v>
      </c>
      <c r="D1053" s="4">
        <v>142.9</v>
      </c>
      <c r="E1053" s="4">
        <v>44.2</v>
      </c>
      <c r="F1053" s="4">
        <v>7.52</v>
      </c>
      <c r="G1053" s="4">
        <v>58.1</v>
      </c>
      <c r="H1053" s="4">
        <v>1.52</v>
      </c>
      <c r="I1053" s="4">
        <v>16.3</v>
      </c>
      <c r="J1053" s="4">
        <v>85.8</v>
      </c>
      <c r="K1053" s="4">
        <v>0.27</v>
      </c>
      <c r="L1053" s="4">
        <v>90</v>
      </c>
      <c r="M1053" s="4">
        <v>142.9</v>
      </c>
      <c r="N1053" s="4">
        <v>55.25</v>
      </c>
      <c r="O1053" s="4">
        <v>18.8</v>
      </c>
      <c r="P1053" s="4">
        <v>145.25</v>
      </c>
      <c r="Q1053" s="4">
        <v>76</v>
      </c>
      <c r="R1053" s="4">
        <v>145</v>
      </c>
      <c r="S1053" s="4" t="str" cm="1">
        <f t="array" ref="S1053">_xlfn.IFS($R1053&lt;=50,"Good",$R1053&lt;=100,"Moderate",$R1053&lt;=200,"Poor",$R1053&lt;=300,"Very Poor",$R1053&lt;=500,"Hazardous")</f>
        <v>Poor</v>
      </c>
      <c r="T1053" t="s">
        <v>27</v>
      </c>
      <c r="X1053" s="2"/>
      <c r="Y1053" s="2"/>
    </row>
    <row r="1054" spans="1:25" x14ac:dyDescent="0.3">
      <c r="A1054" s="2">
        <v>45502</v>
      </c>
      <c r="B1054" t="s">
        <v>22</v>
      </c>
      <c r="C1054" s="4">
        <v>30</v>
      </c>
      <c r="D1054" s="4">
        <v>86.9</v>
      </c>
      <c r="E1054" s="4">
        <v>40.5</v>
      </c>
      <c r="F1054" s="4">
        <v>12.07</v>
      </c>
      <c r="G1054" s="4">
        <v>1</v>
      </c>
      <c r="H1054" s="4">
        <v>0.68</v>
      </c>
      <c r="I1054" s="4">
        <v>10.1</v>
      </c>
      <c r="J1054" s="4">
        <v>60.6</v>
      </c>
      <c r="K1054" s="4">
        <v>2.83</v>
      </c>
      <c r="L1054" s="4">
        <v>50</v>
      </c>
      <c r="M1054" s="4">
        <v>86.9</v>
      </c>
      <c r="N1054" s="4">
        <v>50.625</v>
      </c>
      <c r="O1054" s="4">
        <v>30.175000000000001</v>
      </c>
      <c r="P1054" s="4">
        <v>2.5</v>
      </c>
      <c r="Q1054" s="4">
        <v>34</v>
      </c>
      <c r="R1054" s="4">
        <v>87</v>
      </c>
      <c r="S1054" s="4" t="str" cm="1">
        <f t="array" ref="S1054">_xlfn.IFS($R1054&lt;=50,"Good",$R1054&lt;=100,"Moderate",$R1054&lt;=200,"Poor",$R1054&lt;=300,"Very Poor",$R1054&lt;=500,"Hazardous")</f>
        <v>Moderate</v>
      </c>
      <c r="T1054" t="s">
        <v>28</v>
      </c>
      <c r="X1054" s="2"/>
      <c r="Y1054" s="2"/>
    </row>
    <row r="1055" spans="1:25" x14ac:dyDescent="0.3">
      <c r="A1055" s="2">
        <v>45502</v>
      </c>
      <c r="B1055" t="s">
        <v>23</v>
      </c>
      <c r="C1055" s="4">
        <v>86.2</v>
      </c>
      <c r="D1055" s="4">
        <v>101.8</v>
      </c>
      <c r="E1055" s="4">
        <v>52.7</v>
      </c>
      <c r="F1055" s="4">
        <v>8.74</v>
      </c>
      <c r="G1055" s="4">
        <v>29.1</v>
      </c>
      <c r="H1055" s="4">
        <v>0.28000000000000003</v>
      </c>
      <c r="I1055" s="4">
        <v>26.9</v>
      </c>
      <c r="J1055" s="4">
        <v>33.1</v>
      </c>
      <c r="K1055" s="4">
        <v>4.05</v>
      </c>
      <c r="L1055" s="4">
        <v>143.66666666666671</v>
      </c>
      <c r="M1055" s="4">
        <v>101.8</v>
      </c>
      <c r="N1055" s="4">
        <v>65.875</v>
      </c>
      <c r="O1055" s="4">
        <v>21.85</v>
      </c>
      <c r="P1055" s="4">
        <v>72.750000000000014</v>
      </c>
      <c r="Q1055" s="4">
        <v>14</v>
      </c>
      <c r="R1055" s="4">
        <v>144</v>
      </c>
      <c r="S1055" s="4" t="str" cm="1">
        <f t="array" ref="S1055">_xlfn.IFS($R1055&lt;=50,"Good",$R1055&lt;=100,"Moderate",$R1055&lt;=200,"Poor",$R1055&lt;=300,"Very Poor",$R1055&lt;=500,"Hazardous")</f>
        <v>Poor</v>
      </c>
      <c r="T1055" t="s">
        <v>25</v>
      </c>
      <c r="X1055" s="2"/>
      <c r="Y1055" s="2"/>
    </row>
    <row r="1056" spans="1:25" x14ac:dyDescent="0.3">
      <c r="A1056" s="2">
        <v>45502</v>
      </c>
      <c r="B1056" t="s">
        <v>24</v>
      </c>
      <c r="C1056" s="4">
        <v>48.5</v>
      </c>
      <c r="D1056" s="4">
        <v>168.7</v>
      </c>
      <c r="E1056" s="4">
        <v>31.1</v>
      </c>
      <c r="F1056" s="4">
        <v>8.2200000000000006</v>
      </c>
      <c r="G1056" s="4">
        <v>49.8</v>
      </c>
      <c r="H1056" s="4">
        <v>1.03</v>
      </c>
      <c r="I1056" s="4">
        <v>22</v>
      </c>
      <c r="J1056" s="4">
        <v>67.099999999999994</v>
      </c>
      <c r="K1056" s="4">
        <v>1.89</v>
      </c>
      <c r="L1056" s="4">
        <v>80.833333333333329</v>
      </c>
      <c r="M1056" s="4">
        <v>168.7</v>
      </c>
      <c r="N1056" s="4">
        <v>38.875</v>
      </c>
      <c r="O1056" s="4">
        <v>20.55</v>
      </c>
      <c r="P1056" s="4">
        <v>124.5</v>
      </c>
      <c r="Q1056" s="4">
        <v>51.500000000000007</v>
      </c>
      <c r="R1056" s="4">
        <v>169</v>
      </c>
      <c r="S1056" s="4" t="str" cm="1">
        <f t="array" ref="S1056">_xlfn.IFS($R1056&lt;=50,"Good",$R1056&lt;=100,"Moderate",$R1056&lt;=200,"Poor",$R1056&lt;=300,"Very Poor",$R1056&lt;=500,"Hazardous")</f>
        <v>Poor</v>
      </c>
      <c r="T1056" t="s">
        <v>28</v>
      </c>
      <c r="X1056" s="2"/>
      <c r="Y1056" s="2"/>
    </row>
    <row r="1057" spans="1:25" x14ac:dyDescent="0.3">
      <c r="A1057" s="2">
        <v>45503</v>
      </c>
      <c r="B1057" t="s">
        <v>20</v>
      </c>
      <c r="C1057" s="4">
        <v>21.8</v>
      </c>
      <c r="D1057" s="4">
        <v>179</v>
      </c>
      <c r="E1057" s="4">
        <v>54.8</v>
      </c>
      <c r="F1057" s="4">
        <v>7.66</v>
      </c>
      <c r="G1057" s="4">
        <v>93.9</v>
      </c>
      <c r="H1057" s="4">
        <v>0.96</v>
      </c>
      <c r="I1057" s="4">
        <v>34.299999999999997</v>
      </c>
      <c r="J1057" s="4">
        <v>63.2</v>
      </c>
      <c r="K1057" s="4">
        <v>1.27</v>
      </c>
      <c r="L1057" s="4">
        <v>36.333333333333343</v>
      </c>
      <c r="M1057" s="4">
        <v>179</v>
      </c>
      <c r="N1057" s="4">
        <v>68.499999999999986</v>
      </c>
      <c r="O1057" s="4">
        <v>19.149999999999999</v>
      </c>
      <c r="P1057" s="4">
        <v>234.75</v>
      </c>
      <c r="Q1057" s="4">
        <v>48</v>
      </c>
      <c r="R1057" s="4">
        <v>235</v>
      </c>
      <c r="S1057" s="4" t="str" cm="1">
        <f t="array" ref="S1057">_xlfn.IFS($R1057&lt;=50,"Good",$R1057&lt;=100,"Moderate",$R1057&lt;=200,"Poor",$R1057&lt;=300,"Very Poor",$R1057&lt;=500,"Hazardous")</f>
        <v>Very Poor</v>
      </c>
      <c r="T1057" t="s">
        <v>27</v>
      </c>
      <c r="X1057" s="2"/>
      <c r="Y1057" s="2"/>
    </row>
    <row r="1058" spans="1:25" x14ac:dyDescent="0.3">
      <c r="A1058" s="2">
        <v>45503</v>
      </c>
      <c r="B1058" t="s">
        <v>21</v>
      </c>
      <c r="C1058" s="4">
        <v>115.4</v>
      </c>
      <c r="D1058" s="4">
        <v>179.4</v>
      </c>
      <c r="E1058" s="4">
        <v>42.6</v>
      </c>
      <c r="F1058" s="4">
        <v>11.64</v>
      </c>
      <c r="G1058" s="4">
        <v>37.4</v>
      </c>
      <c r="H1058" s="4">
        <v>1.7</v>
      </c>
      <c r="I1058" s="4">
        <v>8.3000000000000007</v>
      </c>
      <c r="J1058" s="4">
        <v>41.6</v>
      </c>
      <c r="K1058" s="4">
        <v>3.68</v>
      </c>
      <c r="L1058" s="4">
        <v>192.33333333333329</v>
      </c>
      <c r="M1058" s="4">
        <v>179.4</v>
      </c>
      <c r="N1058" s="4">
        <v>53.25</v>
      </c>
      <c r="O1058" s="4">
        <v>29.1</v>
      </c>
      <c r="P1058" s="4">
        <v>93.5</v>
      </c>
      <c r="Q1058" s="4">
        <v>84.999999999999986</v>
      </c>
      <c r="R1058" s="4">
        <v>192</v>
      </c>
      <c r="S1058" s="4" t="str" cm="1">
        <f t="array" ref="S1058">_xlfn.IFS($R1058&lt;=50,"Good",$R1058&lt;=100,"Moderate",$R1058&lt;=200,"Poor",$R1058&lt;=300,"Very Poor",$R1058&lt;=500,"Hazardous")</f>
        <v>Poor</v>
      </c>
      <c r="T1058" t="s">
        <v>25</v>
      </c>
      <c r="X1058" s="2"/>
      <c r="Y1058" s="2"/>
    </row>
    <row r="1059" spans="1:25" x14ac:dyDescent="0.3">
      <c r="A1059" s="2">
        <v>45503</v>
      </c>
      <c r="B1059" t="s">
        <v>22</v>
      </c>
      <c r="C1059" s="4">
        <v>39.9</v>
      </c>
      <c r="D1059" s="4">
        <v>100.7</v>
      </c>
      <c r="E1059" s="4">
        <v>13.7</v>
      </c>
      <c r="F1059" s="4">
        <v>13.1</v>
      </c>
      <c r="G1059" s="4">
        <v>66.3</v>
      </c>
      <c r="H1059" s="4">
        <v>0.82</v>
      </c>
      <c r="I1059" s="4">
        <v>22.2</v>
      </c>
      <c r="J1059" s="4">
        <v>78.5</v>
      </c>
      <c r="K1059" s="4">
        <v>4.88</v>
      </c>
      <c r="L1059" s="4">
        <v>66.5</v>
      </c>
      <c r="M1059" s="4">
        <v>100.7</v>
      </c>
      <c r="N1059" s="4">
        <v>17.125</v>
      </c>
      <c r="O1059" s="4">
        <v>32.75</v>
      </c>
      <c r="P1059" s="4">
        <v>165.75</v>
      </c>
      <c r="Q1059" s="4">
        <v>40.999999999999993</v>
      </c>
      <c r="R1059" s="4">
        <v>166</v>
      </c>
      <c r="S1059" s="4" t="str" cm="1">
        <f t="array" ref="S1059">_xlfn.IFS($R1059&lt;=50,"Good",$R1059&lt;=100,"Moderate",$R1059&lt;=200,"Poor",$R1059&lt;=300,"Very Poor",$R1059&lt;=500,"Hazardous")</f>
        <v>Poor</v>
      </c>
      <c r="T1059" t="s">
        <v>27</v>
      </c>
      <c r="X1059" s="2"/>
      <c r="Y1059" s="2"/>
    </row>
    <row r="1060" spans="1:25" x14ac:dyDescent="0.3">
      <c r="A1060" s="2">
        <v>45503</v>
      </c>
      <c r="B1060" t="s">
        <v>23</v>
      </c>
      <c r="C1060" s="4">
        <v>70.900000000000006</v>
      </c>
      <c r="D1060" s="4">
        <v>200.2</v>
      </c>
      <c r="E1060" s="4">
        <v>21.2</v>
      </c>
      <c r="F1060" s="4">
        <v>3.12</v>
      </c>
      <c r="G1060" s="4">
        <v>10.3</v>
      </c>
      <c r="H1060" s="4">
        <v>1.17</v>
      </c>
      <c r="I1060" s="4">
        <v>26.2</v>
      </c>
      <c r="J1060" s="4">
        <v>57.3</v>
      </c>
      <c r="K1060" s="4">
        <v>3.47</v>
      </c>
      <c r="L1060" s="4">
        <v>118.1666666666667</v>
      </c>
      <c r="M1060" s="4">
        <v>200.2</v>
      </c>
      <c r="N1060" s="4">
        <v>26.5</v>
      </c>
      <c r="O1060" s="4">
        <v>7.8000000000000007</v>
      </c>
      <c r="P1060" s="4">
        <v>25.75</v>
      </c>
      <c r="Q1060" s="4">
        <v>58.5</v>
      </c>
      <c r="R1060" s="4">
        <v>200</v>
      </c>
      <c r="S1060" s="4" t="str" cm="1">
        <f t="array" ref="S1060">_xlfn.IFS($R1060&lt;=50,"Good",$R1060&lt;=100,"Moderate",$R1060&lt;=200,"Poor",$R1060&lt;=300,"Very Poor",$R1060&lt;=500,"Hazardous")</f>
        <v>Poor</v>
      </c>
      <c r="T1060" t="s">
        <v>28</v>
      </c>
      <c r="X1060" s="2"/>
      <c r="Y1060" s="2"/>
    </row>
    <row r="1061" spans="1:25" x14ac:dyDescent="0.3">
      <c r="A1061" s="2">
        <v>45503</v>
      </c>
      <c r="B1061" t="s">
        <v>24</v>
      </c>
      <c r="C1061" s="4">
        <v>85.3</v>
      </c>
      <c r="D1061" s="4">
        <v>25</v>
      </c>
      <c r="E1061" s="4">
        <v>29.1</v>
      </c>
      <c r="F1061" s="4">
        <v>10.65</v>
      </c>
      <c r="G1061" s="4">
        <v>31.1</v>
      </c>
      <c r="H1061" s="4">
        <v>0.63</v>
      </c>
      <c r="I1061" s="4">
        <v>32.1</v>
      </c>
      <c r="J1061" s="4">
        <v>36.799999999999997</v>
      </c>
      <c r="K1061" s="4">
        <v>2.64</v>
      </c>
      <c r="L1061" s="4">
        <v>142.16666666666671</v>
      </c>
      <c r="M1061" s="4">
        <v>25</v>
      </c>
      <c r="N1061" s="4">
        <v>36.375000000000007</v>
      </c>
      <c r="O1061" s="4">
        <v>26.625</v>
      </c>
      <c r="P1061" s="4">
        <v>77.75</v>
      </c>
      <c r="Q1061" s="4">
        <v>31.5</v>
      </c>
      <c r="R1061" s="4">
        <v>142</v>
      </c>
      <c r="S1061" s="4" t="str" cm="1">
        <f t="array" ref="S1061">_xlfn.IFS($R1061&lt;=50,"Good",$R1061&lt;=100,"Moderate",$R1061&lt;=200,"Poor",$R1061&lt;=300,"Very Poor",$R1061&lt;=500,"Hazardous")</f>
        <v>Poor</v>
      </c>
      <c r="T1061" t="s">
        <v>25</v>
      </c>
      <c r="X1061" s="2"/>
      <c r="Y1061" s="2"/>
    </row>
    <row r="1062" spans="1:25" x14ac:dyDescent="0.3">
      <c r="A1062" s="2">
        <v>45504</v>
      </c>
      <c r="B1062" t="s">
        <v>20</v>
      </c>
      <c r="C1062" s="4">
        <v>64.3</v>
      </c>
      <c r="D1062" s="4">
        <v>78.7</v>
      </c>
      <c r="E1062" s="4">
        <v>55.8</v>
      </c>
      <c r="F1062" s="4">
        <v>4.74</v>
      </c>
      <c r="G1062" s="4">
        <v>86.5</v>
      </c>
      <c r="H1062" s="4">
        <v>1.03</v>
      </c>
      <c r="I1062" s="4">
        <v>29.7</v>
      </c>
      <c r="J1062" s="4">
        <v>73.400000000000006</v>
      </c>
      <c r="K1062" s="4">
        <v>1.75</v>
      </c>
      <c r="L1062" s="4">
        <v>107.1666666666667</v>
      </c>
      <c r="M1062" s="4">
        <v>78.7</v>
      </c>
      <c r="N1062" s="4">
        <v>69.749999999999986</v>
      </c>
      <c r="O1062" s="4">
        <v>11.85</v>
      </c>
      <c r="P1062" s="4">
        <v>216.25</v>
      </c>
      <c r="Q1062" s="4">
        <v>51.500000000000007</v>
      </c>
      <c r="R1062" s="4">
        <v>216</v>
      </c>
      <c r="S1062" s="4" t="str" cm="1">
        <f t="array" ref="S1062">_xlfn.IFS($R1062&lt;=50,"Good",$R1062&lt;=100,"Moderate",$R1062&lt;=200,"Poor",$R1062&lt;=300,"Very Poor",$R1062&lt;=500,"Hazardous")</f>
        <v>Very Poor</v>
      </c>
      <c r="T1062" t="s">
        <v>27</v>
      </c>
      <c r="X1062" s="2"/>
      <c r="Y1062" s="2"/>
    </row>
    <row r="1063" spans="1:25" x14ac:dyDescent="0.3">
      <c r="A1063" s="2">
        <v>45504</v>
      </c>
      <c r="B1063" t="s">
        <v>21</v>
      </c>
      <c r="C1063" s="4">
        <v>2</v>
      </c>
      <c r="D1063" s="4">
        <v>141.6</v>
      </c>
      <c r="E1063" s="4">
        <v>46.4</v>
      </c>
      <c r="F1063" s="4">
        <v>10.78</v>
      </c>
      <c r="G1063" s="4">
        <v>42.9</v>
      </c>
      <c r="H1063" s="4">
        <v>0.94</v>
      </c>
      <c r="I1063" s="4">
        <v>39.1</v>
      </c>
      <c r="J1063" s="4">
        <v>33.5</v>
      </c>
      <c r="K1063" s="4">
        <v>3.38</v>
      </c>
      <c r="L1063" s="4">
        <v>3.333333333333333</v>
      </c>
      <c r="M1063" s="4">
        <v>141.6</v>
      </c>
      <c r="N1063" s="4">
        <v>57.999999999999993</v>
      </c>
      <c r="O1063" s="4">
        <v>26.95</v>
      </c>
      <c r="P1063" s="4">
        <v>107.25</v>
      </c>
      <c r="Q1063" s="4">
        <v>47</v>
      </c>
      <c r="R1063" s="4">
        <v>142</v>
      </c>
      <c r="S1063" s="4" t="str" cm="1">
        <f t="array" ref="S1063">_xlfn.IFS($R1063&lt;=50,"Good",$R1063&lt;=100,"Moderate",$R1063&lt;=200,"Poor",$R1063&lt;=300,"Very Poor",$R1063&lt;=500,"Hazardous")</f>
        <v>Poor</v>
      </c>
      <c r="T1063" t="s">
        <v>28</v>
      </c>
      <c r="X1063" s="2"/>
      <c r="Y1063" s="2"/>
    </row>
    <row r="1064" spans="1:25" x14ac:dyDescent="0.3">
      <c r="A1064" s="2">
        <v>45504</v>
      </c>
      <c r="B1064" t="s">
        <v>22</v>
      </c>
      <c r="C1064" s="4">
        <v>32.5</v>
      </c>
      <c r="D1064" s="4">
        <v>75.900000000000006</v>
      </c>
      <c r="E1064" s="4">
        <v>29.4</v>
      </c>
      <c r="F1064" s="4">
        <v>3.03</v>
      </c>
      <c r="G1064" s="4">
        <v>51.6</v>
      </c>
      <c r="H1064" s="4">
        <v>1.55</v>
      </c>
      <c r="I1064" s="4">
        <v>28.3</v>
      </c>
      <c r="J1064" s="4">
        <v>61.9</v>
      </c>
      <c r="K1064" s="4">
        <v>1.32</v>
      </c>
      <c r="L1064" s="4">
        <v>54.166666666666671</v>
      </c>
      <c r="M1064" s="4">
        <v>75.900000000000006</v>
      </c>
      <c r="N1064" s="4">
        <v>36.75</v>
      </c>
      <c r="O1064" s="4">
        <v>7.5749999999999993</v>
      </c>
      <c r="P1064" s="4">
        <v>129</v>
      </c>
      <c r="Q1064" s="4">
        <v>77.5</v>
      </c>
      <c r="R1064" s="4">
        <v>129</v>
      </c>
      <c r="S1064" s="4" t="str" cm="1">
        <f t="array" ref="S1064">_xlfn.IFS($R1064&lt;=50,"Good",$R1064&lt;=100,"Moderate",$R1064&lt;=200,"Poor",$R1064&lt;=300,"Very Poor",$R1064&lt;=500,"Hazardous")</f>
        <v>Poor</v>
      </c>
      <c r="T1064" t="s">
        <v>27</v>
      </c>
      <c r="X1064" s="2"/>
      <c r="Y1064" s="2"/>
    </row>
    <row r="1065" spans="1:25" x14ac:dyDescent="0.3">
      <c r="A1065" s="2">
        <v>45504</v>
      </c>
      <c r="B1065" t="s">
        <v>23</v>
      </c>
      <c r="C1065" s="4">
        <v>60.4</v>
      </c>
      <c r="D1065" s="4">
        <v>199.5</v>
      </c>
      <c r="E1065" s="4">
        <v>29.9</v>
      </c>
      <c r="F1065" s="4">
        <v>4.9000000000000004</v>
      </c>
      <c r="G1065" s="4">
        <v>26</v>
      </c>
      <c r="H1065" s="4">
        <v>0.73</v>
      </c>
      <c r="I1065" s="4">
        <v>5.8</v>
      </c>
      <c r="J1065" s="4">
        <v>67.3</v>
      </c>
      <c r="K1065" s="4">
        <v>1.49</v>
      </c>
      <c r="L1065" s="4">
        <v>100.6666666666667</v>
      </c>
      <c r="M1065" s="4">
        <v>199.5</v>
      </c>
      <c r="N1065" s="4">
        <v>37.375</v>
      </c>
      <c r="O1065" s="4">
        <v>12.25</v>
      </c>
      <c r="P1065" s="4">
        <v>65</v>
      </c>
      <c r="Q1065" s="4">
        <v>36.5</v>
      </c>
      <c r="R1065" s="4">
        <v>200</v>
      </c>
      <c r="S1065" s="4" t="str" cm="1">
        <f t="array" ref="S1065">_xlfn.IFS($R1065&lt;=50,"Good",$R1065&lt;=100,"Moderate",$R1065&lt;=200,"Poor",$R1065&lt;=300,"Very Poor",$R1065&lt;=500,"Hazardous")</f>
        <v>Poor</v>
      </c>
      <c r="T1065" t="s">
        <v>28</v>
      </c>
      <c r="X1065" s="2"/>
      <c r="Y1065" s="2"/>
    </row>
    <row r="1066" spans="1:25" x14ac:dyDescent="0.3">
      <c r="A1066" s="2">
        <v>45504</v>
      </c>
      <c r="B1066" t="s">
        <v>24</v>
      </c>
      <c r="C1066" s="4">
        <v>10.3</v>
      </c>
      <c r="D1066" s="4">
        <v>145.4</v>
      </c>
      <c r="E1066" s="4">
        <v>20.6</v>
      </c>
      <c r="F1066" s="4">
        <v>5.55</v>
      </c>
      <c r="G1066" s="4">
        <v>84.3</v>
      </c>
      <c r="H1066" s="4">
        <v>0.31</v>
      </c>
      <c r="I1066" s="4">
        <v>14.3</v>
      </c>
      <c r="J1066" s="4">
        <v>64.8</v>
      </c>
      <c r="K1066" s="4">
        <v>4.38</v>
      </c>
      <c r="L1066" s="4">
        <v>17.166666666666671</v>
      </c>
      <c r="M1066" s="4">
        <v>145.4</v>
      </c>
      <c r="N1066" s="4">
        <v>25.75</v>
      </c>
      <c r="O1066" s="4">
        <v>13.875</v>
      </c>
      <c r="P1066" s="4">
        <v>210.75</v>
      </c>
      <c r="Q1066" s="4">
        <v>15.5</v>
      </c>
      <c r="R1066" s="4">
        <v>211</v>
      </c>
      <c r="S1066" s="4" t="str" cm="1">
        <f t="array" ref="S1066">_xlfn.IFS($R1066&lt;=50,"Good",$R1066&lt;=100,"Moderate",$R1066&lt;=200,"Poor",$R1066&lt;=300,"Very Poor",$R1066&lt;=500,"Hazardous")</f>
        <v>Very Poor</v>
      </c>
      <c r="T1066" t="s">
        <v>27</v>
      </c>
      <c r="X1066" s="2"/>
      <c r="Y1066" s="2"/>
    </row>
    <row r="1067" spans="1:25" x14ac:dyDescent="0.3">
      <c r="A1067" s="2">
        <v>45505</v>
      </c>
      <c r="B1067" t="s">
        <v>20</v>
      </c>
      <c r="C1067" s="4">
        <v>11.7</v>
      </c>
      <c r="D1067" s="4">
        <v>132.9</v>
      </c>
      <c r="E1067" s="4">
        <v>52.1</v>
      </c>
      <c r="F1067" s="4">
        <v>0.5</v>
      </c>
      <c r="G1067" s="4">
        <v>69</v>
      </c>
      <c r="H1067" s="4">
        <v>1.59</v>
      </c>
      <c r="I1067" s="4">
        <v>22.8</v>
      </c>
      <c r="J1067" s="4">
        <v>82.5</v>
      </c>
      <c r="K1067" s="4">
        <v>3.86</v>
      </c>
      <c r="L1067" s="4">
        <v>19.5</v>
      </c>
      <c r="M1067" s="4">
        <v>132.9</v>
      </c>
      <c r="N1067" s="4">
        <v>65.125</v>
      </c>
      <c r="O1067" s="4">
        <v>1.25</v>
      </c>
      <c r="P1067" s="4">
        <v>172.5</v>
      </c>
      <c r="Q1067" s="4">
        <v>79.5</v>
      </c>
      <c r="R1067" s="4">
        <v>172</v>
      </c>
      <c r="S1067" s="4" t="str" cm="1">
        <f t="array" ref="S1067">_xlfn.IFS($R1067&lt;=50,"Good",$R1067&lt;=100,"Moderate",$R1067&lt;=200,"Poor",$R1067&lt;=300,"Very Poor",$R1067&lt;=500,"Hazardous")</f>
        <v>Poor</v>
      </c>
      <c r="T1067" t="s">
        <v>27</v>
      </c>
      <c r="X1067" s="2"/>
      <c r="Y1067" s="2"/>
    </row>
    <row r="1068" spans="1:25" x14ac:dyDescent="0.3">
      <c r="A1068" s="2">
        <v>45505</v>
      </c>
      <c r="B1068" t="s">
        <v>21</v>
      </c>
      <c r="C1068" s="4">
        <v>63.1</v>
      </c>
      <c r="D1068" s="4">
        <v>92.9</v>
      </c>
      <c r="E1068" s="4">
        <v>25.5</v>
      </c>
      <c r="F1068" s="4">
        <v>7.81</v>
      </c>
      <c r="G1068" s="4">
        <v>67.8</v>
      </c>
      <c r="H1068" s="4">
        <v>1.01</v>
      </c>
      <c r="I1068" s="4">
        <v>9.6</v>
      </c>
      <c r="J1068" s="4">
        <v>82.8</v>
      </c>
      <c r="K1068" s="4">
        <v>2.73</v>
      </c>
      <c r="L1068" s="4">
        <v>105.1666666666667</v>
      </c>
      <c r="M1068" s="4">
        <v>92.9</v>
      </c>
      <c r="N1068" s="4">
        <v>31.875</v>
      </c>
      <c r="O1068" s="4">
        <v>19.524999999999999</v>
      </c>
      <c r="P1068" s="4">
        <v>169.5</v>
      </c>
      <c r="Q1068" s="4">
        <v>50.5</v>
      </c>
      <c r="R1068" s="4">
        <v>169</v>
      </c>
      <c r="S1068" s="4" t="str" cm="1">
        <f t="array" ref="S1068">_xlfn.IFS($R1068&lt;=50,"Good",$R1068&lt;=100,"Moderate",$R1068&lt;=200,"Poor",$R1068&lt;=300,"Very Poor",$R1068&lt;=500,"Hazardous")</f>
        <v>Poor</v>
      </c>
      <c r="T1068" t="s">
        <v>27</v>
      </c>
      <c r="X1068" s="2"/>
      <c r="Y1068" s="2"/>
    </row>
    <row r="1069" spans="1:25" x14ac:dyDescent="0.3">
      <c r="A1069" s="2">
        <v>45505</v>
      </c>
      <c r="B1069" t="s">
        <v>22</v>
      </c>
      <c r="C1069" s="4">
        <v>36.9</v>
      </c>
      <c r="D1069" s="4">
        <v>130.30000000000001</v>
      </c>
      <c r="E1069" s="4">
        <v>57.4</v>
      </c>
      <c r="F1069" s="4">
        <v>0.5</v>
      </c>
      <c r="G1069" s="4">
        <v>48.3</v>
      </c>
      <c r="H1069" s="4">
        <v>0.26</v>
      </c>
      <c r="I1069" s="4">
        <v>28.5</v>
      </c>
      <c r="J1069" s="4">
        <v>62.3</v>
      </c>
      <c r="K1069" s="4">
        <v>3.26</v>
      </c>
      <c r="L1069" s="4">
        <v>61.5</v>
      </c>
      <c r="M1069" s="4">
        <v>130.30000000000001</v>
      </c>
      <c r="N1069" s="4">
        <v>71.75</v>
      </c>
      <c r="O1069" s="4">
        <v>1.25</v>
      </c>
      <c r="P1069" s="4">
        <v>120.75</v>
      </c>
      <c r="Q1069" s="4">
        <v>13</v>
      </c>
      <c r="R1069" s="4">
        <v>130</v>
      </c>
      <c r="S1069" s="4" t="str" cm="1">
        <f t="array" ref="S1069">_xlfn.IFS($R1069&lt;=50,"Good",$R1069&lt;=100,"Moderate",$R1069&lt;=200,"Poor",$R1069&lt;=300,"Very Poor",$R1069&lt;=500,"Hazardous")</f>
        <v>Poor</v>
      </c>
      <c r="T1069" t="s">
        <v>28</v>
      </c>
      <c r="X1069" s="2"/>
      <c r="Y1069" s="2"/>
    </row>
    <row r="1070" spans="1:25" x14ac:dyDescent="0.3">
      <c r="A1070" s="2">
        <v>45505</v>
      </c>
      <c r="B1070" t="s">
        <v>23</v>
      </c>
      <c r="C1070" s="4">
        <v>36</v>
      </c>
      <c r="D1070" s="4">
        <v>6.1</v>
      </c>
      <c r="E1070" s="4">
        <v>28.8</v>
      </c>
      <c r="F1070" s="4">
        <v>8.0299999999999994</v>
      </c>
      <c r="G1070" s="4">
        <v>65.400000000000006</v>
      </c>
      <c r="H1070" s="4">
        <v>0.4</v>
      </c>
      <c r="I1070" s="4">
        <v>32.200000000000003</v>
      </c>
      <c r="J1070" s="4">
        <v>48.3</v>
      </c>
      <c r="K1070" s="4">
        <v>2.93</v>
      </c>
      <c r="L1070" s="4">
        <v>60</v>
      </c>
      <c r="M1070" s="4">
        <v>6.1</v>
      </c>
      <c r="N1070" s="4">
        <v>36.000000000000007</v>
      </c>
      <c r="O1070" s="4">
        <v>20.074999999999999</v>
      </c>
      <c r="P1070" s="4">
        <v>163.5</v>
      </c>
      <c r="Q1070" s="4">
        <v>20</v>
      </c>
      <c r="R1070" s="4">
        <v>164</v>
      </c>
      <c r="S1070" s="4" t="str" cm="1">
        <f t="array" ref="S1070">_xlfn.IFS($R1070&lt;=50,"Good",$R1070&lt;=100,"Moderate",$R1070&lt;=200,"Poor",$R1070&lt;=300,"Very Poor",$R1070&lt;=500,"Hazardous")</f>
        <v>Poor</v>
      </c>
      <c r="T1070" t="s">
        <v>27</v>
      </c>
      <c r="X1070" s="2"/>
      <c r="Y1070" s="2"/>
    </row>
    <row r="1071" spans="1:25" x14ac:dyDescent="0.3">
      <c r="A1071" s="2">
        <v>45505</v>
      </c>
      <c r="B1071" t="s">
        <v>24</v>
      </c>
      <c r="C1071" s="4">
        <v>39.299999999999997</v>
      </c>
      <c r="D1071" s="4">
        <v>115.2</v>
      </c>
      <c r="E1071" s="4">
        <v>55.3</v>
      </c>
      <c r="F1071" s="4">
        <v>1.64</v>
      </c>
      <c r="G1071" s="4">
        <v>25.3</v>
      </c>
      <c r="H1071" s="4">
        <v>1.1499999999999999</v>
      </c>
      <c r="I1071" s="4">
        <v>41.8</v>
      </c>
      <c r="J1071" s="4">
        <v>44.5</v>
      </c>
      <c r="K1071" s="4">
        <v>5.45</v>
      </c>
      <c r="L1071" s="4">
        <v>65.499999999999986</v>
      </c>
      <c r="M1071" s="4">
        <v>115.2</v>
      </c>
      <c r="N1071" s="4">
        <v>69.124999999999986</v>
      </c>
      <c r="O1071" s="4">
        <v>4.0999999999999996</v>
      </c>
      <c r="P1071" s="4">
        <v>63.25</v>
      </c>
      <c r="Q1071" s="4">
        <v>57.499999999999993</v>
      </c>
      <c r="R1071" s="4">
        <v>115</v>
      </c>
      <c r="S1071" s="4" t="str" cm="1">
        <f t="array" ref="S1071">_xlfn.IFS($R1071&lt;=50,"Good",$R1071&lt;=100,"Moderate",$R1071&lt;=200,"Poor",$R1071&lt;=300,"Very Poor",$R1071&lt;=500,"Hazardous")</f>
        <v>Poor</v>
      </c>
      <c r="T1071" t="s">
        <v>28</v>
      </c>
      <c r="X1071" s="2"/>
      <c r="Y1071" s="2"/>
    </row>
    <row r="1072" spans="1:25" x14ac:dyDescent="0.3">
      <c r="A1072" s="2">
        <v>45506</v>
      </c>
      <c r="B1072" t="s">
        <v>20</v>
      </c>
      <c r="C1072" s="4">
        <v>110.5</v>
      </c>
      <c r="D1072" s="4">
        <v>105</v>
      </c>
      <c r="E1072" s="4">
        <v>35.9</v>
      </c>
      <c r="F1072" s="4">
        <v>4.18</v>
      </c>
      <c r="G1072" s="4">
        <v>44</v>
      </c>
      <c r="H1072" s="4">
        <v>0.33</v>
      </c>
      <c r="I1072" s="4">
        <v>24.5</v>
      </c>
      <c r="J1072" s="4">
        <v>86.9</v>
      </c>
      <c r="K1072" s="4">
        <v>1.77</v>
      </c>
      <c r="L1072" s="4">
        <v>184.16666666666671</v>
      </c>
      <c r="M1072" s="4">
        <v>105</v>
      </c>
      <c r="N1072" s="4">
        <v>44.875</v>
      </c>
      <c r="O1072" s="4">
        <v>10.45</v>
      </c>
      <c r="P1072" s="4">
        <v>110</v>
      </c>
      <c r="Q1072" s="4">
        <v>16.5</v>
      </c>
      <c r="R1072" s="4">
        <v>184</v>
      </c>
      <c r="S1072" s="4" t="str" cm="1">
        <f t="array" ref="S1072">_xlfn.IFS($R1072&lt;=50,"Good",$R1072&lt;=100,"Moderate",$R1072&lt;=200,"Poor",$R1072&lt;=300,"Very Poor",$R1072&lt;=500,"Hazardous")</f>
        <v>Poor</v>
      </c>
      <c r="T1072" t="s">
        <v>25</v>
      </c>
      <c r="X1072" s="2"/>
      <c r="Y1072" s="2"/>
    </row>
    <row r="1073" spans="1:25" x14ac:dyDescent="0.3">
      <c r="A1073" s="2">
        <v>45506</v>
      </c>
      <c r="B1073" t="s">
        <v>21</v>
      </c>
      <c r="C1073" s="4">
        <v>52.8</v>
      </c>
      <c r="D1073" s="4">
        <v>17.899999999999999</v>
      </c>
      <c r="E1073" s="4">
        <v>52.5</v>
      </c>
      <c r="F1073" s="4">
        <v>9.32</v>
      </c>
      <c r="G1073" s="4">
        <v>52</v>
      </c>
      <c r="H1073" s="4">
        <v>1.07</v>
      </c>
      <c r="I1073" s="4">
        <v>23</v>
      </c>
      <c r="J1073" s="4">
        <v>69</v>
      </c>
      <c r="K1073" s="4">
        <v>2.4700000000000002</v>
      </c>
      <c r="L1073" s="4">
        <v>88</v>
      </c>
      <c r="M1073" s="4">
        <v>17.899999999999999</v>
      </c>
      <c r="N1073" s="4">
        <v>65.625</v>
      </c>
      <c r="O1073" s="4">
        <v>23.3</v>
      </c>
      <c r="P1073" s="4">
        <v>130</v>
      </c>
      <c r="Q1073" s="4">
        <v>53.500000000000007</v>
      </c>
      <c r="R1073" s="4">
        <v>130</v>
      </c>
      <c r="S1073" s="4" t="str" cm="1">
        <f t="array" ref="S1073">_xlfn.IFS($R1073&lt;=50,"Good",$R1073&lt;=100,"Moderate",$R1073&lt;=200,"Poor",$R1073&lt;=300,"Very Poor",$R1073&lt;=500,"Hazardous")</f>
        <v>Poor</v>
      </c>
      <c r="T1073" t="s">
        <v>27</v>
      </c>
      <c r="X1073" s="2"/>
      <c r="Y1073" s="2"/>
    </row>
    <row r="1074" spans="1:25" x14ac:dyDescent="0.3">
      <c r="A1074" s="2">
        <v>45506</v>
      </c>
      <c r="B1074" t="s">
        <v>22</v>
      </c>
      <c r="C1074" s="4">
        <v>52.8</v>
      </c>
      <c r="D1074" s="4">
        <v>101</v>
      </c>
      <c r="E1074" s="4">
        <v>51.3</v>
      </c>
      <c r="F1074" s="4">
        <v>8.65</v>
      </c>
      <c r="G1074" s="4">
        <v>42.6</v>
      </c>
      <c r="H1074" s="4">
        <v>1.6</v>
      </c>
      <c r="I1074" s="4">
        <v>27.9</v>
      </c>
      <c r="J1074" s="4">
        <v>83.5</v>
      </c>
      <c r="K1074" s="4">
        <v>3.23</v>
      </c>
      <c r="L1074" s="4">
        <v>88</v>
      </c>
      <c r="M1074" s="4">
        <v>101</v>
      </c>
      <c r="N1074" s="4">
        <v>64.125</v>
      </c>
      <c r="O1074" s="4">
        <v>21.625</v>
      </c>
      <c r="P1074" s="4">
        <v>106.5</v>
      </c>
      <c r="Q1074" s="4">
        <v>80</v>
      </c>
      <c r="R1074" s="4">
        <v>106</v>
      </c>
      <c r="S1074" s="4" t="str" cm="1">
        <f t="array" ref="S1074">_xlfn.IFS($R1074&lt;=50,"Good",$R1074&lt;=100,"Moderate",$R1074&lt;=200,"Poor",$R1074&lt;=300,"Very Poor",$R1074&lt;=500,"Hazardous")</f>
        <v>Poor</v>
      </c>
      <c r="T1074" t="s">
        <v>27</v>
      </c>
      <c r="X1074" s="2"/>
      <c r="Y1074" s="2"/>
    </row>
    <row r="1075" spans="1:25" x14ac:dyDescent="0.3">
      <c r="A1075" s="2">
        <v>45506</v>
      </c>
      <c r="B1075" t="s">
        <v>23</v>
      </c>
      <c r="C1075" s="4">
        <v>3.8</v>
      </c>
      <c r="D1075" s="4">
        <v>158.6</v>
      </c>
      <c r="E1075" s="4">
        <v>38.200000000000003</v>
      </c>
      <c r="F1075" s="4">
        <v>6.19</v>
      </c>
      <c r="G1075" s="4">
        <v>47</v>
      </c>
      <c r="H1075" s="4">
        <v>0.79</v>
      </c>
      <c r="I1075" s="4">
        <v>26.6</v>
      </c>
      <c r="J1075" s="4">
        <v>49.3</v>
      </c>
      <c r="K1075" s="4">
        <v>4.03</v>
      </c>
      <c r="L1075" s="4">
        <v>6.333333333333333</v>
      </c>
      <c r="M1075" s="4">
        <v>158.6</v>
      </c>
      <c r="N1075" s="4">
        <v>47.75</v>
      </c>
      <c r="O1075" s="4">
        <v>15.475</v>
      </c>
      <c r="P1075" s="4">
        <v>117.5</v>
      </c>
      <c r="Q1075" s="4">
        <v>39.5</v>
      </c>
      <c r="R1075" s="4">
        <v>159</v>
      </c>
      <c r="S1075" s="4" t="str" cm="1">
        <f t="array" ref="S1075">_xlfn.IFS($R1075&lt;=50,"Good",$R1075&lt;=100,"Moderate",$R1075&lt;=200,"Poor",$R1075&lt;=300,"Very Poor",$R1075&lt;=500,"Hazardous")</f>
        <v>Poor</v>
      </c>
      <c r="T1075" t="s">
        <v>28</v>
      </c>
      <c r="X1075" s="2"/>
      <c r="Y1075" s="2"/>
    </row>
    <row r="1076" spans="1:25" x14ac:dyDescent="0.3">
      <c r="A1076" s="2">
        <v>45506</v>
      </c>
      <c r="B1076" t="s">
        <v>24</v>
      </c>
      <c r="C1076" s="4">
        <v>49.8</v>
      </c>
      <c r="D1076" s="4">
        <v>85.4</v>
      </c>
      <c r="E1076" s="4">
        <v>23.3</v>
      </c>
      <c r="F1076" s="4">
        <v>8.2200000000000006</v>
      </c>
      <c r="G1076" s="4">
        <v>49.1</v>
      </c>
      <c r="H1076" s="4">
        <v>1.26</v>
      </c>
      <c r="I1076" s="4">
        <v>17.8</v>
      </c>
      <c r="J1076" s="4">
        <v>31.2</v>
      </c>
      <c r="K1076" s="4">
        <v>3.75</v>
      </c>
      <c r="L1076" s="4">
        <v>82.999999999999986</v>
      </c>
      <c r="M1076" s="4">
        <v>85.4</v>
      </c>
      <c r="N1076" s="4">
        <v>29.125</v>
      </c>
      <c r="O1076" s="4">
        <v>20.55</v>
      </c>
      <c r="P1076" s="4">
        <v>122.75</v>
      </c>
      <c r="Q1076" s="4">
        <v>63</v>
      </c>
      <c r="R1076" s="4">
        <v>123</v>
      </c>
      <c r="S1076" s="4" t="str" cm="1">
        <f t="array" ref="S1076">_xlfn.IFS($R1076&lt;=50,"Good",$R1076&lt;=100,"Moderate",$R1076&lt;=200,"Poor",$R1076&lt;=300,"Very Poor",$R1076&lt;=500,"Hazardous")</f>
        <v>Poor</v>
      </c>
      <c r="T1076" t="s">
        <v>27</v>
      </c>
      <c r="X1076" s="2"/>
      <c r="Y1076" s="2"/>
    </row>
    <row r="1077" spans="1:25" x14ac:dyDescent="0.3">
      <c r="A1077" s="2">
        <v>45507</v>
      </c>
      <c r="B1077" t="s">
        <v>20</v>
      </c>
      <c r="C1077" s="4">
        <v>96.2</v>
      </c>
      <c r="D1077" s="4">
        <v>53.7</v>
      </c>
      <c r="E1077" s="4">
        <v>70.599999999999994</v>
      </c>
      <c r="F1077" s="4">
        <v>8.67</v>
      </c>
      <c r="G1077" s="4">
        <v>45.8</v>
      </c>
      <c r="H1077" s="4">
        <v>0.88</v>
      </c>
      <c r="I1077" s="4">
        <v>15.3</v>
      </c>
      <c r="J1077" s="4">
        <v>77.8</v>
      </c>
      <c r="K1077" s="4">
        <v>1.57</v>
      </c>
      <c r="L1077" s="4">
        <v>160.33333333333329</v>
      </c>
      <c r="M1077" s="4">
        <v>53.7</v>
      </c>
      <c r="N1077" s="4">
        <v>88.25</v>
      </c>
      <c r="O1077" s="4">
        <v>21.675000000000001</v>
      </c>
      <c r="P1077" s="4">
        <v>114.5</v>
      </c>
      <c r="Q1077" s="4">
        <v>44</v>
      </c>
      <c r="R1077" s="4">
        <v>160</v>
      </c>
      <c r="S1077" s="4" t="str" cm="1">
        <f t="array" ref="S1077">_xlfn.IFS($R1077&lt;=50,"Good",$R1077&lt;=100,"Moderate",$R1077&lt;=200,"Poor",$R1077&lt;=300,"Very Poor",$R1077&lt;=500,"Hazardous")</f>
        <v>Poor</v>
      </c>
      <c r="T1077" t="s">
        <v>25</v>
      </c>
      <c r="X1077" s="2"/>
      <c r="Y1077" s="2"/>
    </row>
    <row r="1078" spans="1:25" x14ac:dyDescent="0.3">
      <c r="A1078" s="2">
        <v>45507</v>
      </c>
      <c r="B1078" t="s">
        <v>21</v>
      </c>
      <c r="C1078" s="4">
        <v>36.6</v>
      </c>
      <c r="D1078" s="4">
        <v>179.5</v>
      </c>
      <c r="E1078" s="4">
        <v>7.3</v>
      </c>
      <c r="F1078" s="4">
        <v>0.5</v>
      </c>
      <c r="G1078" s="4">
        <v>49.4</v>
      </c>
      <c r="H1078" s="4">
        <v>1.38</v>
      </c>
      <c r="I1078" s="4">
        <v>28.4</v>
      </c>
      <c r="J1078" s="4">
        <v>54.6</v>
      </c>
      <c r="K1078" s="4">
        <v>5.54</v>
      </c>
      <c r="L1078" s="4">
        <v>61.000000000000007</v>
      </c>
      <c r="M1078" s="4">
        <v>179.5</v>
      </c>
      <c r="N1078" s="4">
        <v>9.125</v>
      </c>
      <c r="O1078" s="4">
        <v>1.25</v>
      </c>
      <c r="P1078" s="4">
        <v>123.5</v>
      </c>
      <c r="Q1078" s="4">
        <v>68.999999999999986</v>
      </c>
      <c r="R1078" s="4">
        <v>180</v>
      </c>
      <c r="S1078" s="4" t="str" cm="1">
        <f t="array" ref="S1078">_xlfn.IFS($R1078&lt;=50,"Good",$R1078&lt;=100,"Moderate",$R1078&lt;=200,"Poor",$R1078&lt;=300,"Very Poor",$R1078&lt;=500,"Hazardous")</f>
        <v>Poor</v>
      </c>
      <c r="T1078" t="s">
        <v>28</v>
      </c>
      <c r="X1078" s="2"/>
      <c r="Y1078" s="2"/>
    </row>
    <row r="1079" spans="1:25" x14ac:dyDescent="0.3">
      <c r="A1079" s="2">
        <v>45507</v>
      </c>
      <c r="B1079" t="s">
        <v>22</v>
      </c>
      <c r="C1079" s="4">
        <v>40.4</v>
      </c>
      <c r="D1079" s="4">
        <v>80.7</v>
      </c>
      <c r="E1079" s="4">
        <v>22.1</v>
      </c>
      <c r="F1079" s="4">
        <v>6.55</v>
      </c>
      <c r="G1079" s="4">
        <v>52.6</v>
      </c>
      <c r="H1079" s="4">
        <v>1.46</v>
      </c>
      <c r="I1079" s="4">
        <v>14.6</v>
      </c>
      <c r="J1079" s="4">
        <v>55.6</v>
      </c>
      <c r="K1079" s="4">
        <v>3.04</v>
      </c>
      <c r="L1079" s="4">
        <v>67.333333333333329</v>
      </c>
      <c r="M1079" s="4">
        <v>80.7</v>
      </c>
      <c r="N1079" s="4">
        <v>27.625</v>
      </c>
      <c r="O1079" s="4">
        <v>16.375</v>
      </c>
      <c r="P1079" s="4">
        <v>131.5</v>
      </c>
      <c r="Q1079" s="4">
        <v>73</v>
      </c>
      <c r="R1079" s="4">
        <v>132</v>
      </c>
      <c r="S1079" s="4" t="str" cm="1">
        <f t="array" ref="S1079">_xlfn.IFS($R1079&lt;=50,"Good",$R1079&lt;=100,"Moderate",$R1079&lt;=200,"Poor",$R1079&lt;=300,"Very Poor",$R1079&lt;=500,"Hazardous")</f>
        <v>Poor</v>
      </c>
      <c r="T1079" t="s">
        <v>27</v>
      </c>
      <c r="X1079" s="2"/>
      <c r="Y1079" s="2"/>
    </row>
    <row r="1080" spans="1:25" x14ac:dyDescent="0.3">
      <c r="A1080" s="2">
        <v>45507</v>
      </c>
      <c r="B1080" t="s">
        <v>23</v>
      </c>
      <c r="C1080" s="4">
        <v>62.1</v>
      </c>
      <c r="D1080" s="4">
        <v>96.3</v>
      </c>
      <c r="E1080" s="4">
        <v>44.7</v>
      </c>
      <c r="F1080" s="4">
        <v>3.16</v>
      </c>
      <c r="G1080" s="4">
        <v>78.900000000000006</v>
      </c>
      <c r="H1080" s="4">
        <v>1.44</v>
      </c>
      <c r="I1080" s="4">
        <v>15.6</v>
      </c>
      <c r="J1080" s="4">
        <v>40.6</v>
      </c>
      <c r="K1080" s="4">
        <v>1.24</v>
      </c>
      <c r="L1080" s="4">
        <v>103.5</v>
      </c>
      <c r="M1080" s="4">
        <v>96.3</v>
      </c>
      <c r="N1080" s="4">
        <v>55.875</v>
      </c>
      <c r="O1080" s="4">
        <v>7.9</v>
      </c>
      <c r="P1080" s="4">
        <v>197.25</v>
      </c>
      <c r="Q1080" s="4">
        <v>72</v>
      </c>
      <c r="R1080" s="4">
        <v>197</v>
      </c>
      <c r="S1080" s="4" t="str" cm="1">
        <f t="array" ref="S1080">_xlfn.IFS($R1080&lt;=50,"Good",$R1080&lt;=100,"Moderate",$R1080&lt;=200,"Poor",$R1080&lt;=300,"Very Poor",$R1080&lt;=500,"Hazardous")</f>
        <v>Poor</v>
      </c>
      <c r="T1080" t="s">
        <v>27</v>
      </c>
      <c r="X1080" s="2"/>
      <c r="Y1080" s="2"/>
    </row>
    <row r="1081" spans="1:25" x14ac:dyDescent="0.3">
      <c r="A1081" s="2">
        <v>45507</v>
      </c>
      <c r="B1081" t="s">
        <v>24</v>
      </c>
      <c r="C1081" s="4">
        <v>70.7</v>
      </c>
      <c r="D1081" s="4">
        <v>37.799999999999997</v>
      </c>
      <c r="E1081" s="4">
        <v>33.799999999999997</v>
      </c>
      <c r="F1081" s="4">
        <v>9.0399999999999991</v>
      </c>
      <c r="G1081" s="4">
        <v>42.2</v>
      </c>
      <c r="H1081" s="4">
        <v>1.19</v>
      </c>
      <c r="I1081" s="4">
        <v>17.5</v>
      </c>
      <c r="J1081" s="4">
        <v>70.7</v>
      </c>
      <c r="K1081" s="4">
        <v>2.2599999999999998</v>
      </c>
      <c r="L1081" s="4">
        <v>117.8333333333333</v>
      </c>
      <c r="M1081" s="4">
        <v>37.799999999999997</v>
      </c>
      <c r="N1081" s="4">
        <v>42.249999999999993</v>
      </c>
      <c r="O1081" s="4">
        <v>22.6</v>
      </c>
      <c r="P1081" s="4">
        <v>105.5</v>
      </c>
      <c r="Q1081" s="4">
        <v>59.5</v>
      </c>
      <c r="R1081" s="4">
        <v>118</v>
      </c>
      <c r="S1081" s="4" t="str" cm="1">
        <f t="array" ref="S1081">_xlfn.IFS($R1081&lt;=50,"Good",$R1081&lt;=100,"Moderate",$R1081&lt;=200,"Poor",$R1081&lt;=300,"Very Poor",$R1081&lt;=500,"Hazardous")</f>
        <v>Poor</v>
      </c>
      <c r="T1081" t="s">
        <v>25</v>
      </c>
      <c r="X1081" s="2"/>
      <c r="Y1081" s="2"/>
    </row>
    <row r="1082" spans="1:25" x14ac:dyDescent="0.3">
      <c r="A1082" s="2">
        <v>45508</v>
      </c>
      <c r="B1082" t="s">
        <v>20</v>
      </c>
      <c r="C1082" s="4">
        <v>46.2</v>
      </c>
      <c r="D1082" s="4">
        <v>123.5</v>
      </c>
      <c r="E1082" s="4">
        <v>43.3</v>
      </c>
      <c r="F1082" s="4">
        <v>7.47</v>
      </c>
      <c r="G1082" s="4">
        <v>24.4</v>
      </c>
      <c r="H1082" s="4">
        <v>0.94</v>
      </c>
      <c r="I1082" s="4">
        <v>25</v>
      </c>
      <c r="J1082" s="4">
        <v>35.200000000000003</v>
      </c>
      <c r="K1082" s="4">
        <v>1.94</v>
      </c>
      <c r="L1082" s="4">
        <v>77</v>
      </c>
      <c r="M1082" s="4">
        <v>123.5</v>
      </c>
      <c r="N1082" s="4">
        <v>54.125</v>
      </c>
      <c r="O1082" s="4">
        <v>18.675000000000001</v>
      </c>
      <c r="P1082" s="4">
        <v>61</v>
      </c>
      <c r="Q1082" s="4">
        <v>47</v>
      </c>
      <c r="R1082" s="4">
        <v>124</v>
      </c>
      <c r="S1082" s="4" t="str" cm="1">
        <f t="array" ref="S1082">_xlfn.IFS($R1082&lt;=50,"Good",$R1082&lt;=100,"Moderate",$R1082&lt;=200,"Poor",$R1082&lt;=300,"Very Poor",$R1082&lt;=500,"Hazardous")</f>
        <v>Poor</v>
      </c>
      <c r="T1082" t="s">
        <v>28</v>
      </c>
      <c r="X1082" s="2"/>
      <c r="Y1082" s="2"/>
    </row>
    <row r="1083" spans="1:25" x14ac:dyDescent="0.3">
      <c r="A1083" s="2">
        <v>45508</v>
      </c>
      <c r="B1083" t="s">
        <v>21</v>
      </c>
      <c r="C1083" s="4">
        <v>71.599999999999994</v>
      </c>
      <c r="D1083" s="4">
        <v>43.4</v>
      </c>
      <c r="E1083" s="4">
        <v>68.099999999999994</v>
      </c>
      <c r="F1083" s="4">
        <v>14.35</v>
      </c>
      <c r="G1083" s="4">
        <v>11.1</v>
      </c>
      <c r="H1083" s="4">
        <v>2.0099999999999998</v>
      </c>
      <c r="I1083" s="4">
        <v>24</v>
      </c>
      <c r="J1083" s="4">
        <v>67.5</v>
      </c>
      <c r="K1083" s="4">
        <v>1.9</v>
      </c>
      <c r="L1083" s="4">
        <v>119.3333333333333</v>
      </c>
      <c r="M1083" s="4">
        <v>43.4</v>
      </c>
      <c r="N1083" s="4">
        <v>85.124999999999986</v>
      </c>
      <c r="O1083" s="4">
        <v>35.875</v>
      </c>
      <c r="P1083" s="4">
        <v>27.75</v>
      </c>
      <c r="Q1083" s="4">
        <v>100.5</v>
      </c>
      <c r="R1083" s="4">
        <v>119</v>
      </c>
      <c r="S1083" s="4" t="str" cm="1">
        <f t="array" ref="S1083">_xlfn.IFS($R1083&lt;=50,"Good",$R1083&lt;=100,"Moderate",$R1083&lt;=200,"Poor",$R1083&lt;=300,"Very Poor",$R1083&lt;=500,"Hazardous")</f>
        <v>Poor</v>
      </c>
      <c r="T1083" t="s">
        <v>25</v>
      </c>
      <c r="X1083" s="2"/>
      <c r="Y1083" s="2"/>
    </row>
    <row r="1084" spans="1:25" x14ac:dyDescent="0.3">
      <c r="A1084" s="2">
        <v>45508</v>
      </c>
      <c r="B1084" t="s">
        <v>22</v>
      </c>
      <c r="C1084" s="4">
        <v>66.599999999999994</v>
      </c>
      <c r="D1084" s="4">
        <v>109.7</v>
      </c>
      <c r="E1084" s="4">
        <v>21.8</v>
      </c>
      <c r="F1084" s="4">
        <v>1.65</v>
      </c>
      <c r="G1084" s="4">
        <v>3.3</v>
      </c>
      <c r="H1084" s="4">
        <v>1</v>
      </c>
      <c r="I1084" s="4">
        <v>29</v>
      </c>
      <c r="J1084" s="4">
        <v>71.7</v>
      </c>
      <c r="K1084" s="4">
        <v>2.36</v>
      </c>
      <c r="L1084" s="4">
        <v>111</v>
      </c>
      <c r="M1084" s="4">
        <v>109.7</v>
      </c>
      <c r="N1084" s="4">
        <v>27.25</v>
      </c>
      <c r="O1084" s="4">
        <v>4.125</v>
      </c>
      <c r="P1084" s="4">
        <v>8.25</v>
      </c>
      <c r="Q1084" s="4">
        <v>50</v>
      </c>
      <c r="R1084" s="4">
        <v>111</v>
      </c>
      <c r="S1084" s="4" t="str" cm="1">
        <f t="array" ref="S1084">_xlfn.IFS($R1084&lt;=50,"Good",$R1084&lt;=100,"Moderate",$R1084&lt;=200,"Poor",$R1084&lt;=300,"Very Poor",$R1084&lt;=500,"Hazardous")</f>
        <v>Poor</v>
      </c>
      <c r="T1084" t="s">
        <v>25</v>
      </c>
      <c r="X1084" s="2"/>
      <c r="Y1084" s="2"/>
    </row>
    <row r="1085" spans="1:25" x14ac:dyDescent="0.3">
      <c r="A1085" s="2">
        <v>45508</v>
      </c>
      <c r="B1085" t="s">
        <v>23</v>
      </c>
      <c r="C1085" s="4">
        <v>20.2</v>
      </c>
      <c r="D1085" s="4">
        <v>63.3</v>
      </c>
      <c r="E1085" s="4">
        <v>54.4</v>
      </c>
      <c r="F1085" s="4">
        <v>4.46</v>
      </c>
      <c r="G1085" s="4">
        <v>43.6</v>
      </c>
      <c r="H1085" s="4">
        <v>0.44</v>
      </c>
      <c r="I1085" s="4">
        <v>27.4</v>
      </c>
      <c r="J1085" s="4">
        <v>51.8</v>
      </c>
      <c r="K1085" s="4">
        <v>3.76</v>
      </c>
      <c r="L1085" s="4">
        <v>33.666666666666657</v>
      </c>
      <c r="M1085" s="4">
        <v>63.3</v>
      </c>
      <c r="N1085" s="4">
        <v>68</v>
      </c>
      <c r="O1085" s="4">
        <v>11.15</v>
      </c>
      <c r="P1085" s="4">
        <v>109</v>
      </c>
      <c r="Q1085" s="4">
        <v>22</v>
      </c>
      <c r="R1085" s="4">
        <v>109</v>
      </c>
      <c r="S1085" s="4" t="str" cm="1">
        <f t="array" ref="S1085">_xlfn.IFS($R1085&lt;=50,"Good",$R1085&lt;=100,"Moderate",$R1085&lt;=200,"Poor",$R1085&lt;=300,"Very Poor",$R1085&lt;=500,"Hazardous")</f>
        <v>Poor</v>
      </c>
      <c r="T1085" t="s">
        <v>27</v>
      </c>
      <c r="X1085" s="2"/>
      <c r="Y1085" s="2"/>
    </row>
    <row r="1086" spans="1:25" x14ac:dyDescent="0.3">
      <c r="A1086" s="2">
        <v>45508</v>
      </c>
      <c r="B1086" t="s">
        <v>24</v>
      </c>
      <c r="C1086" s="4">
        <v>73.2</v>
      </c>
      <c r="D1086" s="4">
        <v>79.400000000000006</v>
      </c>
      <c r="E1086" s="4">
        <v>37.4</v>
      </c>
      <c r="F1086" s="4">
        <v>4.62</v>
      </c>
      <c r="G1086" s="4">
        <v>5</v>
      </c>
      <c r="H1086" s="4">
        <v>0.6</v>
      </c>
      <c r="I1086" s="4">
        <v>26.4</v>
      </c>
      <c r="J1086" s="4">
        <v>65.900000000000006</v>
      </c>
      <c r="K1086" s="4">
        <v>3.18</v>
      </c>
      <c r="L1086" s="4">
        <v>122</v>
      </c>
      <c r="M1086" s="4">
        <v>79.400000000000006</v>
      </c>
      <c r="N1086" s="4">
        <v>46.75</v>
      </c>
      <c r="O1086" s="4">
        <v>11.55</v>
      </c>
      <c r="P1086" s="4">
        <v>12.5</v>
      </c>
      <c r="Q1086" s="4">
        <v>30</v>
      </c>
      <c r="R1086" s="4">
        <v>122</v>
      </c>
      <c r="S1086" s="4" t="str" cm="1">
        <f t="array" ref="S1086">_xlfn.IFS($R1086&lt;=50,"Good",$R1086&lt;=100,"Moderate",$R1086&lt;=200,"Poor",$R1086&lt;=300,"Very Poor",$R1086&lt;=500,"Hazardous")</f>
        <v>Poor</v>
      </c>
      <c r="T1086" t="s">
        <v>25</v>
      </c>
      <c r="X1086" s="2"/>
      <c r="Y1086" s="2"/>
    </row>
    <row r="1087" spans="1:25" x14ac:dyDescent="0.3">
      <c r="A1087" s="2">
        <v>45509</v>
      </c>
      <c r="B1087" t="s">
        <v>20</v>
      </c>
      <c r="C1087" s="4">
        <v>46.9</v>
      </c>
      <c r="D1087" s="4">
        <v>161.9</v>
      </c>
      <c r="E1087" s="4">
        <v>42.6</v>
      </c>
      <c r="F1087" s="4">
        <v>10.59</v>
      </c>
      <c r="G1087" s="4">
        <v>1</v>
      </c>
      <c r="H1087" s="4">
        <v>0.05</v>
      </c>
      <c r="I1087" s="4">
        <v>27</v>
      </c>
      <c r="J1087" s="4">
        <v>34.4</v>
      </c>
      <c r="K1087" s="4">
        <v>2.25</v>
      </c>
      <c r="L1087" s="4">
        <v>78.166666666666657</v>
      </c>
      <c r="M1087" s="4">
        <v>161.9</v>
      </c>
      <c r="N1087" s="4">
        <v>53.25</v>
      </c>
      <c r="O1087" s="4">
        <v>26.475000000000001</v>
      </c>
      <c r="P1087" s="4">
        <v>2.5</v>
      </c>
      <c r="Q1087" s="4">
        <v>2.5</v>
      </c>
      <c r="R1087" s="4">
        <v>162</v>
      </c>
      <c r="S1087" s="4" t="str" cm="1">
        <f t="array" ref="S1087">_xlfn.IFS($R1087&lt;=50,"Good",$R1087&lt;=100,"Moderate",$R1087&lt;=200,"Poor",$R1087&lt;=300,"Very Poor",$R1087&lt;=500,"Hazardous")</f>
        <v>Poor</v>
      </c>
      <c r="T1087" t="s">
        <v>28</v>
      </c>
      <c r="X1087" s="2"/>
      <c r="Y1087" s="2"/>
    </row>
    <row r="1088" spans="1:25" x14ac:dyDescent="0.3">
      <c r="A1088" s="2">
        <v>45509</v>
      </c>
      <c r="B1088" t="s">
        <v>21</v>
      </c>
      <c r="C1088" s="4">
        <v>50.9</v>
      </c>
      <c r="D1088" s="4">
        <v>215.2</v>
      </c>
      <c r="E1088" s="4">
        <v>53</v>
      </c>
      <c r="F1088" s="4">
        <v>8.83</v>
      </c>
      <c r="G1088" s="4">
        <v>76.2</v>
      </c>
      <c r="H1088" s="4">
        <v>1.42</v>
      </c>
      <c r="I1088" s="4">
        <v>21.8</v>
      </c>
      <c r="J1088" s="4">
        <v>79.3</v>
      </c>
      <c r="K1088" s="4">
        <v>1.17</v>
      </c>
      <c r="L1088" s="4">
        <v>84.833333333333329</v>
      </c>
      <c r="M1088" s="4">
        <v>215.2</v>
      </c>
      <c r="N1088" s="4">
        <v>66.25</v>
      </c>
      <c r="O1088" s="4">
        <v>22.074999999999999</v>
      </c>
      <c r="P1088" s="4">
        <v>190.5</v>
      </c>
      <c r="Q1088" s="4">
        <v>71</v>
      </c>
      <c r="R1088" s="4">
        <v>215</v>
      </c>
      <c r="S1088" s="4" t="str" cm="1">
        <f t="array" ref="S1088">_xlfn.IFS($R1088&lt;=50,"Good",$R1088&lt;=100,"Moderate",$R1088&lt;=200,"Poor",$R1088&lt;=300,"Very Poor",$R1088&lt;=500,"Hazardous")</f>
        <v>Very Poor</v>
      </c>
      <c r="T1088" t="s">
        <v>28</v>
      </c>
      <c r="X1088" s="2"/>
      <c r="Y1088" s="2"/>
    </row>
    <row r="1089" spans="1:25" x14ac:dyDescent="0.3">
      <c r="A1089" s="2">
        <v>45509</v>
      </c>
      <c r="B1089" t="s">
        <v>22</v>
      </c>
      <c r="C1089" s="4">
        <v>53</v>
      </c>
      <c r="D1089" s="4">
        <v>20.6</v>
      </c>
      <c r="E1089" s="4">
        <v>37.299999999999997</v>
      </c>
      <c r="F1089" s="4">
        <v>6.81</v>
      </c>
      <c r="G1089" s="4">
        <v>77.8</v>
      </c>
      <c r="H1089" s="4">
        <v>0.2</v>
      </c>
      <c r="I1089" s="4">
        <v>20.8</v>
      </c>
      <c r="J1089" s="4">
        <v>74.8</v>
      </c>
      <c r="K1089" s="4">
        <v>2.9</v>
      </c>
      <c r="L1089" s="4">
        <v>88.333333333333329</v>
      </c>
      <c r="M1089" s="4">
        <v>20.6</v>
      </c>
      <c r="N1089" s="4">
        <v>46.625</v>
      </c>
      <c r="O1089" s="4">
        <v>17.024999999999999</v>
      </c>
      <c r="P1089" s="4">
        <v>194.5</v>
      </c>
      <c r="Q1089" s="4">
        <v>10</v>
      </c>
      <c r="R1089" s="4">
        <v>194</v>
      </c>
      <c r="S1089" s="4" t="str" cm="1">
        <f t="array" ref="S1089">_xlfn.IFS($R1089&lt;=50,"Good",$R1089&lt;=100,"Moderate",$R1089&lt;=200,"Poor",$R1089&lt;=300,"Very Poor",$R1089&lt;=500,"Hazardous")</f>
        <v>Poor</v>
      </c>
      <c r="T1089" t="s">
        <v>27</v>
      </c>
      <c r="X1089" s="2"/>
      <c r="Y1089" s="2"/>
    </row>
    <row r="1090" spans="1:25" x14ac:dyDescent="0.3">
      <c r="A1090" s="2">
        <v>45509</v>
      </c>
      <c r="B1090" t="s">
        <v>23</v>
      </c>
      <c r="C1090" s="4">
        <v>52.3</v>
      </c>
      <c r="D1090" s="4">
        <v>50.1</v>
      </c>
      <c r="E1090" s="4">
        <v>26.5</v>
      </c>
      <c r="F1090" s="4">
        <v>11.38</v>
      </c>
      <c r="G1090" s="4">
        <v>38.700000000000003</v>
      </c>
      <c r="H1090" s="4">
        <v>1.1399999999999999</v>
      </c>
      <c r="I1090" s="4">
        <v>24.2</v>
      </c>
      <c r="J1090" s="4">
        <v>38.700000000000003</v>
      </c>
      <c r="K1090" s="4">
        <v>3.62</v>
      </c>
      <c r="L1090" s="4">
        <v>87.166666666666657</v>
      </c>
      <c r="M1090" s="4">
        <v>50.1</v>
      </c>
      <c r="N1090" s="4">
        <v>33.125</v>
      </c>
      <c r="O1090" s="4">
        <v>28.45</v>
      </c>
      <c r="P1090" s="4">
        <v>96.75</v>
      </c>
      <c r="Q1090" s="4">
        <v>56.999999999999993</v>
      </c>
      <c r="R1090" s="4">
        <v>97</v>
      </c>
      <c r="S1090" s="4" t="str" cm="1">
        <f t="array" ref="S1090">_xlfn.IFS($R1090&lt;=50,"Good",$R1090&lt;=100,"Moderate",$R1090&lt;=200,"Poor",$R1090&lt;=300,"Very Poor",$R1090&lt;=500,"Hazardous")</f>
        <v>Moderate</v>
      </c>
      <c r="T1090" t="s">
        <v>27</v>
      </c>
      <c r="X1090" s="2"/>
      <c r="Y1090" s="2"/>
    </row>
    <row r="1091" spans="1:25" x14ac:dyDescent="0.3">
      <c r="A1091" s="2">
        <v>45509</v>
      </c>
      <c r="B1091" t="s">
        <v>24</v>
      </c>
      <c r="C1091" s="4">
        <v>66.099999999999994</v>
      </c>
      <c r="D1091" s="4">
        <v>227.3</v>
      </c>
      <c r="E1091" s="4">
        <v>21.7</v>
      </c>
      <c r="F1091" s="4">
        <v>10.66</v>
      </c>
      <c r="G1091" s="4">
        <v>7.9</v>
      </c>
      <c r="H1091" s="4">
        <v>1.1399999999999999</v>
      </c>
      <c r="I1091" s="4">
        <v>31.8</v>
      </c>
      <c r="J1091" s="4">
        <v>22.7</v>
      </c>
      <c r="K1091" s="4">
        <v>2.75</v>
      </c>
      <c r="L1091" s="4">
        <v>110.1666666666667</v>
      </c>
      <c r="M1091" s="4">
        <v>227.3</v>
      </c>
      <c r="N1091" s="4">
        <v>27.125</v>
      </c>
      <c r="O1091" s="4">
        <v>26.65</v>
      </c>
      <c r="P1091" s="4">
        <v>19.75</v>
      </c>
      <c r="Q1091" s="4">
        <v>56.999999999999993</v>
      </c>
      <c r="R1091" s="4">
        <v>227</v>
      </c>
      <c r="S1091" s="4" t="str" cm="1">
        <f t="array" ref="S1091">_xlfn.IFS($R1091&lt;=50,"Good",$R1091&lt;=100,"Moderate",$R1091&lt;=200,"Poor",$R1091&lt;=300,"Very Poor",$R1091&lt;=500,"Hazardous")</f>
        <v>Very Poor</v>
      </c>
      <c r="T1091" t="s">
        <v>28</v>
      </c>
      <c r="X1091" s="2"/>
      <c r="Y1091" s="2"/>
    </row>
    <row r="1092" spans="1:25" x14ac:dyDescent="0.3">
      <c r="A1092" s="2">
        <v>45510</v>
      </c>
      <c r="B1092" t="s">
        <v>20</v>
      </c>
      <c r="C1092" s="4">
        <v>39.700000000000003</v>
      </c>
      <c r="D1092" s="4">
        <v>71.7</v>
      </c>
      <c r="E1092" s="4">
        <v>48.5</v>
      </c>
      <c r="F1092" s="4">
        <v>12.52</v>
      </c>
      <c r="G1092" s="4">
        <v>42.2</v>
      </c>
      <c r="H1092" s="4">
        <v>1.22</v>
      </c>
      <c r="I1092" s="4">
        <v>25.8</v>
      </c>
      <c r="J1092" s="4">
        <v>60</v>
      </c>
      <c r="K1092" s="4">
        <v>1.19</v>
      </c>
      <c r="L1092" s="4">
        <v>66.166666666666671</v>
      </c>
      <c r="M1092" s="4">
        <v>71.7</v>
      </c>
      <c r="N1092" s="4">
        <v>60.625</v>
      </c>
      <c r="O1092" s="4">
        <v>31.3</v>
      </c>
      <c r="P1092" s="4">
        <v>105.5</v>
      </c>
      <c r="Q1092" s="4">
        <v>61</v>
      </c>
      <c r="R1092" s="4">
        <v>106</v>
      </c>
      <c r="S1092" s="4" t="str" cm="1">
        <f t="array" ref="S1092">_xlfn.IFS($R1092&lt;=50,"Good",$R1092&lt;=100,"Moderate",$R1092&lt;=200,"Poor",$R1092&lt;=300,"Very Poor",$R1092&lt;=500,"Hazardous")</f>
        <v>Poor</v>
      </c>
      <c r="T1092" t="s">
        <v>27</v>
      </c>
      <c r="X1092" s="2"/>
      <c r="Y1092" s="2"/>
    </row>
    <row r="1093" spans="1:25" x14ac:dyDescent="0.3">
      <c r="A1093" s="2">
        <v>45510</v>
      </c>
      <c r="B1093" t="s">
        <v>21</v>
      </c>
      <c r="C1093" s="4">
        <v>93.3</v>
      </c>
      <c r="D1093" s="4">
        <v>137.69999999999999</v>
      </c>
      <c r="E1093" s="4">
        <v>52.9</v>
      </c>
      <c r="F1093" s="4">
        <v>3.97</v>
      </c>
      <c r="G1093" s="4">
        <v>35.6</v>
      </c>
      <c r="H1093" s="4">
        <v>1.0900000000000001</v>
      </c>
      <c r="I1093" s="4">
        <v>14.3</v>
      </c>
      <c r="J1093" s="4">
        <v>29.6</v>
      </c>
      <c r="K1093" s="4">
        <v>1.78</v>
      </c>
      <c r="L1093" s="4">
        <v>155.5</v>
      </c>
      <c r="M1093" s="4">
        <v>137.69999999999999</v>
      </c>
      <c r="N1093" s="4">
        <v>66.125</v>
      </c>
      <c r="O1093" s="4">
        <v>9.9249999999999989</v>
      </c>
      <c r="P1093" s="4">
        <v>89.000000000000014</v>
      </c>
      <c r="Q1093" s="4">
        <v>54.500000000000007</v>
      </c>
      <c r="R1093" s="4">
        <v>156</v>
      </c>
      <c r="S1093" s="4" t="str" cm="1">
        <f t="array" ref="S1093">_xlfn.IFS($R1093&lt;=50,"Good",$R1093&lt;=100,"Moderate",$R1093&lt;=200,"Poor",$R1093&lt;=300,"Very Poor",$R1093&lt;=500,"Hazardous")</f>
        <v>Poor</v>
      </c>
      <c r="T1093" t="s">
        <v>25</v>
      </c>
      <c r="X1093" s="2"/>
      <c r="Y1093" s="2"/>
    </row>
    <row r="1094" spans="1:25" x14ac:dyDescent="0.3">
      <c r="A1094" s="2">
        <v>45510</v>
      </c>
      <c r="B1094" t="s">
        <v>22</v>
      </c>
      <c r="C1094" s="4">
        <v>57.5</v>
      </c>
      <c r="D1094" s="4">
        <v>61.4</v>
      </c>
      <c r="E1094" s="4">
        <v>18.7</v>
      </c>
      <c r="F1094" s="4">
        <v>2.98</v>
      </c>
      <c r="G1094" s="4">
        <v>27.2</v>
      </c>
      <c r="H1094" s="4">
        <v>0.75</v>
      </c>
      <c r="I1094" s="4">
        <v>40.200000000000003</v>
      </c>
      <c r="J1094" s="4">
        <v>79</v>
      </c>
      <c r="K1094" s="4">
        <v>3.73</v>
      </c>
      <c r="L1094" s="4">
        <v>95.833333333333343</v>
      </c>
      <c r="M1094" s="4">
        <v>61.4</v>
      </c>
      <c r="N1094" s="4">
        <v>23.375</v>
      </c>
      <c r="O1094" s="4">
        <v>7.45</v>
      </c>
      <c r="P1094" s="4">
        <v>68</v>
      </c>
      <c r="Q1094" s="4">
        <v>37.5</v>
      </c>
      <c r="R1094" s="4">
        <v>96</v>
      </c>
      <c r="S1094" s="4" t="str" cm="1">
        <f t="array" ref="S1094">_xlfn.IFS($R1094&lt;=50,"Good",$R1094&lt;=100,"Moderate",$R1094&lt;=200,"Poor",$R1094&lt;=300,"Very Poor",$R1094&lt;=500,"Hazardous")</f>
        <v>Moderate</v>
      </c>
      <c r="T1094" t="s">
        <v>25</v>
      </c>
      <c r="X1094" s="2"/>
      <c r="Y1094" s="2"/>
    </row>
    <row r="1095" spans="1:25" x14ac:dyDescent="0.3">
      <c r="A1095" s="2">
        <v>45510</v>
      </c>
      <c r="B1095" t="s">
        <v>23</v>
      </c>
      <c r="C1095" s="4">
        <v>76</v>
      </c>
      <c r="D1095" s="4">
        <v>48.1</v>
      </c>
      <c r="E1095" s="4">
        <v>16.399999999999999</v>
      </c>
      <c r="F1095" s="4">
        <v>1.97</v>
      </c>
      <c r="G1095" s="4">
        <v>73.400000000000006</v>
      </c>
      <c r="H1095" s="4">
        <v>0.7</v>
      </c>
      <c r="I1095" s="4">
        <v>16.2</v>
      </c>
      <c r="J1095" s="4">
        <v>52.2</v>
      </c>
      <c r="K1095" s="4">
        <v>2.21</v>
      </c>
      <c r="L1095" s="4">
        <v>126.6666666666667</v>
      </c>
      <c r="M1095" s="4">
        <v>48.1</v>
      </c>
      <c r="N1095" s="4">
        <v>20.5</v>
      </c>
      <c r="O1095" s="4">
        <v>4.9249999999999998</v>
      </c>
      <c r="P1095" s="4">
        <v>183.5</v>
      </c>
      <c r="Q1095" s="4">
        <v>34.999999999999993</v>
      </c>
      <c r="R1095" s="4">
        <v>184</v>
      </c>
      <c r="S1095" s="4" t="str" cm="1">
        <f t="array" ref="S1095">_xlfn.IFS($R1095&lt;=50,"Good",$R1095&lt;=100,"Moderate",$R1095&lt;=200,"Poor",$R1095&lt;=300,"Very Poor",$R1095&lt;=500,"Hazardous")</f>
        <v>Poor</v>
      </c>
      <c r="T1095" t="s">
        <v>27</v>
      </c>
      <c r="X1095" s="2"/>
      <c r="Y1095" s="2"/>
    </row>
    <row r="1096" spans="1:25" x14ac:dyDescent="0.3">
      <c r="A1096" s="2">
        <v>45510</v>
      </c>
      <c r="B1096" t="s">
        <v>24</v>
      </c>
      <c r="C1096" s="4">
        <v>59.9</v>
      </c>
      <c r="D1096" s="4">
        <v>118.9</v>
      </c>
      <c r="E1096" s="4">
        <v>25</v>
      </c>
      <c r="F1096" s="4">
        <v>10.06</v>
      </c>
      <c r="G1096" s="4">
        <v>26.4</v>
      </c>
      <c r="H1096" s="4">
        <v>0.97</v>
      </c>
      <c r="I1096" s="4">
        <v>29.8</v>
      </c>
      <c r="J1096" s="4">
        <v>48.4</v>
      </c>
      <c r="K1096" s="4">
        <v>2.3199999999999998</v>
      </c>
      <c r="L1096" s="4">
        <v>99.833333333333329</v>
      </c>
      <c r="M1096" s="4">
        <v>118.9</v>
      </c>
      <c r="N1096" s="4">
        <v>31.25</v>
      </c>
      <c r="O1096" s="4">
        <v>25.15</v>
      </c>
      <c r="P1096" s="4">
        <v>66</v>
      </c>
      <c r="Q1096" s="4">
        <v>48.5</v>
      </c>
      <c r="R1096" s="4">
        <v>119</v>
      </c>
      <c r="S1096" s="4" t="str" cm="1">
        <f t="array" ref="S1096">_xlfn.IFS($R1096&lt;=50,"Good",$R1096&lt;=100,"Moderate",$R1096&lt;=200,"Poor",$R1096&lt;=300,"Very Poor",$R1096&lt;=500,"Hazardous")</f>
        <v>Poor</v>
      </c>
      <c r="T1096" t="s">
        <v>28</v>
      </c>
      <c r="X1096" s="2"/>
      <c r="Y1096" s="2"/>
    </row>
    <row r="1097" spans="1:25" x14ac:dyDescent="0.3">
      <c r="A1097" s="2">
        <v>45511</v>
      </c>
      <c r="B1097" t="s">
        <v>20</v>
      </c>
      <c r="C1097" s="4">
        <v>71.5</v>
      </c>
      <c r="D1097" s="4">
        <v>63.1</v>
      </c>
      <c r="E1097" s="4">
        <v>34.299999999999997</v>
      </c>
      <c r="F1097" s="4">
        <v>9.92</v>
      </c>
      <c r="G1097" s="4">
        <v>105.1</v>
      </c>
      <c r="H1097" s="4">
        <v>1.44</v>
      </c>
      <c r="I1097" s="4">
        <v>28.3</v>
      </c>
      <c r="J1097" s="4">
        <v>69.599999999999994</v>
      </c>
      <c r="K1097" s="4">
        <v>1.21</v>
      </c>
      <c r="L1097" s="4">
        <v>119.1666666666667</v>
      </c>
      <c r="M1097" s="4">
        <v>63.1</v>
      </c>
      <c r="N1097" s="4">
        <v>42.875</v>
      </c>
      <c r="O1097" s="4">
        <v>24.8</v>
      </c>
      <c r="P1097" s="4">
        <v>262.75</v>
      </c>
      <c r="Q1097" s="4">
        <v>72</v>
      </c>
      <c r="R1097" s="4">
        <v>263</v>
      </c>
      <c r="S1097" s="4" t="str" cm="1">
        <f t="array" ref="S1097">_xlfn.IFS($R1097&lt;=50,"Good",$R1097&lt;=100,"Moderate",$R1097&lt;=200,"Poor",$R1097&lt;=300,"Very Poor",$R1097&lt;=500,"Hazardous")</f>
        <v>Very Poor</v>
      </c>
      <c r="T1097" t="s">
        <v>27</v>
      </c>
      <c r="X1097" s="2"/>
      <c r="Y1097" s="2"/>
    </row>
    <row r="1098" spans="1:25" x14ac:dyDescent="0.3">
      <c r="A1098" s="2">
        <v>45511</v>
      </c>
      <c r="B1098" t="s">
        <v>21</v>
      </c>
      <c r="C1098" s="4">
        <v>63.5</v>
      </c>
      <c r="D1098" s="4">
        <v>118.2</v>
      </c>
      <c r="E1098" s="4">
        <v>51.4</v>
      </c>
      <c r="F1098" s="4">
        <v>8.58</v>
      </c>
      <c r="G1098" s="4">
        <v>61.9</v>
      </c>
      <c r="H1098" s="4">
        <v>1.01</v>
      </c>
      <c r="I1098" s="4">
        <v>25.4</v>
      </c>
      <c r="J1098" s="4">
        <v>37.9</v>
      </c>
      <c r="K1098" s="4">
        <v>2.12</v>
      </c>
      <c r="L1098" s="4">
        <v>105.8333333333333</v>
      </c>
      <c r="M1098" s="4">
        <v>118.2</v>
      </c>
      <c r="N1098" s="4">
        <v>64.25</v>
      </c>
      <c r="O1098" s="4">
        <v>21.45</v>
      </c>
      <c r="P1098" s="4">
        <v>154.75</v>
      </c>
      <c r="Q1098" s="4">
        <v>50.5</v>
      </c>
      <c r="R1098" s="4">
        <v>155</v>
      </c>
      <c r="S1098" s="4" t="str" cm="1">
        <f t="array" ref="S1098">_xlfn.IFS($R1098&lt;=50,"Good",$R1098&lt;=100,"Moderate",$R1098&lt;=200,"Poor",$R1098&lt;=300,"Very Poor",$R1098&lt;=500,"Hazardous")</f>
        <v>Poor</v>
      </c>
      <c r="T1098" t="s">
        <v>27</v>
      </c>
      <c r="X1098" s="2"/>
      <c r="Y1098" s="2"/>
    </row>
    <row r="1099" spans="1:25" x14ac:dyDescent="0.3">
      <c r="A1099" s="2">
        <v>45511</v>
      </c>
      <c r="B1099" t="s">
        <v>22</v>
      </c>
      <c r="C1099" s="4">
        <v>77.3</v>
      </c>
      <c r="D1099" s="4">
        <v>105.7</v>
      </c>
      <c r="E1099" s="4">
        <v>33.9</v>
      </c>
      <c r="F1099" s="4">
        <v>13.29</v>
      </c>
      <c r="G1099" s="4">
        <v>5.7</v>
      </c>
      <c r="H1099" s="4">
        <v>0.41</v>
      </c>
      <c r="I1099" s="4">
        <v>37</v>
      </c>
      <c r="J1099" s="4">
        <v>60.8</v>
      </c>
      <c r="K1099" s="4">
        <v>2.21</v>
      </c>
      <c r="L1099" s="4">
        <v>128.83333333333329</v>
      </c>
      <c r="M1099" s="4">
        <v>105.7</v>
      </c>
      <c r="N1099" s="4">
        <v>42.374999999999993</v>
      </c>
      <c r="O1099" s="4">
        <v>33.224999999999987</v>
      </c>
      <c r="P1099" s="4">
        <v>14.25</v>
      </c>
      <c r="Q1099" s="4">
        <v>20.5</v>
      </c>
      <c r="R1099" s="4">
        <v>129</v>
      </c>
      <c r="S1099" s="4" t="str" cm="1">
        <f t="array" ref="S1099">_xlfn.IFS($R1099&lt;=50,"Good",$R1099&lt;=100,"Moderate",$R1099&lt;=200,"Poor",$R1099&lt;=300,"Very Poor",$R1099&lt;=500,"Hazardous")</f>
        <v>Poor</v>
      </c>
      <c r="T1099" t="s">
        <v>25</v>
      </c>
      <c r="X1099" s="2"/>
      <c r="Y1099" s="2"/>
    </row>
    <row r="1100" spans="1:25" x14ac:dyDescent="0.3">
      <c r="A1100" s="2">
        <v>45511</v>
      </c>
      <c r="B1100" t="s">
        <v>23</v>
      </c>
      <c r="C1100" s="4">
        <v>19.2</v>
      </c>
      <c r="D1100" s="4">
        <v>117.5</v>
      </c>
      <c r="E1100" s="4">
        <v>44.7</v>
      </c>
      <c r="F1100" s="4">
        <v>2.02</v>
      </c>
      <c r="G1100" s="4">
        <v>36.5</v>
      </c>
      <c r="H1100" s="4">
        <v>0.8</v>
      </c>
      <c r="I1100" s="4">
        <v>26.8</v>
      </c>
      <c r="J1100" s="4">
        <v>39.9</v>
      </c>
      <c r="K1100" s="4">
        <v>4</v>
      </c>
      <c r="L1100" s="4">
        <v>32</v>
      </c>
      <c r="M1100" s="4">
        <v>117.5</v>
      </c>
      <c r="N1100" s="4">
        <v>55.875</v>
      </c>
      <c r="O1100" s="4">
        <v>5.05</v>
      </c>
      <c r="P1100" s="4">
        <v>91.25</v>
      </c>
      <c r="Q1100" s="4">
        <v>40</v>
      </c>
      <c r="R1100" s="4">
        <v>118</v>
      </c>
      <c r="S1100" s="4" t="str" cm="1">
        <f t="array" ref="S1100">_xlfn.IFS($R1100&lt;=50,"Good",$R1100&lt;=100,"Moderate",$R1100&lt;=200,"Poor",$R1100&lt;=300,"Very Poor",$R1100&lt;=500,"Hazardous")</f>
        <v>Poor</v>
      </c>
      <c r="T1100" t="s">
        <v>28</v>
      </c>
      <c r="X1100" s="2"/>
      <c r="Y1100" s="2"/>
    </row>
    <row r="1101" spans="1:25" x14ac:dyDescent="0.3">
      <c r="A1101" s="2">
        <v>45511</v>
      </c>
      <c r="B1101" t="s">
        <v>24</v>
      </c>
      <c r="C1101" s="4">
        <v>77</v>
      </c>
      <c r="D1101" s="4">
        <v>86.4</v>
      </c>
      <c r="E1101" s="4">
        <v>35.799999999999997</v>
      </c>
      <c r="F1101" s="4">
        <v>6.44</v>
      </c>
      <c r="G1101" s="4">
        <v>22.6</v>
      </c>
      <c r="H1101" s="4">
        <v>0.82</v>
      </c>
      <c r="I1101" s="4">
        <v>23.1</v>
      </c>
      <c r="J1101" s="4">
        <v>89</v>
      </c>
      <c r="K1101" s="4">
        <v>4.1399999999999997</v>
      </c>
      <c r="L1101" s="4">
        <v>128.33333333333329</v>
      </c>
      <c r="M1101" s="4">
        <v>86.4</v>
      </c>
      <c r="N1101" s="4">
        <v>44.75</v>
      </c>
      <c r="O1101" s="4">
        <v>16.100000000000001</v>
      </c>
      <c r="P1101" s="4">
        <v>56.5</v>
      </c>
      <c r="Q1101" s="4">
        <v>40.999999999999993</v>
      </c>
      <c r="R1101" s="4">
        <v>128</v>
      </c>
      <c r="S1101" s="4" t="str" cm="1">
        <f t="array" ref="S1101">_xlfn.IFS($R1101&lt;=50,"Good",$R1101&lt;=100,"Moderate",$R1101&lt;=200,"Poor",$R1101&lt;=300,"Very Poor",$R1101&lt;=500,"Hazardous")</f>
        <v>Poor</v>
      </c>
      <c r="T1101" t="s">
        <v>25</v>
      </c>
      <c r="X1101" s="2"/>
      <c r="Y1101" s="2"/>
    </row>
    <row r="1102" spans="1:25" x14ac:dyDescent="0.3">
      <c r="A1102" s="2">
        <v>45512</v>
      </c>
      <c r="B1102" t="s">
        <v>20</v>
      </c>
      <c r="C1102" s="4">
        <v>81</v>
      </c>
      <c r="D1102" s="4">
        <v>130.80000000000001</v>
      </c>
      <c r="E1102" s="4">
        <v>20.8</v>
      </c>
      <c r="F1102" s="4">
        <v>7.17</v>
      </c>
      <c r="G1102" s="4">
        <v>73.900000000000006</v>
      </c>
      <c r="H1102" s="4">
        <v>0.41</v>
      </c>
      <c r="I1102" s="4">
        <v>29.5</v>
      </c>
      <c r="J1102" s="4">
        <v>100</v>
      </c>
      <c r="K1102" s="4">
        <v>3.77</v>
      </c>
      <c r="L1102" s="4">
        <v>135</v>
      </c>
      <c r="M1102" s="4">
        <v>130.80000000000001</v>
      </c>
      <c r="N1102" s="4">
        <v>26</v>
      </c>
      <c r="O1102" s="4">
        <v>17.925000000000001</v>
      </c>
      <c r="P1102" s="4">
        <v>184.75</v>
      </c>
      <c r="Q1102" s="4">
        <v>20.5</v>
      </c>
      <c r="R1102" s="4">
        <v>185</v>
      </c>
      <c r="S1102" s="4" t="str" cm="1">
        <f t="array" ref="S1102">_xlfn.IFS($R1102&lt;=50,"Good",$R1102&lt;=100,"Moderate",$R1102&lt;=200,"Poor",$R1102&lt;=300,"Very Poor",$R1102&lt;=500,"Hazardous")</f>
        <v>Poor</v>
      </c>
      <c r="T1102" t="s">
        <v>27</v>
      </c>
      <c r="X1102" s="2"/>
      <c r="Y1102" s="2"/>
    </row>
    <row r="1103" spans="1:25" x14ac:dyDescent="0.3">
      <c r="A1103" s="2">
        <v>45512</v>
      </c>
      <c r="B1103" t="s">
        <v>21</v>
      </c>
      <c r="C1103" s="4">
        <v>102.4</v>
      </c>
      <c r="D1103" s="4">
        <v>133.1</v>
      </c>
      <c r="E1103" s="4">
        <v>64.400000000000006</v>
      </c>
      <c r="F1103" s="4">
        <v>4.41</v>
      </c>
      <c r="G1103" s="4">
        <v>74.900000000000006</v>
      </c>
      <c r="H1103" s="4">
        <v>1.59</v>
      </c>
      <c r="I1103" s="4">
        <v>27</v>
      </c>
      <c r="J1103" s="4">
        <v>83.7</v>
      </c>
      <c r="K1103" s="4">
        <v>1.85</v>
      </c>
      <c r="L1103" s="4">
        <v>170.66666666666671</v>
      </c>
      <c r="M1103" s="4">
        <v>133.1</v>
      </c>
      <c r="N1103" s="4">
        <v>80.5</v>
      </c>
      <c r="O1103" s="4">
        <v>11.025</v>
      </c>
      <c r="P1103" s="4">
        <v>187.25</v>
      </c>
      <c r="Q1103" s="4">
        <v>79.5</v>
      </c>
      <c r="R1103" s="4">
        <v>187</v>
      </c>
      <c r="S1103" s="4" t="str" cm="1">
        <f t="array" ref="S1103">_xlfn.IFS($R1103&lt;=50,"Good",$R1103&lt;=100,"Moderate",$R1103&lt;=200,"Poor",$R1103&lt;=300,"Very Poor",$R1103&lt;=500,"Hazardous")</f>
        <v>Poor</v>
      </c>
      <c r="T1103" t="s">
        <v>27</v>
      </c>
      <c r="X1103" s="2"/>
      <c r="Y1103" s="2"/>
    </row>
    <row r="1104" spans="1:25" x14ac:dyDescent="0.3">
      <c r="A1104" s="2">
        <v>45512</v>
      </c>
      <c r="B1104" t="s">
        <v>22</v>
      </c>
      <c r="C1104" s="4">
        <v>41.3</v>
      </c>
      <c r="D1104" s="4">
        <v>95.6</v>
      </c>
      <c r="E1104" s="4">
        <v>18.5</v>
      </c>
      <c r="F1104" s="4">
        <v>6.94</v>
      </c>
      <c r="G1104" s="4">
        <v>1</v>
      </c>
      <c r="H1104" s="4">
        <v>1.39</v>
      </c>
      <c r="I1104" s="4">
        <v>25.3</v>
      </c>
      <c r="J1104" s="4">
        <v>50.6</v>
      </c>
      <c r="K1104" s="4">
        <v>1.5</v>
      </c>
      <c r="L1104" s="4">
        <v>68.833333333333329</v>
      </c>
      <c r="M1104" s="4">
        <v>95.6</v>
      </c>
      <c r="N1104" s="4">
        <v>23.125</v>
      </c>
      <c r="O1104" s="4">
        <v>17.350000000000001</v>
      </c>
      <c r="P1104" s="4">
        <v>2.5</v>
      </c>
      <c r="Q1104" s="4">
        <v>69.499999999999986</v>
      </c>
      <c r="R1104" s="4">
        <v>96</v>
      </c>
      <c r="S1104" s="4" t="str" cm="1">
        <f t="array" ref="S1104">_xlfn.IFS($R1104&lt;=50,"Good",$R1104&lt;=100,"Moderate",$R1104&lt;=200,"Poor",$R1104&lt;=300,"Very Poor",$R1104&lt;=500,"Hazardous")</f>
        <v>Moderate</v>
      </c>
      <c r="T1104" t="s">
        <v>28</v>
      </c>
      <c r="X1104" s="2"/>
      <c r="Y1104" s="2"/>
    </row>
    <row r="1105" spans="1:25" x14ac:dyDescent="0.3">
      <c r="A1105" s="2">
        <v>45512</v>
      </c>
      <c r="B1105" t="s">
        <v>23</v>
      </c>
      <c r="C1105" s="4">
        <v>42.4</v>
      </c>
      <c r="D1105" s="4">
        <v>129</v>
      </c>
      <c r="E1105" s="4">
        <v>44.8</v>
      </c>
      <c r="F1105" s="4">
        <v>3.58</v>
      </c>
      <c r="G1105" s="4">
        <v>18.8</v>
      </c>
      <c r="H1105" s="4">
        <v>1.28</v>
      </c>
      <c r="I1105" s="4">
        <v>19.899999999999999</v>
      </c>
      <c r="J1105" s="4">
        <v>61.1</v>
      </c>
      <c r="K1105" s="4">
        <v>2.65</v>
      </c>
      <c r="L1105" s="4">
        <v>70.666666666666671</v>
      </c>
      <c r="M1105" s="4">
        <v>129</v>
      </c>
      <c r="N1105" s="4">
        <v>55.999999999999993</v>
      </c>
      <c r="O1105" s="4">
        <v>8.9499999999999993</v>
      </c>
      <c r="P1105" s="4">
        <v>47</v>
      </c>
      <c r="Q1105" s="4">
        <v>64</v>
      </c>
      <c r="R1105" s="4">
        <v>129</v>
      </c>
      <c r="S1105" s="4" t="str" cm="1">
        <f t="array" ref="S1105">_xlfn.IFS($R1105&lt;=50,"Good",$R1105&lt;=100,"Moderate",$R1105&lt;=200,"Poor",$R1105&lt;=300,"Very Poor",$R1105&lt;=500,"Hazardous")</f>
        <v>Poor</v>
      </c>
      <c r="T1105" t="s">
        <v>28</v>
      </c>
      <c r="X1105" s="2"/>
      <c r="Y1105" s="2"/>
    </row>
    <row r="1106" spans="1:25" x14ac:dyDescent="0.3">
      <c r="A1106" s="2">
        <v>45512</v>
      </c>
      <c r="B1106" t="s">
        <v>24</v>
      </c>
      <c r="C1106" s="4">
        <v>61</v>
      </c>
      <c r="D1106" s="4">
        <v>150.9</v>
      </c>
      <c r="E1106" s="4">
        <v>17.399999999999999</v>
      </c>
      <c r="F1106" s="4">
        <v>0.5</v>
      </c>
      <c r="G1106" s="4">
        <v>28.4</v>
      </c>
      <c r="H1106" s="4">
        <v>2.0099999999999998</v>
      </c>
      <c r="I1106" s="4">
        <v>39.200000000000003</v>
      </c>
      <c r="J1106" s="4">
        <v>93</v>
      </c>
      <c r="K1106" s="4">
        <v>2.77</v>
      </c>
      <c r="L1106" s="4">
        <v>101.6666666666667</v>
      </c>
      <c r="M1106" s="4">
        <v>150.9</v>
      </c>
      <c r="N1106" s="4">
        <v>21.75</v>
      </c>
      <c r="O1106" s="4">
        <v>1.25</v>
      </c>
      <c r="P1106" s="4">
        <v>71</v>
      </c>
      <c r="Q1106" s="4">
        <v>100.5</v>
      </c>
      <c r="R1106" s="4">
        <v>151</v>
      </c>
      <c r="S1106" s="4" t="str" cm="1">
        <f t="array" ref="S1106">_xlfn.IFS($R1106&lt;=50,"Good",$R1106&lt;=100,"Moderate",$R1106&lt;=200,"Poor",$R1106&lt;=300,"Very Poor",$R1106&lt;=500,"Hazardous")</f>
        <v>Poor</v>
      </c>
      <c r="T1106" t="s">
        <v>28</v>
      </c>
      <c r="X1106" s="2"/>
      <c r="Y1106" s="2"/>
    </row>
    <row r="1107" spans="1:25" x14ac:dyDescent="0.3">
      <c r="A1107" s="2">
        <v>45513</v>
      </c>
      <c r="B1107" t="s">
        <v>20</v>
      </c>
      <c r="C1107" s="4">
        <v>6</v>
      </c>
      <c r="D1107" s="4">
        <v>5</v>
      </c>
      <c r="E1107" s="4">
        <v>30.1</v>
      </c>
      <c r="F1107" s="4">
        <v>6.45</v>
      </c>
      <c r="G1107" s="4">
        <v>83.4</v>
      </c>
      <c r="H1107" s="4">
        <v>1.58</v>
      </c>
      <c r="I1107" s="4">
        <v>26.6</v>
      </c>
      <c r="J1107" s="4">
        <v>44</v>
      </c>
      <c r="K1107" s="4">
        <v>1.35</v>
      </c>
      <c r="L1107" s="4">
        <v>10</v>
      </c>
      <c r="M1107" s="4">
        <v>5</v>
      </c>
      <c r="N1107" s="4">
        <v>37.625</v>
      </c>
      <c r="O1107" s="4">
        <v>16.125</v>
      </c>
      <c r="P1107" s="4">
        <v>208.5</v>
      </c>
      <c r="Q1107" s="4">
        <v>79</v>
      </c>
      <c r="R1107" s="4">
        <v>209</v>
      </c>
      <c r="S1107" s="4" t="str" cm="1">
        <f t="array" ref="S1107">_xlfn.IFS($R1107&lt;=50,"Good",$R1107&lt;=100,"Moderate",$R1107&lt;=200,"Poor",$R1107&lt;=300,"Very Poor",$R1107&lt;=500,"Hazardous")</f>
        <v>Very Poor</v>
      </c>
      <c r="T1107" t="s">
        <v>27</v>
      </c>
      <c r="X1107" s="2"/>
      <c r="Y1107" s="2"/>
    </row>
    <row r="1108" spans="1:25" x14ac:dyDescent="0.3">
      <c r="A1108" s="2">
        <v>45513</v>
      </c>
      <c r="B1108" t="s">
        <v>21</v>
      </c>
      <c r="C1108" s="4">
        <v>67.599999999999994</v>
      </c>
      <c r="D1108" s="4">
        <v>161.80000000000001</v>
      </c>
      <c r="E1108" s="4">
        <v>52.8</v>
      </c>
      <c r="F1108" s="4">
        <v>2.83</v>
      </c>
      <c r="G1108" s="4">
        <v>70.3</v>
      </c>
      <c r="H1108" s="4">
        <v>1.46</v>
      </c>
      <c r="I1108" s="4">
        <v>17.5</v>
      </c>
      <c r="J1108" s="4">
        <v>45.9</v>
      </c>
      <c r="K1108" s="4">
        <v>3.33</v>
      </c>
      <c r="L1108" s="4">
        <v>112.6666666666667</v>
      </c>
      <c r="M1108" s="4">
        <v>161.80000000000001</v>
      </c>
      <c r="N1108" s="4">
        <v>66</v>
      </c>
      <c r="O1108" s="4">
        <v>7.0750000000000002</v>
      </c>
      <c r="P1108" s="4">
        <v>175.75</v>
      </c>
      <c r="Q1108" s="4">
        <v>73</v>
      </c>
      <c r="R1108" s="4">
        <v>176</v>
      </c>
      <c r="S1108" s="4" t="str" cm="1">
        <f t="array" ref="S1108">_xlfn.IFS($R1108&lt;=50,"Good",$R1108&lt;=100,"Moderate",$R1108&lt;=200,"Poor",$R1108&lt;=300,"Very Poor",$R1108&lt;=500,"Hazardous")</f>
        <v>Poor</v>
      </c>
      <c r="T1108" t="s">
        <v>27</v>
      </c>
      <c r="X1108" s="2"/>
      <c r="Y1108" s="2"/>
    </row>
    <row r="1109" spans="1:25" x14ac:dyDescent="0.3">
      <c r="A1109" s="2">
        <v>45513</v>
      </c>
      <c r="B1109" t="s">
        <v>22</v>
      </c>
      <c r="C1109" s="4">
        <v>40.299999999999997</v>
      </c>
      <c r="D1109" s="4">
        <v>163.69999999999999</v>
      </c>
      <c r="E1109" s="4">
        <v>41.8</v>
      </c>
      <c r="F1109" s="4">
        <v>4.2300000000000004</v>
      </c>
      <c r="G1109" s="4">
        <v>37.799999999999997</v>
      </c>
      <c r="H1109" s="4">
        <v>0.94</v>
      </c>
      <c r="I1109" s="4">
        <v>19.899999999999999</v>
      </c>
      <c r="J1109" s="4">
        <v>43.6</v>
      </c>
      <c r="K1109" s="4">
        <v>3.34</v>
      </c>
      <c r="L1109" s="4">
        <v>67.166666666666671</v>
      </c>
      <c r="M1109" s="4">
        <v>163.69999999999999</v>
      </c>
      <c r="N1109" s="4">
        <v>52.25</v>
      </c>
      <c r="O1109" s="4">
        <v>10.574999999999999</v>
      </c>
      <c r="P1109" s="4">
        <v>94.499999999999986</v>
      </c>
      <c r="Q1109" s="4">
        <v>47</v>
      </c>
      <c r="R1109" s="4">
        <v>164</v>
      </c>
      <c r="S1109" s="4" t="str" cm="1">
        <f t="array" ref="S1109">_xlfn.IFS($R1109&lt;=50,"Good",$R1109&lt;=100,"Moderate",$R1109&lt;=200,"Poor",$R1109&lt;=300,"Very Poor",$R1109&lt;=500,"Hazardous")</f>
        <v>Poor</v>
      </c>
      <c r="T1109" t="s">
        <v>28</v>
      </c>
      <c r="X1109" s="2"/>
      <c r="Y1109" s="2"/>
    </row>
    <row r="1110" spans="1:25" x14ac:dyDescent="0.3">
      <c r="A1110" s="2">
        <v>45513</v>
      </c>
      <c r="B1110" t="s">
        <v>23</v>
      </c>
      <c r="C1110" s="4">
        <v>68.3</v>
      </c>
      <c r="D1110" s="4">
        <v>125</v>
      </c>
      <c r="E1110" s="4">
        <v>60.2</v>
      </c>
      <c r="F1110" s="4">
        <v>4.2300000000000004</v>
      </c>
      <c r="G1110" s="4">
        <v>81.900000000000006</v>
      </c>
      <c r="H1110" s="4">
        <v>0.53</v>
      </c>
      <c r="I1110" s="4">
        <v>17.899999999999999</v>
      </c>
      <c r="J1110" s="4">
        <v>28.3</v>
      </c>
      <c r="K1110" s="4">
        <v>1.97</v>
      </c>
      <c r="L1110" s="4">
        <v>113.8333333333333</v>
      </c>
      <c r="M1110" s="4">
        <v>125</v>
      </c>
      <c r="N1110" s="4">
        <v>75.25</v>
      </c>
      <c r="O1110" s="4">
        <v>10.574999999999999</v>
      </c>
      <c r="P1110" s="4">
        <v>204.75</v>
      </c>
      <c r="Q1110" s="4">
        <v>26.5</v>
      </c>
      <c r="R1110" s="4">
        <v>205</v>
      </c>
      <c r="S1110" s="4" t="str" cm="1">
        <f t="array" ref="S1110">_xlfn.IFS($R1110&lt;=50,"Good",$R1110&lt;=100,"Moderate",$R1110&lt;=200,"Poor",$R1110&lt;=300,"Very Poor",$R1110&lt;=500,"Hazardous")</f>
        <v>Very Poor</v>
      </c>
      <c r="T1110" t="s">
        <v>27</v>
      </c>
      <c r="X1110" s="2"/>
      <c r="Y1110" s="2"/>
    </row>
    <row r="1111" spans="1:25" x14ac:dyDescent="0.3">
      <c r="A1111" s="2">
        <v>45513</v>
      </c>
      <c r="B1111" t="s">
        <v>24</v>
      </c>
      <c r="C1111" s="4">
        <v>39.5</v>
      </c>
      <c r="D1111" s="4">
        <v>133.4</v>
      </c>
      <c r="E1111" s="4">
        <v>43.9</v>
      </c>
      <c r="F1111" s="4">
        <v>1.79</v>
      </c>
      <c r="G1111" s="4">
        <v>33.200000000000003</v>
      </c>
      <c r="H1111" s="4">
        <v>0.86</v>
      </c>
      <c r="I1111" s="4">
        <v>12.6</v>
      </c>
      <c r="J1111" s="4">
        <v>42.3</v>
      </c>
      <c r="K1111" s="4">
        <v>2.08</v>
      </c>
      <c r="L1111" s="4">
        <v>65.833333333333329</v>
      </c>
      <c r="M1111" s="4">
        <v>133.4</v>
      </c>
      <c r="N1111" s="4">
        <v>54.875</v>
      </c>
      <c r="O1111" s="4">
        <v>4.4749999999999996</v>
      </c>
      <c r="P1111" s="4">
        <v>83</v>
      </c>
      <c r="Q1111" s="4">
        <v>43</v>
      </c>
      <c r="R1111" s="4">
        <v>133</v>
      </c>
      <c r="S1111" s="4" t="str" cm="1">
        <f t="array" ref="S1111">_xlfn.IFS($R1111&lt;=50,"Good",$R1111&lt;=100,"Moderate",$R1111&lt;=200,"Poor",$R1111&lt;=300,"Very Poor",$R1111&lt;=500,"Hazardous")</f>
        <v>Poor</v>
      </c>
      <c r="T1111" t="s">
        <v>28</v>
      </c>
      <c r="X1111" s="2"/>
      <c r="Y1111" s="2"/>
    </row>
    <row r="1112" spans="1:25" x14ac:dyDescent="0.3">
      <c r="A1112" s="2">
        <v>45514</v>
      </c>
      <c r="B1112" t="s">
        <v>20</v>
      </c>
      <c r="C1112" s="4">
        <v>94.8</v>
      </c>
      <c r="D1112" s="4">
        <v>121</v>
      </c>
      <c r="E1112" s="4">
        <v>53.6</v>
      </c>
      <c r="F1112" s="4">
        <v>0.5</v>
      </c>
      <c r="G1112" s="4">
        <v>80.3</v>
      </c>
      <c r="H1112" s="4">
        <v>1.82</v>
      </c>
      <c r="I1112" s="4">
        <v>11</v>
      </c>
      <c r="J1112" s="4">
        <v>47.3</v>
      </c>
      <c r="K1112" s="4">
        <v>3.09</v>
      </c>
      <c r="L1112" s="4">
        <v>158</v>
      </c>
      <c r="M1112" s="4">
        <v>121</v>
      </c>
      <c r="N1112" s="4">
        <v>67</v>
      </c>
      <c r="O1112" s="4">
        <v>1.25</v>
      </c>
      <c r="P1112" s="4">
        <v>200.75</v>
      </c>
      <c r="Q1112" s="4">
        <v>91</v>
      </c>
      <c r="R1112" s="4">
        <v>201</v>
      </c>
      <c r="S1112" s="4" t="str" cm="1">
        <f t="array" ref="S1112">_xlfn.IFS($R1112&lt;=50,"Good",$R1112&lt;=100,"Moderate",$R1112&lt;=200,"Poor",$R1112&lt;=300,"Very Poor",$R1112&lt;=500,"Hazardous")</f>
        <v>Very Poor</v>
      </c>
      <c r="T1112" t="s">
        <v>27</v>
      </c>
      <c r="X1112" s="2"/>
      <c r="Y1112" s="2"/>
    </row>
    <row r="1113" spans="1:25" x14ac:dyDescent="0.3">
      <c r="A1113" s="2">
        <v>45514</v>
      </c>
      <c r="B1113" t="s">
        <v>21</v>
      </c>
      <c r="C1113" s="4">
        <v>79.3</v>
      </c>
      <c r="D1113" s="4">
        <v>79.3</v>
      </c>
      <c r="E1113" s="4">
        <v>38.9</v>
      </c>
      <c r="F1113" s="4">
        <v>5.01</v>
      </c>
      <c r="G1113" s="4">
        <v>53.5</v>
      </c>
      <c r="H1113" s="4">
        <v>1.92</v>
      </c>
      <c r="I1113" s="4">
        <v>19.600000000000001</v>
      </c>
      <c r="J1113" s="4">
        <v>78</v>
      </c>
      <c r="K1113" s="4">
        <v>1.56</v>
      </c>
      <c r="L1113" s="4">
        <v>132.16666666666671</v>
      </c>
      <c r="M1113" s="4">
        <v>79.3</v>
      </c>
      <c r="N1113" s="4">
        <v>48.625</v>
      </c>
      <c r="O1113" s="4">
        <v>12.525</v>
      </c>
      <c r="P1113" s="4">
        <v>133.75</v>
      </c>
      <c r="Q1113" s="4">
        <v>96</v>
      </c>
      <c r="R1113" s="4">
        <v>134</v>
      </c>
      <c r="S1113" s="4" t="str" cm="1">
        <f t="array" ref="S1113">_xlfn.IFS($R1113&lt;=50,"Good",$R1113&lt;=100,"Moderate",$R1113&lt;=200,"Poor",$R1113&lt;=300,"Very Poor",$R1113&lt;=500,"Hazardous")</f>
        <v>Poor</v>
      </c>
      <c r="T1113" t="s">
        <v>27</v>
      </c>
      <c r="X1113" s="2"/>
      <c r="Y1113" s="2"/>
    </row>
    <row r="1114" spans="1:25" x14ac:dyDescent="0.3">
      <c r="A1114" s="2">
        <v>45514</v>
      </c>
      <c r="B1114" t="s">
        <v>22</v>
      </c>
      <c r="C1114" s="4">
        <v>26.3</v>
      </c>
      <c r="D1114" s="4">
        <v>128.5</v>
      </c>
      <c r="E1114" s="4">
        <v>48.2</v>
      </c>
      <c r="F1114" s="4">
        <v>9.32</v>
      </c>
      <c r="G1114" s="4">
        <v>6.7</v>
      </c>
      <c r="H1114" s="4">
        <v>0.7</v>
      </c>
      <c r="I1114" s="4">
        <v>30.8</v>
      </c>
      <c r="J1114" s="4">
        <v>60.7</v>
      </c>
      <c r="K1114" s="4">
        <v>1.21</v>
      </c>
      <c r="L1114" s="4">
        <v>43.833333333333343</v>
      </c>
      <c r="M1114" s="4">
        <v>128.5</v>
      </c>
      <c r="N1114" s="4">
        <v>60.250000000000007</v>
      </c>
      <c r="O1114" s="4">
        <v>23.3</v>
      </c>
      <c r="P1114" s="4">
        <v>16.75</v>
      </c>
      <c r="Q1114" s="4">
        <v>34.999999999999993</v>
      </c>
      <c r="R1114" s="4">
        <v>128</v>
      </c>
      <c r="S1114" s="4" t="str" cm="1">
        <f t="array" ref="S1114">_xlfn.IFS($R1114&lt;=50,"Good",$R1114&lt;=100,"Moderate",$R1114&lt;=200,"Poor",$R1114&lt;=300,"Very Poor",$R1114&lt;=500,"Hazardous")</f>
        <v>Poor</v>
      </c>
      <c r="T1114" t="s">
        <v>28</v>
      </c>
      <c r="X1114" s="2"/>
      <c r="Y1114" s="2"/>
    </row>
    <row r="1115" spans="1:25" x14ac:dyDescent="0.3">
      <c r="A1115" s="2">
        <v>45514</v>
      </c>
      <c r="B1115" t="s">
        <v>23</v>
      </c>
      <c r="C1115" s="4">
        <v>59</v>
      </c>
      <c r="D1115" s="4">
        <v>61.7</v>
      </c>
      <c r="E1115" s="4">
        <v>64.7</v>
      </c>
      <c r="F1115" s="4">
        <v>12.58</v>
      </c>
      <c r="G1115" s="4">
        <v>55.1</v>
      </c>
      <c r="H1115" s="4">
        <v>1.61</v>
      </c>
      <c r="I1115" s="4">
        <v>25.5</v>
      </c>
      <c r="J1115" s="4">
        <v>73.8</v>
      </c>
      <c r="K1115" s="4">
        <v>4.2699999999999996</v>
      </c>
      <c r="L1115" s="4">
        <v>98.333333333333329</v>
      </c>
      <c r="M1115" s="4">
        <v>61.7</v>
      </c>
      <c r="N1115" s="4">
        <v>80.875</v>
      </c>
      <c r="O1115" s="4">
        <v>31.45</v>
      </c>
      <c r="P1115" s="4">
        <v>137.75</v>
      </c>
      <c r="Q1115" s="4">
        <v>80.5</v>
      </c>
      <c r="R1115" s="4">
        <v>138</v>
      </c>
      <c r="S1115" s="4" t="str" cm="1">
        <f t="array" ref="S1115">_xlfn.IFS($R1115&lt;=50,"Good",$R1115&lt;=100,"Moderate",$R1115&lt;=200,"Poor",$R1115&lt;=300,"Very Poor",$R1115&lt;=500,"Hazardous")</f>
        <v>Poor</v>
      </c>
      <c r="T1115" t="s">
        <v>27</v>
      </c>
      <c r="X1115" s="2"/>
      <c r="Y1115" s="2"/>
    </row>
    <row r="1116" spans="1:25" x14ac:dyDescent="0.3">
      <c r="A1116" s="2">
        <v>45514</v>
      </c>
      <c r="B1116" t="s">
        <v>24</v>
      </c>
      <c r="C1116" s="4">
        <v>59.3</v>
      </c>
      <c r="D1116" s="4">
        <v>92.1</v>
      </c>
      <c r="E1116" s="4">
        <v>9.6</v>
      </c>
      <c r="F1116" s="4">
        <v>6.67</v>
      </c>
      <c r="G1116" s="4">
        <v>66.599999999999994</v>
      </c>
      <c r="H1116" s="4">
        <v>1.56</v>
      </c>
      <c r="I1116" s="4">
        <v>28.5</v>
      </c>
      <c r="J1116" s="4">
        <v>50.3</v>
      </c>
      <c r="K1116" s="4">
        <v>0.63</v>
      </c>
      <c r="L1116" s="4">
        <v>98.833333333333329</v>
      </c>
      <c r="M1116" s="4">
        <v>92.1</v>
      </c>
      <c r="N1116" s="4">
        <v>12</v>
      </c>
      <c r="O1116" s="4">
        <v>16.675000000000001</v>
      </c>
      <c r="P1116" s="4">
        <v>166.5</v>
      </c>
      <c r="Q1116" s="4">
        <v>78</v>
      </c>
      <c r="R1116" s="4">
        <v>166</v>
      </c>
      <c r="S1116" s="4" t="str" cm="1">
        <f t="array" ref="S1116">_xlfn.IFS($R1116&lt;=50,"Good",$R1116&lt;=100,"Moderate",$R1116&lt;=200,"Poor",$R1116&lt;=300,"Very Poor",$R1116&lt;=500,"Hazardous")</f>
        <v>Poor</v>
      </c>
      <c r="T1116" t="s">
        <v>27</v>
      </c>
      <c r="X1116" s="2"/>
      <c r="Y1116" s="2"/>
    </row>
    <row r="1117" spans="1:25" x14ac:dyDescent="0.3">
      <c r="A1117" s="2">
        <v>45515</v>
      </c>
      <c r="B1117" t="s">
        <v>20</v>
      </c>
      <c r="C1117" s="4">
        <v>41.5</v>
      </c>
      <c r="D1117" s="4">
        <v>93.6</v>
      </c>
      <c r="E1117" s="4">
        <v>35.6</v>
      </c>
      <c r="F1117" s="4">
        <v>10.210000000000001</v>
      </c>
      <c r="G1117" s="4">
        <v>103.1</v>
      </c>
      <c r="H1117" s="4">
        <v>1.17</v>
      </c>
      <c r="I1117" s="4">
        <v>23.5</v>
      </c>
      <c r="J1117" s="4">
        <v>55.3</v>
      </c>
      <c r="K1117" s="4">
        <v>2.65</v>
      </c>
      <c r="L1117" s="4">
        <v>69.166666666666671</v>
      </c>
      <c r="M1117" s="4">
        <v>93.6</v>
      </c>
      <c r="N1117" s="4">
        <v>44.500000000000007</v>
      </c>
      <c r="O1117" s="4">
        <v>25.524999999999999</v>
      </c>
      <c r="P1117" s="4">
        <v>257.75</v>
      </c>
      <c r="Q1117" s="4">
        <v>58.5</v>
      </c>
      <c r="R1117" s="4">
        <v>258</v>
      </c>
      <c r="S1117" s="4" t="str" cm="1">
        <f t="array" ref="S1117">_xlfn.IFS($R1117&lt;=50,"Good",$R1117&lt;=100,"Moderate",$R1117&lt;=200,"Poor",$R1117&lt;=300,"Very Poor",$R1117&lt;=500,"Hazardous")</f>
        <v>Very Poor</v>
      </c>
      <c r="T1117" t="s">
        <v>27</v>
      </c>
      <c r="X1117" s="2"/>
      <c r="Y1117" s="2"/>
    </row>
    <row r="1118" spans="1:25" x14ac:dyDescent="0.3">
      <c r="A1118" s="2">
        <v>45515</v>
      </c>
      <c r="B1118" t="s">
        <v>21</v>
      </c>
      <c r="C1118" s="4">
        <v>35.200000000000003</v>
      </c>
      <c r="D1118" s="4">
        <v>127.2</v>
      </c>
      <c r="E1118" s="4">
        <v>54</v>
      </c>
      <c r="F1118" s="4">
        <v>9.0500000000000007</v>
      </c>
      <c r="G1118" s="4">
        <v>64.3</v>
      </c>
      <c r="H1118" s="4">
        <v>1.46</v>
      </c>
      <c r="I1118" s="4">
        <v>12.6</v>
      </c>
      <c r="J1118" s="4">
        <v>71.5</v>
      </c>
      <c r="K1118" s="4">
        <v>1.69</v>
      </c>
      <c r="L1118" s="4">
        <v>58.666666666666671</v>
      </c>
      <c r="M1118" s="4">
        <v>127.2</v>
      </c>
      <c r="N1118" s="4">
        <v>67.5</v>
      </c>
      <c r="O1118" s="4">
        <v>22.625</v>
      </c>
      <c r="P1118" s="4">
        <v>160.75</v>
      </c>
      <c r="Q1118" s="4">
        <v>73</v>
      </c>
      <c r="R1118" s="4">
        <v>161</v>
      </c>
      <c r="S1118" s="4" t="str" cm="1">
        <f t="array" ref="S1118">_xlfn.IFS($R1118&lt;=50,"Good",$R1118&lt;=100,"Moderate",$R1118&lt;=200,"Poor",$R1118&lt;=300,"Very Poor",$R1118&lt;=500,"Hazardous")</f>
        <v>Poor</v>
      </c>
      <c r="T1118" t="s">
        <v>27</v>
      </c>
      <c r="X1118" s="2"/>
      <c r="Y1118" s="2"/>
    </row>
    <row r="1119" spans="1:25" x14ac:dyDescent="0.3">
      <c r="A1119" s="2">
        <v>45515</v>
      </c>
      <c r="B1119" t="s">
        <v>22</v>
      </c>
      <c r="C1119" s="4">
        <v>20.6</v>
      </c>
      <c r="D1119" s="4">
        <v>40.799999999999997</v>
      </c>
      <c r="E1119" s="4">
        <v>40.799999999999997</v>
      </c>
      <c r="F1119" s="4">
        <v>5.23</v>
      </c>
      <c r="G1119" s="4">
        <v>1</v>
      </c>
      <c r="H1119" s="4">
        <v>1.1299999999999999</v>
      </c>
      <c r="I1119" s="4">
        <v>14.9</v>
      </c>
      <c r="J1119" s="4">
        <v>62.5</v>
      </c>
      <c r="K1119" s="4">
        <v>2.79</v>
      </c>
      <c r="L1119" s="4">
        <v>34.333333333333343</v>
      </c>
      <c r="M1119" s="4">
        <v>40.799999999999997</v>
      </c>
      <c r="N1119" s="4">
        <v>51</v>
      </c>
      <c r="O1119" s="4">
        <v>13.074999999999999</v>
      </c>
      <c r="P1119" s="4">
        <v>2.5</v>
      </c>
      <c r="Q1119" s="4">
        <v>56.499999999999993</v>
      </c>
      <c r="R1119" s="4">
        <v>56</v>
      </c>
      <c r="S1119" s="4" t="str" cm="1">
        <f t="array" ref="S1119">_xlfn.IFS($R1119&lt;=50,"Good",$R1119&lt;=100,"Moderate",$R1119&lt;=200,"Poor",$R1119&lt;=300,"Very Poor",$R1119&lt;=500,"Hazardous")</f>
        <v>Moderate</v>
      </c>
      <c r="T1119" t="s">
        <v>29</v>
      </c>
      <c r="X1119" s="2"/>
      <c r="Y1119" s="2"/>
    </row>
    <row r="1120" spans="1:25" x14ac:dyDescent="0.3">
      <c r="A1120" s="2">
        <v>45515</v>
      </c>
      <c r="B1120" t="s">
        <v>23</v>
      </c>
      <c r="C1120" s="4">
        <v>69.3</v>
      </c>
      <c r="D1120" s="4">
        <v>181.5</v>
      </c>
      <c r="E1120" s="4">
        <v>14.2</v>
      </c>
      <c r="F1120" s="4">
        <v>6.19</v>
      </c>
      <c r="G1120" s="4">
        <v>33.1</v>
      </c>
      <c r="H1120" s="4">
        <v>1.17</v>
      </c>
      <c r="I1120" s="4">
        <v>26.5</v>
      </c>
      <c r="J1120" s="4">
        <v>53.7</v>
      </c>
      <c r="K1120" s="4">
        <v>1.97</v>
      </c>
      <c r="L1120" s="4">
        <v>115.5</v>
      </c>
      <c r="M1120" s="4">
        <v>181.5</v>
      </c>
      <c r="N1120" s="4">
        <v>17.75</v>
      </c>
      <c r="O1120" s="4">
        <v>15.475</v>
      </c>
      <c r="P1120" s="4">
        <v>82.75</v>
      </c>
      <c r="Q1120" s="4">
        <v>58.5</v>
      </c>
      <c r="R1120" s="4">
        <v>182</v>
      </c>
      <c r="S1120" s="4" t="str" cm="1">
        <f t="array" ref="S1120">_xlfn.IFS($R1120&lt;=50,"Good",$R1120&lt;=100,"Moderate",$R1120&lt;=200,"Poor",$R1120&lt;=300,"Very Poor",$R1120&lt;=500,"Hazardous")</f>
        <v>Poor</v>
      </c>
      <c r="T1120" t="s">
        <v>28</v>
      </c>
      <c r="X1120" s="2"/>
      <c r="Y1120" s="2"/>
    </row>
    <row r="1121" spans="1:25" x14ac:dyDescent="0.3">
      <c r="A1121" s="2">
        <v>45515</v>
      </c>
      <c r="B1121" t="s">
        <v>24</v>
      </c>
      <c r="C1121" s="4">
        <v>23.3</v>
      </c>
      <c r="D1121" s="4">
        <v>157.80000000000001</v>
      </c>
      <c r="E1121" s="4">
        <v>47.7</v>
      </c>
      <c r="F1121" s="4">
        <v>11.08</v>
      </c>
      <c r="G1121" s="4">
        <v>35.5</v>
      </c>
      <c r="H1121" s="4">
        <v>0.71</v>
      </c>
      <c r="I1121" s="4">
        <v>17.5</v>
      </c>
      <c r="J1121" s="4">
        <v>66.5</v>
      </c>
      <c r="K1121" s="4">
        <v>1.75</v>
      </c>
      <c r="L1121" s="4">
        <v>38.833333333333343</v>
      </c>
      <c r="M1121" s="4">
        <v>157.80000000000001</v>
      </c>
      <c r="N1121" s="4">
        <v>59.625000000000007</v>
      </c>
      <c r="O1121" s="4">
        <v>27.7</v>
      </c>
      <c r="P1121" s="4">
        <v>88.75</v>
      </c>
      <c r="Q1121" s="4">
        <v>35.5</v>
      </c>
      <c r="R1121" s="4">
        <v>158</v>
      </c>
      <c r="S1121" s="4" t="str" cm="1">
        <f t="array" ref="S1121">_xlfn.IFS($R1121&lt;=50,"Good",$R1121&lt;=100,"Moderate",$R1121&lt;=200,"Poor",$R1121&lt;=300,"Very Poor",$R1121&lt;=500,"Hazardous")</f>
        <v>Poor</v>
      </c>
      <c r="T1121" t="s">
        <v>28</v>
      </c>
      <c r="X1121" s="2"/>
      <c r="Y1121" s="2"/>
    </row>
    <row r="1122" spans="1:25" x14ac:dyDescent="0.3">
      <c r="A1122" s="2">
        <v>45516</v>
      </c>
      <c r="B1122" t="s">
        <v>20</v>
      </c>
      <c r="C1122" s="4">
        <v>106.2</v>
      </c>
      <c r="D1122" s="4">
        <v>38.200000000000003</v>
      </c>
      <c r="E1122" s="4">
        <v>46.4</v>
      </c>
      <c r="F1122" s="4">
        <v>14.57</v>
      </c>
      <c r="G1122" s="4">
        <v>63.2</v>
      </c>
      <c r="H1122" s="4">
        <v>1.2</v>
      </c>
      <c r="I1122" s="4">
        <v>18.2</v>
      </c>
      <c r="J1122" s="4">
        <v>35.1</v>
      </c>
      <c r="K1122" s="4">
        <v>3.42</v>
      </c>
      <c r="L1122" s="4">
        <v>177</v>
      </c>
      <c r="M1122" s="4">
        <v>38.200000000000003</v>
      </c>
      <c r="N1122" s="4">
        <v>57.999999999999993</v>
      </c>
      <c r="O1122" s="4">
        <v>36.424999999999997</v>
      </c>
      <c r="P1122" s="4">
        <v>158</v>
      </c>
      <c r="Q1122" s="4">
        <v>60</v>
      </c>
      <c r="R1122" s="4">
        <v>177</v>
      </c>
      <c r="S1122" s="4" t="str" cm="1">
        <f t="array" ref="S1122">_xlfn.IFS($R1122&lt;=50,"Good",$R1122&lt;=100,"Moderate",$R1122&lt;=200,"Poor",$R1122&lt;=300,"Very Poor",$R1122&lt;=500,"Hazardous")</f>
        <v>Poor</v>
      </c>
      <c r="T1122" t="s">
        <v>25</v>
      </c>
      <c r="X1122" s="2"/>
      <c r="Y1122" s="2"/>
    </row>
    <row r="1123" spans="1:25" x14ac:dyDescent="0.3">
      <c r="A1123" s="2">
        <v>45516</v>
      </c>
      <c r="B1123" t="s">
        <v>21</v>
      </c>
      <c r="C1123" s="4">
        <v>105.2</v>
      </c>
      <c r="D1123" s="4">
        <v>93.7</v>
      </c>
      <c r="E1123" s="4">
        <v>22.2</v>
      </c>
      <c r="F1123" s="4">
        <v>0.5</v>
      </c>
      <c r="G1123" s="4">
        <v>19.399999999999999</v>
      </c>
      <c r="H1123" s="4">
        <v>1.1299999999999999</v>
      </c>
      <c r="I1123" s="4">
        <v>36.200000000000003</v>
      </c>
      <c r="J1123" s="4">
        <v>72.099999999999994</v>
      </c>
      <c r="K1123" s="4">
        <v>2.87</v>
      </c>
      <c r="L1123" s="4">
        <v>175.33333333333329</v>
      </c>
      <c r="M1123" s="4">
        <v>93.7</v>
      </c>
      <c r="N1123" s="4">
        <v>27.75</v>
      </c>
      <c r="O1123" s="4">
        <v>1.25</v>
      </c>
      <c r="P1123" s="4">
        <v>48.499999999999993</v>
      </c>
      <c r="Q1123" s="4">
        <v>56.499999999999993</v>
      </c>
      <c r="R1123" s="4">
        <v>175</v>
      </c>
      <c r="S1123" s="4" t="str" cm="1">
        <f t="array" ref="S1123">_xlfn.IFS($R1123&lt;=50,"Good",$R1123&lt;=100,"Moderate",$R1123&lt;=200,"Poor",$R1123&lt;=300,"Very Poor",$R1123&lt;=500,"Hazardous")</f>
        <v>Poor</v>
      </c>
      <c r="T1123" t="s">
        <v>25</v>
      </c>
      <c r="X1123" s="2"/>
      <c r="Y1123" s="2"/>
    </row>
    <row r="1124" spans="1:25" x14ac:dyDescent="0.3">
      <c r="A1124" s="2">
        <v>45516</v>
      </c>
      <c r="B1124" t="s">
        <v>22</v>
      </c>
      <c r="C1124" s="4">
        <v>36.5</v>
      </c>
      <c r="D1124" s="4">
        <v>64.599999999999994</v>
      </c>
      <c r="E1124" s="4">
        <v>55.6</v>
      </c>
      <c r="F1124" s="4">
        <v>6.84</v>
      </c>
      <c r="G1124" s="4">
        <v>1</v>
      </c>
      <c r="H1124" s="4">
        <v>0.6</v>
      </c>
      <c r="I1124" s="4">
        <v>19</v>
      </c>
      <c r="J1124" s="4">
        <v>50.2</v>
      </c>
      <c r="K1124" s="4">
        <v>3.18</v>
      </c>
      <c r="L1124" s="4">
        <v>60.833333333333343</v>
      </c>
      <c r="M1124" s="4">
        <v>64.599999999999994</v>
      </c>
      <c r="N1124" s="4">
        <v>69.5</v>
      </c>
      <c r="O1124" s="4">
        <v>17.100000000000001</v>
      </c>
      <c r="P1124" s="4">
        <v>2.5</v>
      </c>
      <c r="Q1124" s="4">
        <v>30</v>
      </c>
      <c r="R1124" s="4">
        <v>70</v>
      </c>
      <c r="S1124" s="4" t="str" cm="1">
        <f t="array" ref="S1124">_xlfn.IFS($R1124&lt;=50,"Good",$R1124&lt;=100,"Moderate",$R1124&lt;=200,"Poor",$R1124&lt;=300,"Very Poor",$R1124&lt;=500,"Hazardous")</f>
        <v>Moderate</v>
      </c>
      <c r="T1124" t="s">
        <v>26</v>
      </c>
      <c r="X1124" s="2"/>
      <c r="Y1124" s="2"/>
    </row>
    <row r="1125" spans="1:25" x14ac:dyDescent="0.3">
      <c r="A1125" s="2">
        <v>45516</v>
      </c>
      <c r="B1125" t="s">
        <v>23</v>
      </c>
      <c r="C1125" s="4">
        <v>45.4</v>
      </c>
      <c r="D1125" s="4">
        <v>92.3</v>
      </c>
      <c r="E1125" s="4">
        <v>57</v>
      </c>
      <c r="F1125" s="4">
        <v>3.61</v>
      </c>
      <c r="G1125" s="4">
        <v>86.6</v>
      </c>
      <c r="H1125" s="4">
        <v>0.64</v>
      </c>
      <c r="I1125" s="4">
        <v>25.6</v>
      </c>
      <c r="J1125" s="4">
        <v>54.9</v>
      </c>
      <c r="K1125" s="4">
        <v>2.65</v>
      </c>
      <c r="L1125" s="4">
        <v>75.666666666666657</v>
      </c>
      <c r="M1125" s="4">
        <v>92.3</v>
      </c>
      <c r="N1125" s="4">
        <v>71.25</v>
      </c>
      <c r="O1125" s="4">
        <v>9.0250000000000004</v>
      </c>
      <c r="P1125" s="4">
        <v>216.5</v>
      </c>
      <c r="Q1125" s="4">
        <v>32</v>
      </c>
      <c r="R1125" s="4">
        <v>216</v>
      </c>
      <c r="S1125" s="4" t="str" cm="1">
        <f t="array" ref="S1125">_xlfn.IFS($R1125&lt;=50,"Good",$R1125&lt;=100,"Moderate",$R1125&lt;=200,"Poor",$R1125&lt;=300,"Very Poor",$R1125&lt;=500,"Hazardous")</f>
        <v>Very Poor</v>
      </c>
      <c r="T1125" t="s">
        <v>27</v>
      </c>
      <c r="X1125" s="2"/>
      <c r="Y1125" s="2"/>
    </row>
    <row r="1126" spans="1:25" x14ac:dyDescent="0.3">
      <c r="A1126" s="2">
        <v>45516</v>
      </c>
      <c r="B1126" t="s">
        <v>24</v>
      </c>
      <c r="C1126" s="4">
        <v>64.5</v>
      </c>
      <c r="D1126" s="4">
        <v>128.5</v>
      </c>
      <c r="E1126" s="4">
        <v>26.3</v>
      </c>
      <c r="F1126" s="4">
        <v>2.1</v>
      </c>
      <c r="G1126" s="4">
        <v>112.8</v>
      </c>
      <c r="H1126" s="4">
        <v>0.8</v>
      </c>
      <c r="I1126" s="4">
        <v>29.9</v>
      </c>
      <c r="J1126" s="4">
        <v>31.1</v>
      </c>
      <c r="K1126" s="4">
        <v>2.66</v>
      </c>
      <c r="L1126" s="4">
        <v>107.5</v>
      </c>
      <c r="M1126" s="4">
        <v>128.5</v>
      </c>
      <c r="N1126" s="4">
        <v>32.875</v>
      </c>
      <c r="O1126" s="4">
        <v>5.25</v>
      </c>
      <c r="P1126" s="4">
        <v>282</v>
      </c>
      <c r="Q1126" s="4">
        <v>40</v>
      </c>
      <c r="R1126" s="4">
        <v>282</v>
      </c>
      <c r="S1126" s="4" t="str" cm="1">
        <f t="array" ref="S1126">_xlfn.IFS($R1126&lt;=50,"Good",$R1126&lt;=100,"Moderate",$R1126&lt;=200,"Poor",$R1126&lt;=300,"Very Poor",$R1126&lt;=500,"Hazardous")</f>
        <v>Very Poor</v>
      </c>
      <c r="T1126" t="s">
        <v>27</v>
      </c>
      <c r="X1126" s="2"/>
      <c r="Y1126" s="2"/>
    </row>
    <row r="1127" spans="1:25" x14ac:dyDescent="0.3">
      <c r="A1127" s="2">
        <v>45517</v>
      </c>
      <c r="B1127" t="s">
        <v>20</v>
      </c>
      <c r="C1127" s="4">
        <v>51.7</v>
      </c>
      <c r="D1127" s="4">
        <v>136.5</v>
      </c>
      <c r="E1127" s="4">
        <v>2</v>
      </c>
      <c r="F1127" s="4">
        <v>8.1199999999999992</v>
      </c>
      <c r="G1127" s="4">
        <v>12.9</v>
      </c>
      <c r="H1127" s="4">
        <v>1.28</v>
      </c>
      <c r="I1127" s="4">
        <v>17.7</v>
      </c>
      <c r="J1127" s="4">
        <v>44.6</v>
      </c>
      <c r="K1127" s="4">
        <v>2.17</v>
      </c>
      <c r="L1127" s="4">
        <v>86.166666666666671</v>
      </c>
      <c r="M1127" s="4">
        <v>136.5</v>
      </c>
      <c r="N1127" s="4">
        <v>2.5</v>
      </c>
      <c r="O1127" s="4">
        <v>20.3</v>
      </c>
      <c r="P1127" s="4">
        <v>32.25</v>
      </c>
      <c r="Q1127" s="4">
        <v>64</v>
      </c>
      <c r="R1127" s="4">
        <v>136</v>
      </c>
      <c r="S1127" s="4" t="str" cm="1">
        <f t="array" ref="S1127">_xlfn.IFS($R1127&lt;=50,"Good",$R1127&lt;=100,"Moderate",$R1127&lt;=200,"Poor",$R1127&lt;=300,"Very Poor",$R1127&lt;=500,"Hazardous")</f>
        <v>Poor</v>
      </c>
      <c r="T1127" t="s">
        <v>28</v>
      </c>
      <c r="X1127" s="2"/>
      <c r="Y1127" s="2"/>
    </row>
    <row r="1128" spans="1:25" x14ac:dyDescent="0.3">
      <c r="A1128" s="2">
        <v>45517</v>
      </c>
      <c r="B1128" t="s">
        <v>21</v>
      </c>
      <c r="C1128" s="4">
        <v>28.4</v>
      </c>
      <c r="D1128" s="4">
        <v>91.5</v>
      </c>
      <c r="E1128" s="4">
        <v>21.1</v>
      </c>
      <c r="F1128" s="4">
        <v>0.5</v>
      </c>
      <c r="G1128" s="4">
        <v>81.8</v>
      </c>
      <c r="H1128" s="4">
        <v>0.42</v>
      </c>
      <c r="I1128" s="4">
        <v>23.7</v>
      </c>
      <c r="J1128" s="4">
        <v>73.599999999999994</v>
      </c>
      <c r="K1128" s="4">
        <v>1.76</v>
      </c>
      <c r="L1128" s="4">
        <v>47.333333333333329</v>
      </c>
      <c r="M1128" s="4">
        <v>91.5</v>
      </c>
      <c r="N1128" s="4">
        <v>26.375</v>
      </c>
      <c r="O1128" s="4">
        <v>1.25</v>
      </c>
      <c r="P1128" s="4">
        <v>204.5</v>
      </c>
      <c r="Q1128" s="4">
        <v>21</v>
      </c>
      <c r="R1128" s="4">
        <v>204</v>
      </c>
      <c r="S1128" s="4" t="str" cm="1">
        <f t="array" ref="S1128">_xlfn.IFS($R1128&lt;=50,"Good",$R1128&lt;=100,"Moderate",$R1128&lt;=200,"Poor",$R1128&lt;=300,"Very Poor",$R1128&lt;=500,"Hazardous")</f>
        <v>Very Poor</v>
      </c>
      <c r="T1128" t="s">
        <v>27</v>
      </c>
      <c r="X1128" s="2"/>
      <c r="Y1128" s="2"/>
    </row>
    <row r="1129" spans="1:25" x14ac:dyDescent="0.3">
      <c r="A1129" s="2">
        <v>45517</v>
      </c>
      <c r="B1129" t="s">
        <v>22</v>
      </c>
      <c r="C1129" s="4">
        <v>26.8</v>
      </c>
      <c r="D1129" s="4">
        <v>101.5</v>
      </c>
      <c r="E1129" s="4">
        <v>51.2</v>
      </c>
      <c r="F1129" s="4">
        <v>1.64</v>
      </c>
      <c r="G1129" s="4">
        <v>34.4</v>
      </c>
      <c r="H1129" s="4">
        <v>0.12</v>
      </c>
      <c r="I1129" s="4">
        <v>22.2</v>
      </c>
      <c r="J1129" s="4">
        <v>60.6</v>
      </c>
      <c r="K1129" s="4">
        <v>1.47</v>
      </c>
      <c r="L1129" s="4">
        <v>44.666666666666657</v>
      </c>
      <c r="M1129" s="4">
        <v>101.5</v>
      </c>
      <c r="N1129" s="4">
        <v>64</v>
      </c>
      <c r="O1129" s="4">
        <v>4.0999999999999996</v>
      </c>
      <c r="P1129" s="4">
        <v>86</v>
      </c>
      <c r="Q1129" s="4">
        <v>6</v>
      </c>
      <c r="R1129" s="4">
        <v>102</v>
      </c>
      <c r="S1129" s="4" t="str" cm="1">
        <f t="array" ref="S1129">_xlfn.IFS($R1129&lt;=50,"Good",$R1129&lt;=100,"Moderate",$R1129&lt;=200,"Poor",$R1129&lt;=300,"Very Poor",$R1129&lt;=500,"Hazardous")</f>
        <v>Poor</v>
      </c>
      <c r="T1129" t="s">
        <v>28</v>
      </c>
      <c r="X1129" s="2"/>
      <c r="Y1129" s="2"/>
    </row>
    <row r="1130" spans="1:25" x14ac:dyDescent="0.3">
      <c r="A1130" s="2">
        <v>45517</v>
      </c>
      <c r="B1130" t="s">
        <v>23</v>
      </c>
      <c r="C1130" s="4">
        <v>37</v>
      </c>
      <c r="D1130" s="4">
        <v>28.4</v>
      </c>
      <c r="E1130" s="4">
        <v>37.200000000000003</v>
      </c>
      <c r="F1130" s="4">
        <v>10.62</v>
      </c>
      <c r="G1130" s="4">
        <v>12.6</v>
      </c>
      <c r="H1130" s="4">
        <v>0.66</v>
      </c>
      <c r="I1130" s="4">
        <v>28.5</v>
      </c>
      <c r="J1130" s="4">
        <v>81.8</v>
      </c>
      <c r="K1130" s="4">
        <v>0.71</v>
      </c>
      <c r="L1130" s="4">
        <v>61.666666666666671</v>
      </c>
      <c r="M1130" s="4">
        <v>28.4</v>
      </c>
      <c r="N1130" s="4">
        <v>46.500000000000007</v>
      </c>
      <c r="O1130" s="4">
        <v>26.55</v>
      </c>
      <c r="P1130" s="4">
        <v>31.5</v>
      </c>
      <c r="Q1130" s="4">
        <v>33</v>
      </c>
      <c r="R1130" s="4">
        <v>62</v>
      </c>
      <c r="S1130" s="4" t="str" cm="1">
        <f t="array" ref="S1130">_xlfn.IFS($R1130&lt;=50,"Good",$R1130&lt;=100,"Moderate",$R1130&lt;=200,"Poor",$R1130&lt;=300,"Very Poor",$R1130&lt;=500,"Hazardous")</f>
        <v>Moderate</v>
      </c>
      <c r="T1130" t="s">
        <v>25</v>
      </c>
      <c r="X1130" s="2"/>
      <c r="Y1130" s="2"/>
    </row>
    <row r="1131" spans="1:25" x14ac:dyDescent="0.3">
      <c r="A1131" s="2">
        <v>45517</v>
      </c>
      <c r="B1131" t="s">
        <v>24</v>
      </c>
      <c r="C1131" s="4">
        <v>48.3</v>
      </c>
      <c r="D1131" s="4">
        <v>120.5</v>
      </c>
      <c r="E1131" s="4">
        <v>37.799999999999997</v>
      </c>
      <c r="F1131" s="4">
        <v>0.5</v>
      </c>
      <c r="G1131" s="4">
        <v>57.8</v>
      </c>
      <c r="H1131" s="4">
        <v>1.86</v>
      </c>
      <c r="I1131" s="4">
        <v>25.8</v>
      </c>
      <c r="J1131" s="4">
        <v>41.4</v>
      </c>
      <c r="K1131" s="4">
        <v>2.38</v>
      </c>
      <c r="L1131" s="4">
        <v>80.5</v>
      </c>
      <c r="M1131" s="4">
        <v>120.5</v>
      </c>
      <c r="N1131" s="4">
        <v>47.249999999999993</v>
      </c>
      <c r="O1131" s="4">
        <v>1.25</v>
      </c>
      <c r="P1131" s="4">
        <v>144.5</v>
      </c>
      <c r="Q1131" s="4">
        <v>93</v>
      </c>
      <c r="R1131" s="4">
        <v>144</v>
      </c>
      <c r="S1131" s="4" t="str" cm="1">
        <f t="array" ref="S1131">_xlfn.IFS($R1131&lt;=50,"Good",$R1131&lt;=100,"Moderate",$R1131&lt;=200,"Poor",$R1131&lt;=300,"Very Poor",$R1131&lt;=500,"Hazardous")</f>
        <v>Poor</v>
      </c>
      <c r="T1131" t="s">
        <v>27</v>
      </c>
      <c r="X1131" s="2"/>
      <c r="Y1131" s="2"/>
    </row>
    <row r="1132" spans="1:25" x14ac:dyDescent="0.3">
      <c r="A1132" s="2">
        <v>45518</v>
      </c>
      <c r="B1132" t="s">
        <v>20</v>
      </c>
      <c r="C1132" s="4">
        <v>104</v>
      </c>
      <c r="D1132" s="4">
        <v>160.6</v>
      </c>
      <c r="E1132" s="4">
        <v>53.2</v>
      </c>
      <c r="F1132" s="4">
        <v>9</v>
      </c>
      <c r="G1132" s="4">
        <v>27</v>
      </c>
      <c r="H1132" s="4">
        <v>0.99</v>
      </c>
      <c r="I1132" s="4">
        <v>24.5</v>
      </c>
      <c r="J1132" s="4">
        <v>69.900000000000006</v>
      </c>
      <c r="K1132" s="4">
        <v>4.3099999999999996</v>
      </c>
      <c r="L1132" s="4">
        <v>173.33333333333329</v>
      </c>
      <c r="M1132" s="4">
        <v>160.6</v>
      </c>
      <c r="N1132" s="4">
        <v>66.5</v>
      </c>
      <c r="O1132" s="4">
        <v>22.5</v>
      </c>
      <c r="P1132" s="4">
        <v>67.5</v>
      </c>
      <c r="Q1132" s="4">
        <v>49.5</v>
      </c>
      <c r="R1132" s="4">
        <v>173</v>
      </c>
      <c r="S1132" s="4" t="str" cm="1">
        <f t="array" ref="S1132">_xlfn.IFS($R1132&lt;=50,"Good",$R1132&lt;=100,"Moderate",$R1132&lt;=200,"Poor",$R1132&lt;=300,"Very Poor",$R1132&lt;=500,"Hazardous")</f>
        <v>Poor</v>
      </c>
      <c r="T1132" t="s">
        <v>25</v>
      </c>
      <c r="X1132" s="2"/>
      <c r="Y1132" s="2"/>
    </row>
    <row r="1133" spans="1:25" x14ac:dyDescent="0.3">
      <c r="A1133" s="2">
        <v>45518</v>
      </c>
      <c r="B1133" t="s">
        <v>21</v>
      </c>
      <c r="C1133" s="4">
        <v>93.6</v>
      </c>
      <c r="D1133" s="4">
        <v>34.799999999999997</v>
      </c>
      <c r="E1133" s="4">
        <v>49.5</v>
      </c>
      <c r="F1133" s="4">
        <v>11.68</v>
      </c>
      <c r="G1133" s="4">
        <v>69.3</v>
      </c>
      <c r="H1133" s="4">
        <v>0.82</v>
      </c>
      <c r="I1133" s="4">
        <v>45.4</v>
      </c>
      <c r="J1133" s="4">
        <v>37</v>
      </c>
      <c r="K1133" s="4">
        <v>1.2</v>
      </c>
      <c r="L1133" s="4">
        <v>156</v>
      </c>
      <c r="M1133" s="4">
        <v>34.799999999999997</v>
      </c>
      <c r="N1133" s="4">
        <v>61.875</v>
      </c>
      <c r="O1133" s="4">
        <v>29.2</v>
      </c>
      <c r="P1133" s="4">
        <v>173.25</v>
      </c>
      <c r="Q1133" s="4">
        <v>40.999999999999993</v>
      </c>
      <c r="R1133" s="4">
        <v>173</v>
      </c>
      <c r="S1133" s="4" t="str" cm="1">
        <f t="array" ref="S1133">_xlfn.IFS($R1133&lt;=50,"Good",$R1133&lt;=100,"Moderate",$R1133&lt;=200,"Poor",$R1133&lt;=300,"Very Poor",$R1133&lt;=500,"Hazardous")</f>
        <v>Poor</v>
      </c>
      <c r="T1133" t="s">
        <v>27</v>
      </c>
      <c r="X1133" s="2"/>
      <c r="Y1133" s="2"/>
    </row>
    <row r="1134" spans="1:25" x14ac:dyDescent="0.3">
      <c r="A1134" s="2">
        <v>45518</v>
      </c>
      <c r="B1134" t="s">
        <v>22</v>
      </c>
      <c r="C1134" s="4">
        <v>50.9</v>
      </c>
      <c r="D1134" s="4">
        <v>187.7</v>
      </c>
      <c r="E1134" s="4">
        <v>21.5</v>
      </c>
      <c r="F1134" s="4">
        <v>5.07</v>
      </c>
      <c r="G1134" s="4">
        <v>63.6</v>
      </c>
      <c r="H1134" s="4">
        <v>0.9</v>
      </c>
      <c r="I1134" s="4">
        <v>22.7</v>
      </c>
      <c r="J1134" s="4">
        <v>70.2</v>
      </c>
      <c r="K1134" s="4">
        <v>2.83</v>
      </c>
      <c r="L1134" s="4">
        <v>84.833333333333329</v>
      </c>
      <c r="M1134" s="4">
        <v>187.7</v>
      </c>
      <c r="N1134" s="4">
        <v>26.875</v>
      </c>
      <c r="O1134" s="4">
        <v>12.675000000000001</v>
      </c>
      <c r="P1134" s="4">
        <v>159</v>
      </c>
      <c r="Q1134" s="4">
        <v>45</v>
      </c>
      <c r="R1134" s="4">
        <v>188</v>
      </c>
      <c r="S1134" s="4" t="str" cm="1">
        <f t="array" ref="S1134">_xlfn.IFS($R1134&lt;=50,"Good",$R1134&lt;=100,"Moderate",$R1134&lt;=200,"Poor",$R1134&lt;=300,"Very Poor",$R1134&lt;=500,"Hazardous")</f>
        <v>Poor</v>
      </c>
      <c r="T1134" t="s">
        <v>28</v>
      </c>
      <c r="X1134" s="2"/>
      <c r="Y1134" s="2"/>
    </row>
    <row r="1135" spans="1:25" x14ac:dyDescent="0.3">
      <c r="A1135" s="2">
        <v>45518</v>
      </c>
      <c r="B1135" t="s">
        <v>23</v>
      </c>
      <c r="C1135" s="4">
        <v>72.7</v>
      </c>
      <c r="D1135" s="4">
        <v>158</v>
      </c>
      <c r="E1135" s="4">
        <v>40.9</v>
      </c>
      <c r="F1135" s="4">
        <v>7.57</v>
      </c>
      <c r="G1135" s="4">
        <v>45.4</v>
      </c>
      <c r="H1135" s="4">
        <v>1.19</v>
      </c>
      <c r="I1135" s="4">
        <v>25.4</v>
      </c>
      <c r="J1135" s="4">
        <v>60</v>
      </c>
      <c r="K1135" s="4">
        <v>3.94</v>
      </c>
      <c r="L1135" s="4">
        <v>121.1666666666667</v>
      </c>
      <c r="M1135" s="4">
        <v>158</v>
      </c>
      <c r="N1135" s="4">
        <v>51.125</v>
      </c>
      <c r="O1135" s="4">
        <v>18.925000000000001</v>
      </c>
      <c r="P1135" s="4">
        <v>113.5</v>
      </c>
      <c r="Q1135" s="4">
        <v>59.5</v>
      </c>
      <c r="R1135" s="4">
        <v>158</v>
      </c>
      <c r="S1135" s="4" t="str" cm="1">
        <f t="array" ref="S1135">_xlfn.IFS($R1135&lt;=50,"Good",$R1135&lt;=100,"Moderate",$R1135&lt;=200,"Poor",$R1135&lt;=300,"Very Poor",$R1135&lt;=500,"Hazardous")</f>
        <v>Poor</v>
      </c>
      <c r="T1135" t="s">
        <v>28</v>
      </c>
      <c r="X1135" s="2"/>
      <c r="Y1135" s="2"/>
    </row>
    <row r="1136" spans="1:25" x14ac:dyDescent="0.3">
      <c r="A1136" s="2">
        <v>45518</v>
      </c>
      <c r="B1136" t="s">
        <v>24</v>
      </c>
      <c r="C1136" s="4">
        <v>92.8</v>
      </c>
      <c r="D1136" s="4">
        <v>26</v>
      </c>
      <c r="E1136" s="4">
        <v>39.799999999999997</v>
      </c>
      <c r="F1136" s="4">
        <v>4.01</v>
      </c>
      <c r="G1136" s="4">
        <v>35.4</v>
      </c>
      <c r="H1136" s="4">
        <v>1.27</v>
      </c>
      <c r="I1136" s="4">
        <v>29.7</v>
      </c>
      <c r="J1136" s="4">
        <v>58</v>
      </c>
      <c r="K1136" s="4">
        <v>0.7</v>
      </c>
      <c r="L1136" s="4">
        <v>154.66666666666671</v>
      </c>
      <c r="M1136" s="4">
        <v>26</v>
      </c>
      <c r="N1136" s="4">
        <v>49.749999999999993</v>
      </c>
      <c r="O1136" s="4">
        <v>10.025</v>
      </c>
      <c r="P1136" s="4">
        <v>88.5</v>
      </c>
      <c r="Q1136" s="4">
        <v>63.5</v>
      </c>
      <c r="R1136" s="4">
        <v>155</v>
      </c>
      <c r="S1136" s="4" t="str" cm="1">
        <f t="array" ref="S1136">_xlfn.IFS($R1136&lt;=50,"Good",$R1136&lt;=100,"Moderate",$R1136&lt;=200,"Poor",$R1136&lt;=300,"Very Poor",$R1136&lt;=500,"Hazardous")</f>
        <v>Poor</v>
      </c>
      <c r="T1136" t="s">
        <v>25</v>
      </c>
      <c r="X1136" s="2"/>
      <c r="Y1136" s="2"/>
    </row>
    <row r="1137" spans="1:25" x14ac:dyDescent="0.3">
      <c r="A1137" s="2">
        <v>45519</v>
      </c>
      <c r="B1137" t="s">
        <v>20</v>
      </c>
      <c r="C1137" s="4">
        <v>28.6</v>
      </c>
      <c r="D1137" s="4">
        <v>159.9</v>
      </c>
      <c r="E1137" s="4">
        <v>2</v>
      </c>
      <c r="F1137" s="4">
        <v>12.82</v>
      </c>
      <c r="G1137" s="4">
        <v>61</v>
      </c>
      <c r="H1137" s="4">
        <v>1.83</v>
      </c>
      <c r="I1137" s="4">
        <v>23.6</v>
      </c>
      <c r="J1137" s="4">
        <v>22.9</v>
      </c>
      <c r="K1137" s="4">
        <v>3.02</v>
      </c>
      <c r="L1137" s="4">
        <v>47.666666666666671</v>
      </c>
      <c r="M1137" s="4">
        <v>159.9</v>
      </c>
      <c r="N1137" s="4">
        <v>2.5</v>
      </c>
      <c r="O1137" s="4">
        <v>32.049999999999997</v>
      </c>
      <c r="P1137" s="4">
        <v>152.5</v>
      </c>
      <c r="Q1137" s="4">
        <v>91.5</v>
      </c>
      <c r="R1137" s="4">
        <v>160</v>
      </c>
      <c r="S1137" s="4" t="str" cm="1">
        <f t="array" ref="S1137">_xlfn.IFS($R1137&lt;=50,"Good",$R1137&lt;=100,"Moderate",$R1137&lt;=200,"Poor",$R1137&lt;=300,"Very Poor",$R1137&lt;=500,"Hazardous")</f>
        <v>Poor</v>
      </c>
      <c r="T1137" t="s">
        <v>28</v>
      </c>
      <c r="X1137" s="2"/>
      <c r="Y1137" s="2"/>
    </row>
    <row r="1138" spans="1:25" x14ac:dyDescent="0.3">
      <c r="A1138" s="2">
        <v>45519</v>
      </c>
      <c r="B1138" t="s">
        <v>21</v>
      </c>
      <c r="C1138" s="4">
        <v>98.2</v>
      </c>
      <c r="D1138" s="4">
        <v>175.5</v>
      </c>
      <c r="E1138" s="4">
        <v>31.7</v>
      </c>
      <c r="F1138" s="4">
        <v>8.43</v>
      </c>
      <c r="G1138" s="4">
        <v>33.299999999999997</v>
      </c>
      <c r="H1138" s="4">
        <v>0.71</v>
      </c>
      <c r="I1138" s="4">
        <v>31.7</v>
      </c>
      <c r="J1138" s="4">
        <v>38.4</v>
      </c>
      <c r="K1138" s="4">
        <v>1.43</v>
      </c>
      <c r="L1138" s="4">
        <v>163.66666666666671</v>
      </c>
      <c r="M1138" s="4">
        <v>175.5</v>
      </c>
      <c r="N1138" s="4">
        <v>39.625</v>
      </c>
      <c r="O1138" s="4">
        <v>21.074999999999999</v>
      </c>
      <c r="P1138" s="4">
        <v>83.249999999999986</v>
      </c>
      <c r="Q1138" s="4">
        <v>35.5</v>
      </c>
      <c r="R1138" s="4">
        <v>176</v>
      </c>
      <c r="S1138" s="4" t="str" cm="1">
        <f t="array" ref="S1138">_xlfn.IFS($R1138&lt;=50,"Good",$R1138&lt;=100,"Moderate",$R1138&lt;=200,"Poor",$R1138&lt;=300,"Very Poor",$R1138&lt;=500,"Hazardous")</f>
        <v>Poor</v>
      </c>
      <c r="T1138" t="s">
        <v>28</v>
      </c>
      <c r="X1138" s="2"/>
      <c r="Y1138" s="2"/>
    </row>
    <row r="1139" spans="1:25" x14ac:dyDescent="0.3">
      <c r="A1139" s="2">
        <v>45519</v>
      </c>
      <c r="B1139" t="s">
        <v>22</v>
      </c>
      <c r="C1139" s="4">
        <v>20.399999999999999</v>
      </c>
      <c r="D1139" s="4">
        <v>23.2</v>
      </c>
      <c r="E1139" s="4">
        <v>36.4</v>
      </c>
      <c r="F1139" s="4">
        <v>10.49</v>
      </c>
      <c r="G1139" s="4">
        <v>33.6</v>
      </c>
      <c r="H1139" s="4">
        <v>0.23</v>
      </c>
      <c r="I1139" s="4">
        <v>30.9</v>
      </c>
      <c r="J1139" s="4">
        <v>90.3</v>
      </c>
      <c r="K1139" s="4">
        <v>1.72</v>
      </c>
      <c r="L1139" s="4">
        <v>33.999999999999993</v>
      </c>
      <c r="M1139" s="4">
        <v>23.2</v>
      </c>
      <c r="N1139" s="4">
        <v>45.5</v>
      </c>
      <c r="O1139" s="4">
        <v>26.225000000000001</v>
      </c>
      <c r="P1139" s="4">
        <v>84</v>
      </c>
      <c r="Q1139" s="4">
        <v>11.5</v>
      </c>
      <c r="R1139" s="4">
        <v>84</v>
      </c>
      <c r="S1139" s="4" t="str" cm="1">
        <f t="array" ref="S1139">_xlfn.IFS($R1139&lt;=50,"Good",$R1139&lt;=100,"Moderate",$R1139&lt;=200,"Poor",$R1139&lt;=300,"Very Poor",$R1139&lt;=500,"Hazardous")</f>
        <v>Moderate</v>
      </c>
      <c r="T1139" t="s">
        <v>27</v>
      </c>
      <c r="X1139" s="2"/>
      <c r="Y1139" s="2"/>
    </row>
    <row r="1140" spans="1:25" x14ac:dyDescent="0.3">
      <c r="A1140" s="2">
        <v>45519</v>
      </c>
      <c r="B1140" t="s">
        <v>23</v>
      </c>
      <c r="C1140" s="4">
        <v>36.5</v>
      </c>
      <c r="D1140" s="4">
        <v>120.8</v>
      </c>
      <c r="E1140" s="4">
        <v>61.9</v>
      </c>
      <c r="F1140" s="4">
        <v>4.32</v>
      </c>
      <c r="G1140" s="4">
        <v>6.7</v>
      </c>
      <c r="H1140" s="4">
        <v>1.26</v>
      </c>
      <c r="I1140" s="4">
        <v>30.6</v>
      </c>
      <c r="J1140" s="4">
        <v>60.1</v>
      </c>
      <c r="K1140" s="4">
        <v>1.83</v>
      </c>
      <c r="L1140" s="4">
        <v>60.833333333333343</v>
      </c>
      <c r="M1140" s="4">
        <v>120.8</v>
      </c>
      <c r="N1140" s="4">
        <v>77.375</v>
      </c>
      <c r="O1140" s="4">
        <v>10.8</v>
      </c>
      <c r="P1140" s="4">
        <v>16.75</v>
      </c>
      <c r="Q1140" s="4">
        <v>63</v>
      </c>
      <c r="R1140" s="4">
        <v>121</v>
      </c>
      <c r="S1140" s="4" t="str" cm="1">
        <f t="array" ref="S1140">_xlfn.IFS($R1140&lt;=50,"Good",$R1140&lt;=100,"Moderate",$R1140&lt;=200,"Poor",$R1140&lt;=300,"Very Poor",$R1140&lt;=500,"Hazardous")</f>
        <v>Poor</v>
      </c>
      <c r="T1140" t="s">
        <v>28</v>
      </c>
      <c r="X1140" s="2"/>
      <c r="Y1140" s="2"/>
    </row>
    <row r="1141" spans="1:25" x14ac:dyDescent="0.3">
      <c r="A1141" s="2">
        <v>45519</v>
      </c>
      <c r="B1141" t="s">
        <v>24</v>
      </c>
      <c r="C1141" s="4">
        <v>79.099999999999994</v>
      </c>
      <c r="D1141" s="4">
        <v>133.5</v>
      </c>
      <c r="E1141" s="4">
        <v>26.1</v>
      </c>
      <c r="F1141" s="4">
        <v>7.26</v>
      </c>
      <c r="G1141" s="4">
        <v>6.8</v>
      </c>
      <c r="H1141" s="4">
        <v>1.42</v>
      </c>
      <c r="I1141" s="4">
        <v>23.2</v>
      </c>
      <c r="J1141" s="4">
        <v>52.2</v>
      </c>
      <c r="K1141" s="4">
        <v>2.96</v>
      </c>
      <c r="L1141" s="4">
        <v>131.83333333333329</v>
      </c>
      <c r="M1141" s="4">
        <v>133.5</v>
      </c>
      <c r="N1141" s="4">
        <v>32.625</v>
      </c>
      <c r="O1141" s="4">
        <v>18.149999999999999</v>
      </c>
      <c r="P1141" s="4">
        <v>17</v>
      </c>
      <c r="Q1141" s="4">
        <v>71</v>
      </c>
      <c r="R1141" s="4">
        <v>134</v>
      </c>
      <c r="S1141" s="4" t="str" cm="1">
        <f t="array" ref="S1141">_xlfn.IFS($R1141&lt;=50,"Good",$R1141&lt;=100,"Moderate",$R1141&lt;=200,"Poor",$R1141&lt;=300,"Very Poor",$R1141&lt;=500,"Hazardous")</f>
        <v>Poor</v>
      </c>
      <c r="T1141" t="s">
        <v>28</v>
      </c>
      <c r="X1141" s="2"/>
      <c r="Y1141" s="2"/>
    </row>
    <row r="1142" spans="1:25" x14ac:dyDescent="0.3">
      <c r="A1142" s="2">
        <v>45520</v>
      </c>
      <c r="B1142" t="s">
        <v>20</v>
      </c>
      <c r="C1142" s="4">
        <v>56.3</v>
      </c>
      <c r="D1142" s="4">
        <v>159.80000000000001</v>
      </c>
      <c r="E1142" s="4">
        <v>52.3</v>
      </c>
      <c r="F1142" s="4">
        <v>6.64</v>
      </c>
      <c r="G1142" s="4">
        <v>68</v>
      </c>
      <c r="H1142" s="4">
        <v>1.33</v>
      </c>
      <c r="I1142" s="4">
        <v>22</v>
      </c>
      <c r="J1142" s="4">
        <v>57.8</v>
      </c>
      <c r="K1142" s="4">
        <v>2.3199999999999998</v>
      </c>
      <c r="L1142" s="4">
        <v>93.833333333333329</v>
      </c>
      <c r="M1142" s="4">
        <v>159.80000000000001</v>
      </c>
      <c r="N1142" s="4">
        <v>65.375</v>
      </c>
      <c r="O1142" s="4">
        <v>16.600000000000001</v>
      </c>
      <c r="P1142" s="4">
        <v>170</v>
      </c>
      <c r="Q1142" s="4">
        <v>66.5</v>
      </c>
      <c r="R1142" s="4">
        <v>170</v>
      </c>
      <c r="S1142" s="4" t="str" cm="1">
        <f t="array" ref="S1142">_xlfn.IFS($R1142&lt;=50,"Good",$R1142&lt;=100,"Moderate",$R1142&lt;=200,"Poor",$R1142&lt;=300,"Very Poor",$R1142&lt;=500,"Hazardous")</f>
        <v>Poor</v>
      </c>
      <c r="T1142" t="s">
        <v>27</v>
      </c>
      <c r="X1142" s="2"/>
      <c r="Y1142" s="2"/>
    </row>
    <row r="1143" spans="1:25" x14ac:dyDescent="0.3">
      <c r="A1143" s="2">
        <v>45520</v>
      </c>
      <c r="B1143" t="s">
        <v>21</v>
      </c>
      <c r="C1143" s="4">
        <v>75.2</v>
      </c>
      <c r="D1143" s="4">
        <v>98</v>
      </c>
      <c r="E1143" s="4">
        <v>37.200000000000003</v>
      </c>
      <c r="F1143" s="4">
        <v>17.84</v>
      </c>
      <c r="G1143" s="4">
        <v>79.400000000000006</v>
      </c>
      <c r="H1143" s="4">
        <v>0.74</v>
      </c>
      <c r="I1143" s="4">
        <v>29</v>
      </c>
      <c r="J1143" s="4">
        <v>62.1</v>
      </c>
      <c r="K1143" s="4">
        <v>2.97</v>
      </c>
      <c r="L1143" s="4">
        <v>125.3333333333333</v>
      </c>
      <c r="M1143" s="4">
        <v>98</v>
      </c>
      <c r="N1143" s="4">
        <v>46.500000000000007</v>
      </c>
      <c r="O1143" s="4">
        <v>44.6</v>
      </c>
      <c r="P1143" s="4">
        <v>198.5</v>
      </c>
      <c r="Q1143" s="4">
        <v>37</v>
      </c>
      <c r="R1143" s="4">
        <v>198</v>
      </c>
      <c r="S1143" s="4" t="str" cm="1">
        <f t="array" ref="S1143">_xlfn.IFS($R1143&lt;=50,"Good",$R1143&lt;=100,"Moderate",$R1143&lt;=200,"Poor",$R1143&lt;=300,"Very Poor",$R1143&lt;=500,"Hazardous")</f>
        <v>Poor</v>
      </c>
      <c r="T1143" t="s">
        <v>27</v>
      </c>
      <c r="X1143" s="2"/>
      <c r="Y1143" s="2"/>
    </row>
    <row r="1144" spans="1:25" x14ac:dyDescent="0.3">
      <c r="A1144" s="2">
        <v>45520</v>
      </c>
      <c r="B1144" t="s">
        <v>22</v>
      </c>
      <c r="C1144" s="4">
        <v>48.7</v>
      </c>
      <c r="D1144" s="4">
        <v>145.4</v>
      </c>
      <c r="E1144" s="4">
        <v>39.5</v>
      </c>
      <c r="F1144" s="4">
        <v>5.84</v>
      </c>
      <c r="G1144" s="4">
        <v>62.8</v>
      </c>
      <c r="H1144" s="4">
        <v>1.02</v>
      </c>
      <c r="I1144" s="4">
        <v>25.9</v>
      </c>
      <c r="J1144" s="4">
        <v>65.7</v>
      </c>
      <c r="K1144" s="4">
        <v>2.39</v>
      </c>
      <c r="L1144" s="4">
        <v>81.166666666666671</v>
      </c>
      <c r="M1144" s="4">
        <v>145.4</v>
      </c>
      <c r="N1144" s="4">
        <v>49.375</v>
      </c>
      <c r="O1144" s="4">
        <v>14.6</v>
      </c>
      <c r="P1144" s="4">
        <v>157</v>
      </c>
      <c r="Q1144" s="4">
        <v>51.000000000000007</v>
      </c>
      <c r="R1144" s="4">
        <v>157</v>
      </c>
      <c r="S1144" s="4" t="str" cm="1">
        <f t="array" ref="S1144">_xlfn.IFS($R1144&lt;=50,"Good",$R1144&lt;=100,"Moderate",$R1144&lt;=200,"Poor",$R1144&lt;=300,"Very Poor",$R1144&lt;=500,"Hazardous")</f>
        <v>Poor</v>
      </c>
      <c r="T1144" t="s">
        <v>27</v>
      </c>
      <c r="X1144" s="2"/>
      <c r="Y1144" s="2"/>
    </row>
    <row r="1145" spans="1:25" x14ac:dyDescent="0.3">
      <c r="A1145" s="2">
        <v>45520</v>
      </c>
      <c r="B1145" t="s">
        <v>23</v>
      </c>
      <c r="C1145" s="4">
        <v>48.2</v>
      </c>
      <c r="D1145" s="4">
        <v>67.8</v>
      </c>
      <c r="E1145" s="4">
        <v>24</v>
      </c>
      <c r="F1145" s="4">
        <v>2.41</v>
      </c>
      <c r="G1145" s="4">
        <v>5.2</v>
      </c>
      <c r="H1145" s="4">
        <v>0.54</v>
      </c>
      <c r="I1145" s="4">
        <v>23.8</v>
      </c>
      <c r="J1145" s="4">
        <v>61.9</v>
      </c>
      <c r="K1145" s="4">
        <v>2.17</v>
      </c>
      <c r="L1145" s="4">
        <v>80.333333333333343</v>
      </c>
      <c r="M1145" s="4">
        <v>67.8</v>
      </c>
      <c r="N1145" s="4">
        <v>30</v>
      </c>
      <c r="O1145" s="4">
        <v>6.0250000000000004</v>
      </c>
      <c r="P1145" s="4">
        <v>13</v>
      </c>
      <c r="Q1145" s="4">
        <v>27</v>
      </c>
      <c r="R1145" s="4">
        <v>80</v>
      </c>
      <c r="S1145" s="4" t="str" cm="1">
        <f t="array" ref="S1145">_xlfn.IFS($R1145&lt;=50,"Good",$R1145&lt;=100,"Moderate",$R1145&lt;=200,"Poor",$R1145&lt;=300,"Very Poor",$R1145&lt;=500,"Hazardous")</f>
        <v>Moderate</v>
      </c>
      <c r="T1145" t="s">
        <v>25</v>
      </c>
      <c r="X1145" s="2"/>
      <c r="Y1145" s="2"/>
    </row>
    <row r="1146" spans="1:25" x14ac:dyDescent="0.3">
      <c r="A1146" s="2">
        <v>45520</v>
      </c>
      <c r="B1146" t="s">
        <v>24</v>
      </c>
      <c r="C1146" s="4">
        <v>2</v>
      </c>
      <c r="D1146" s="4">
        <v>188.7</v>
      </c>
      <c r="E1146" s="4">
        <v>58.7</v>
      </c>
      <c r="F1146" s="4">
        <v>9</v>
      </c>
      <c r="G1146" s="4">
        <v>96.5</v>
      </c>
      <c r="H1146" s="4">
        <v>0.54</v>
      </c>
      <c r="I1146" s="4">
        <v>38.200000000000003</v>
      </c>
      <c r="J1146" s="4">
        <v>42.6</v>
      </c>
      <c r="K1146" s="4">
        <v>3.29</v>
      </c>
      <c r="L1146" s="4">
        <v>3.333333333333333</v>
      </c>
      <c r="M1146" s="4">
        <v>188.7</v>
      </c>
      <c r="N1146" s="4">
        <v>73.375000000000014</v>
      </c>
      <c r="O1146" s="4">
        <v>22.5</v>
      </c>
      <c r="P1146" s="4">
        <v>241.25</v>
      </c>
      <c r="Q1146" s="4">
        <v>27</v>
      </c>
      <c r="R1146" s="4">
        <v>241</v>
      </c>
      <c r="S1146" s="4" t="str" cm="1">
        <f t="array" ref="S1146">_xlfn.IFS($R1146&lt;=50,"Good",$R1146&lt;=100,"Moderate",$R1146&lt;=200,"Poor",$R1146&lt;=300,"Very Poor",$R1146&lt;=500,"Hazardous")</f>
        <v>Very Poor</v>
      </c>
      <c r="T1146" t="s">
        <v>27</v>
      </c>
      <c r="X1146" s="2"/>
      <c r="Y1146" s="2"/>
    </row>
    <row r="1147" spans="1:25" x14ac:dyDescent="0.3">
      <c r="A1147" s="2">
        <v>45521</v>
      </c>
      <c r="B1147" t="s">
        <v>20</v>
      </c>
      <c r="C1147" s="4">
        <v>20</v>
      </c>
      <c r="D1147" s="4">
        <v>111.2</v>
      </c>
      <c r="E1147" s="4">
        <v>48.5</v>
      </c>
      <c r="F1147" s="4">
        <v>6.65</v>
      </c>
      <c r="G1147" s="4">
        <v>66.5</v>
      </c>
      <c r="H1147" s="4">
        <v>1.1599999999999999</v>
      </c>
      <c r="I1147" s="4">
        <v>21.3</v>
      </c>
      <c r="J1147" s="4">
        <v>49.8</v>
      </c>
      <c r="K1147" s="4">
        <v>3.47</v>
      </c>
      <c r="L1147" s="4">
        <v>33.333333333333343</v>
      </c>
      <c r="M1147" s="4">
        <v>111.2</v>
      </c>
      <c r="N1147" s="4">
        <v>60.625</v>
      </c>
      <c r="O1147" s="4">
        <v>16.625</v>
      </c>
      <c r="P1147" s="4">
        <v>166.25</v>
      </c>
      <c r="Q1147" s="4">
        <v>57.999999999999993</v>
      </c>
      <c r="R1147" s="4">
        <v>166</v>
      </c>
      <c r="S1147" s="4" t="str" cm="1">
        <f t="array" ref="S1147">_xlfn.IFS($R1147&lt;=50,"Good",$R1147&lt;=100,"Moderate",$R1147&lt;=200,"Poor",$R1147&lt;=300,"Very Poor",$R1147&lt;=500,"Hazardous")</f>
        <v>Poor</v>
      </c>
      <c r="T1147" t="s">
        <v>27</v>
      </c>
      <c r="X1147" s="2"/>
      <c r="Y1147" s="2"/>
    </row>
    <row r="1148" spans="1:25" x14ac:dyDescent="0.3">
      <c r="A1148" s="2">
        <v>45521</v>
      </c>
      <c r="B1148" t="s">
        <v>21</v>
      </c>
      <c r="C1148" s="4">
        <v>40.4</v>
      </c>
      <c r="D1148" s="4">
        <v>174.9</v>
      </c>
      <c r="E1148" s="4">
        <v>69.5</v>
      </c>
      <c r="F1148" s="4">
        <v>0.5</v>
      </c>
      <c r="G1148" s="4">
        <v>85.4</v>
      </c>
      <c r="H1148" s="4">
        <v>2.44</v>
      </c>
      <c r="I1148" s="4">
        <v>26.8</v>
      </c>
      <c r="J1148" s="4">
        <v>70.8</v>
      </c>
      <c r="K1148" s="4">
        <v>3.74</v>
      </c>
      <c r="L1148" s="4">
        <v>67.333333333333329</v>
      </c>
      <c r="M1148" s="4">
        <v>174.9</v>
      </c>
      <c r="N1148" s="4">
        <v>86.875</v>
      </c>
      <c r="O1148" s="4">
        <v>1.25</v>
      </c>
      <c r="P1148" s="4">
        <v>213.5</v>
      </c>
      <c r="Q1148" s="4">
        <v>122</v>
      </c>
      <c r="R1148" s="4">
        <v>214</v>
      </c>
      <c r="S1148" s="4" t="str" cm="1">
        <f t="array" ref="S1148">_xlfn.IFS($R1148&lt;=50,"Good",$R1148&lt;=100,"Moderate",$R1148&lt;=200,"Poor",$R1148&lt;=300,"Very Poor",$R1148&lt;=500,"Hazardous")</f>
        <v>Very Poor</v>
      </c>
      <c r="T1148" t="s">
        <v>27</v>
      </c>
      <c r="X1148" s="2"/>
      <c r="Y1148" s="2"/>
    </row>
    <row r="1149" spans="1:25" x14ac:dyDescent="0.3">
      <c r="A1149" s="2">
        <v>45521</v>
      </c>
      <c r="B1149" t="s">
        <v>22</v>
      </c>
      <c r="C1149" s="4">
        <v>39.299999999999997</v>
      </c>
      <c r="D1149" s="4">
        <v>99.5</v>
      </c>
      <c r="E1149" s="4">
        <v>14.2</v>
      </c>
      <c r="F1149" s="4">
        <v>6.61</v>
      </c>
      <c r="G1149" s="4">
        <v>49.8</v>
      </c>
      <c r="H1149" s="4">
        <v>1.1499999999999999</v>
      </c>
      <c r="I1149" s="4">
        <v>32.5</v>
      </c>
      <c r="J1149" s="4">
        <v>46.1</v>
      </c>
      <c r="K1149" s="4">
        <v>1.86</v>
      </c>
      <c r="L1149" s="4">
        <v>65.499999999999986</v>
      </c>
      <c r="M1149" s="4">
        <v>99.5</v>
      </c>
      <c r="N1149" s="4">
        <v>17.75</v>
      </c>
      <c r="O1149" s="4">
        <v>16.524999999999999</v>
      </c>
      <c r="P1149" s="4">
        <v>124.5</v>
      </c>
      <c r="Q1149" s="4">
        <v>57.499999999999993</v>
      </c>
      <c r="R1149" s="4">
        <v>124</v>
      </c>
      <c r="S1149" s="4" t="str" cm="1">
        <f t="array" ref="S1149">_xlfn.IFS($R1149&lt;=50,"Good",$R1149&lt;=100,"Moderate",$R1149&lt;=200,"Poor",$R1149&lt;=300,"Very Poor",$R1149&lt;=500,"Hazardous")</f>
        <v>Poor</v>
      </c>
      <c r="T1149" t="s">
        <v>27</v>
      </c>
      <c r="X1149" s="2"/>
      <c r="Y1149" s="2"/>
    </row>
    <row r="1150" spans="1:25" x14ac:dyDescent="0.3">
      <c r="A1150" s="2">
        <v>45521</v>
      </c>
      <c r="B1150" t="s">
        <v>23</v>
      </c>
      <c r="C1150" s="4">
        <v>93.5</v>
      </c>
      <c r="D1150" s="4">
        <v>88.8</v>
      </c>
      <c r="E1150" s="4">
        <v>39.200000000000003</v>
      </c>
      <c r="F1150" s="4">
        <v>6.13</v>
      </c>
      <c r="G1150" s="4">
        <v>19.5</v>
      </c>
      <c r="H1150" s="4">
        <v>1.74</v>
      </c>
      <c r="I1150" s="4">
        <v>21.3</v>
      </c>
      <c r="J1150" s="4">
        <v>39.700000000000003</v>
      </c>
      <c r="K1150" s="4">
        <v>1.96</v>
      </c>
      <c r="L1150" s="4">
        <v>155.83333333333329</v>
      </c>
      <c r="M1150" s="4">
        <v>88.8</v>
      </c>
      <c r="N1150" s="4">
        <v>49</v>
      </c>
      <c r="O1150" s="4">
        <v>15.324999999999999</v>
      </c>
      <c r="P1150" s="4">
        <v>48.75</v>
      </c>
      <c r="Q1150" s="4">
        <v>87</v>
      </c>
      <c r="R1150" s="4">
        <v>156</v>
      </c>
      <c r="S1150" s="4" t="str" cm="1">
        <f t="array" ref="S1150">_xlfn.IFS($R1150&lt;=50,"Good",$R1150&lt;=100,"Moderate",$R1150&lt;=200,"Poor",$R1150&lt;=300,"Very Poor",$R1150&lt;=500,"Hazardous")</f>
        <v>Poor</v>
      </c>
      <c r="T1150" t="s">
        <v>25</v>
      </c>
      <c r="X1150" s="2"/>
      <c r="Y1150" s="2"/>
    </row>
    <row r="1151" spans="1:25" x14ac:dyDescent="0.3">
      <c r="A1151" s="2">
        <v>45521</v>
      </c>
      <c r="B1151" t="s">
        <v>24</v>
      </c>
      <c r="C1151" s="4">
        <v>2</v>
      </c>
      <c r="D1151" s="4">
        <v>71.2</v>
      </c>
      <c r="E1151" s="4">
        <v>22.6</v>
      </c>
      <c r="F1151" s="4">
        <v>9.76</v>
      </c>
      <c r="G1151" s="4">
        <v>25.5</v>
      </c>
      <c r="H1151" s="4">
        <v>1.52</v>
      </c>
      <c r="I1151" s="4">
        <v>34.799999999999997</v>
      </c>
      <c r="J1151" s="4">
        <v>74.099999999999994</v>
      </c>
      <c r="K1151" s="4">
        <v>2.74</v>
      </c>
      <c r="L1151" s="4">
        <v>3.333333333333333</v>
      </c>
      <c r="M1151" s="4">
        <v>71.2</v>
      </c>
      <c r="N1151" s="4">
        <v>28.25</v>
      </c>
      <c r="O1151" s="4">
        <v>24.4</v>
      </c>
      <c r="P1151" s="4">
        <v>63.75</v>
      </c>
      <c r="Q1151" s="4">
        <v>76</v>
      </c>
      <c r="R1151" s="4">
        <v>76</v>
      </c>
      <c r="S1151" s="4" t="str" cm="1">
        <f t="array" ref="S1151">_xlfn.IFS($R1151&lt;=50,"Good",$R1151&lt;=100,"Moderate",$R1151&lt;=200,"Poor",$R1151&lt;=300,"Very Poor",$R1151&lt;=500,"Hazardous")</f>
        <v>Moderate</v>
      </c>
      <c r="T1151" t="s">
        <v>29</v>
      </c>
      <c r="X1151" s="2"/>
      <c r="Y1151" s="2"/>
    </row>
    <row r="1152" spans="1:25" x14ac:dyDescent="0.3">
      <c r="A1152" s="2">
        <v>45522</v>
      </c>
      <c r="B1152" t="s">
        <v>20</v>
      </c>
      <c r="C1152" s="4">
        <v>59.1</v>
      </c>
      <c r="D1152" s="4">
        <v>26.2</v>
      </c>
      <c r="E1152" s="4">
        <v>38.9</v>
      </c>
      <c r="F1152" s="4">
        <v>3.4</v>
      </c>
      <c r="G1152" s="4">
        <v>66</v>
      </c>
      <c r="H1152" s="4">
        <v>2.52</v>
      </c>
      <c r="I1152" s="4">
        <v>28.5</v>
      </c>
      <c r="J1152" s="4">
        <v>24.2</v>
      </c>
      <c r="K1152" s="4">
        <v>2.0699999999999998</v>
      </c>
      <c r="L1152" s="4">
        <v>98.5</v>
      </c>
      <c r="M1152" s="4">
        <v>26.2</v>
      </c>
      <c r="N1152" s="4">
        <v>48.625</v>
      </c>
      <c r="O1152" s="4">
        <v>8.5</v>
      </c>
      <c r="P1152" s="4">
        <v>165</v>
      </c>
      <c r="Q1152" s="4">
        <v>126</v>
      </c>
      <c r="R1152" s="4">
        <v>165</v>
      </c>
      <c r="S1152" s="4" t="str" cm="1">
        <f t="array" ref="S1152">_xlfn.IFS($R1152&lt;=50,"Good",$R1152&lt;=100,"Moderate",$R1152&lt;=200,"Poor",$R1152&lt;=300,"Very Poor",$R1152&lt;=500,"Hazardous")</f>
        <v>Poor</v>
      </c>
      <c r="T1152" t="s">
        <v>27</v>
      </c>
      <c r="X1152" s="2"/>
      <c r="Y1152" s="2"/>
    </row>
    <row r="1153" spans="1:25" x14ac:dyDescent="0.3">
      <c r="A1153" s="2">
        <v>45522</v>
      </c>
      <c r="B1153" t="s">
        <v>21</v>
      </c>
      <c r="C1153" s="4">
        <v>63.7</v>
      </c>
      <c r="D1153" s="4">
        <v>125.2</v>
      </c>
      <c r="E1153" s="4">
        <v>30.4</v>
      </c>
      <c r="F1153" s="4">
        <v>9.23</v>
      </c>
      <c r="G1153" s="4">
        <v>11.2</v>
      </c>
      <c r="H1153" s="4">
        <v>0.63</v>
      </c>
      <c r="I1153" s="4">
        <v>29.5</v>
      </c>
      <c r="J1153" s="4">
        <v>41.7</v>
      </c>
      <c r="K1153" s="4">
        <v>3.15</v>
      </c>
      <c r="L1153" s="4">
        <v>106.1666666666667</v>
      </c>
      <c r="M1153" s="4">
        <v>125.2</v>
      </c>
      <c r="N1153" s="4">
        <v>38</v>
      </c>
      <c r="O1153" s="4">
        <v>23.074999999999999</v>
      </c>
      <c r="P1153" s="4">
        <v>28</v>
      </c>
      <c r="Q1153" s="4">
        <v>31.5</v>
      </c>
      <c r="R1153" s="4">
        <v>125</v>
      </c>
      <c r="S1153" s="4" t="str" cm="1">
        <f t="array" ref="S1153">_xlfn.IFS($R1153&lt;=50,"Good",$R1153&lt;=100,"Moderate",$R1153&lt;=200,"Poor",$R1153&lt;=300,"Very Poor",$R1153&lt;=500,"Hazardous")</f>
        <v>Poor</v>
      </c>
      <c r="T1153" t="s">
        <v>28</v>
      </c>
      <c r="X1153" s="2"/>
      <c r="Y1153" s="2"/>
    </row>
    <row r="1154" spans="1:25" x14ac:dyDescent="0.3">
      <c r="A1154" s="2">
        <v>45522</v>
      </c>
      <c r="B1154" t="s">
        <v>22</v>
      </c>
      <c r="C1154" s="4">
        <v>14.4</v>
      </c>
      <c r="D1154" s="4">
        <v>171.7</v>
      </c>
      <c r="E1154" s="4">
        <v>22.4</v>
      </c>
      <c r="F1154" s="4">
        <v>5.23</v>
      </c>
      <c r="G1154" s="4">
        <v>45.9</v>
      </c>
      <c r="H1154" s="4">
        <v>0.65</v>
      </c>
      <c r="I1154" s="4">
        <v>26</v>
      </c>
      <c r="J1154" s="4">
        <v>70.400000000000006</v>
      </c>
      <c r="K1154" s="4">
        <v>3.65</v>
      </c>
      <c r="L1154" s="4">
        <v>24</v>
      </c>
      <c r="M1154" s="4">
        <v>171.7</v>
      </c>
      <c r="N1154" s="4">
        <v>28</v>
      </c>
      <c r="O1154" s="4">
        <v>13.074999999999999</v>
      </c>
      <c r="P1154" s="4">
        <v>114.75</v>
      </c>
      <c r="Q1154" s="4">
        <v>32.5</v>
      </c>
      <c r="R1154" s="4">
        <v>172</v>
      </c>
      <c r="S1154" s="4" t="str" cm="1">
        <f t="array" ref="S1154">_xlfn.IFS($R1154&lt;=50,"Good",$R1154&lt;=100,"Moderate",$R1154&lt;=200,"Poor",$R1154&lt;=300,"Very Poor",$R1154&lt;=500,"Hazardous")</f>
        <v>Poor</v>
      </c>
      <c r="T1154" t="s">
        <v>28</v>
      </c>
      <c r="X1154" s="2"/>
      <c r="Y1154" s="2"/>
    </row>
    <row r="1155" spans="1:25" x14ac:dyDescent="0.3">
      <c r="A1155" s="2">
        <v>45522</v>
      </c>
      <c r="B1155" t="s">
        <v>23</v>
      </c>
      <c r="C1155" s="4">
        <v>67</v>
      </c>
      <c r="D1155" s="4">
        <v>87.8</v>
      </c>
      <c r="E1155" s="4">
        <v>33.700000000000003</v>
      </c>
      <c r="F1155" s="4">
        <v>15.8</v>
      </c>
      <c r="G1155" s="4">
        <v>63.7</v>
      </c>
      <c r="H1155" s="4">
        <v>0.52</v>
      </c>
      <c r="I1155" s="4">
        <v>25.7</v>
      </c>
      <c r="J1155" s="4">
        <v>54</v>
      </c>
      <c r="K1155" s="4">
        <v>2.34</v>
      </c>
      <c r="L1155" s="4">
        <v>111.6666666666667</v>
      </c>
      <c r="M1155" s="4">
        <v>87.8</v>
      </c>
      <c r="N1155" s="4">
        <v>42.125</v>
      </c>
      <c r="O1155" s="4">
        <v>39.5</v>
      </c>
      <c r="P1155" s="4">
        <v>159.25</v>
      </c>
      <c r="Q1155" s="4">
        <v>26</v>
      </c>
      <c r="R1155" s="4">
        <v>159</v>
      </c>
      <c r="S1155" s="4" t="str" cm="1">
        <f t="array" ref="S1155">_xlfn.IFS($R1155&lt;=50,"Good",$R1155&lt;=100,"Moderate",$R1155&lt;=200,"Poor",$R1155&lt;=300,"Very Poor",$R1155&lt;=500,"Hazardous")</f>
        <v>Poor</v>
      </c>
      <c r="T1155" t="s">
        <v>27</v>
      </c>
      <c r="X1155" s="2"/>
      <c r="Y1155" s="2"/>
    </row>
    <row r="1156" spans="1:25" x14ac:dyDescent="0.3">
      <c r="A1156" s="2">
        <v>45522</v>
      </c>
      <c r="B1156" t="s">
        <v>24</v>
      </c>
      <c r="C1156" s="4">
        <v>20.3</v>
      </c>
      <c r="D1156" s="4">
        <v>83.9</v>
      </c>
      <c r="E1156" s="4">
        <v>71.5</v>
      </c>
      <c r="F1156" s="4">
        <v>9.59</v>
      </c>
      <c r="G1156" s="4">
        <v>1</v>
      </c>
      <c r="H1156" s="4">
        <v>1.7</v>
      </c>
      <c r="I1156" s="4">
        <v>32.6</v>
      </c>
      <c r="J1156" s="4">
        <v>53.5</v>
      </c>
      <c r="K1156" s="4">
        <v>3.86</v>
      </c>
      <c r="L1156" s="4">
        <v>33.833333333333343</v>
      </c>
      <c r="M1156" s="4">
        <v>83.9</v>
      </c>
      <c r="N1156" s="4">
        <v>89.375</v>
      </c>
      <c r="O1156" s="4">
        <v>23.975000000000001</v>
      </c>
      <c r="P1156" s="4">
        <v>2.5</v>
      </c>
      <c r="Q1156" s="4">
        <v>84.999999999999986</v>
      </c>
      <c r="R1156" s="4">
        <v>89</v>
      </c>
      <c r="S1156" s="4" t="str" cm="1">
        <f t="array" ref="S1156">_xlfn.IFS($R1156&lt;=50,"Good",$R1156&lt;=100,"Moderate",$R1156&lt;=200,"Poor",$R1156&lt;=300,"Very Poor",$R1156&lt;=500,"Hazardous")</f>
        <v>Moderate</v>
      </c>
      <c r="T1156" t="s">
        <v>26</v>
      </c>
      <c r="X1156" s="2"/>
      <c r="Y1156" s="2"/>
    </row>
    <row r="1157" spans="1:25" x14ac:dyDescent="0.3">
      <c r="A1157" s="2">
        <v>45523</v>
      </c>
      <c r="B1157" t="s">
        <v>20</v>
      </c>
      <c r="C1157" s="4">
        <v>31.5</v>
      </c>
      <c r="D1157" s="4">
        <v>84.4</v>
      </c>
      <c r="E1157" s="4">
        <v>69</v>
      </c>
      <c r="F1157" s="4">
        <v>6.11</v>
      </c>
      <c r="G1157" s="4">
        <v>1</v>
      </c>
      <c r="H1157" s="4">
        <v>1.07</v>
      </c>
      <c r="I1157" s="4">
        <v>24.4</v>
      </c>
      <c r="J1157" s="4">
        <v>81.599999999999994</v>
      </c>
      <c r="K1157" s="4">
        <v>2.52</v>
      </c>
      <c r="L1157" s="4">
        <v>52.5</v>
      </c>
      <c r="M1157" s="4">
        <v>84.4</v>
      </c>
      <c r="N1157" s="4">
        <v>86.25</v>
      </c>
      <c r="O1157" s="4">
        <v>15.275</v>
      </c>
      <c r="P1157" s="4">
        <v>2.5</v>
      </c>
      <c r="Q1157" s="4">
        <v>53.500000000000007</v>
      </c>
      <c r="R1157" s="4">
        <v>86</v>
      </c>
      <c r="S1157" s="4" t="str" cm="1">
        <f t="array" ref="S1157">_xlfn.IFS($R1157&lt;=50,"Good",$R1157&lt;=100,"Moderate",$R1157&lt;=200,"Poor",$R1157&lt;=300,"Very Poor",$R1157&lt;=500,"Hazardous")</f>
        <v>Moderate</v>
      </c>
      <c r="T1157" t="s">
        <v>26</v>
      </c>
      <c r="X1157" s="2"/>
      <c r="Y1157" s="2"/>
    </row>
    <row r="1158" spans="1:25" x14ac:dyDescent="0.3">
      <c r="A1158" s="2">
        <v>45523</v>
      </c>
      <c r="B1158" t="s">
        <v>21</v>
      </c>
      <c r="C1158" s="4">
        <v>47.4</v>
      </c>
      <c r="D1158" s="4">
        <v>182.7</v>
      </c>
      <c r="E1158" s="4">
        <v>47.4</v>
      </c>
      <c r="F1158" s="4">
        <v>4.25</v>
      </c>
      <c r="G1158" s="4">
        <v>86.1</v>
      </c>
      <c r="H1158" s="4">
        <v>1.32</v>
      </c>
      <c r="I1158" s="4">
        <v>25</v>
      </c>
      <c r="J1158" s="4">
        <v>63.2</v>
      </c>
      <c r="K1158" s="4">
        <v>1.22</v>
      </c>
      <c r="L1158" s="4">
        <v>79</v>
      </c>
      <c r="M1158" s="4">
        <v>182.7</v>
      </c>
      <c r="N1158" s="4">
        <v>59.25</v>
      </c>
      <c r="O1158" s="4">
        <v>10.625</v>
      </c>
      <c r="P1158" s="4">
        <v>215.25</v>
      </c>
      <c r="Q1158" s="4">
        <v>66</v>
      </c>
      <c r="R1158" s="4">
        <v>215</v>
      </c>
      <c r="S1158" s="4" t="str" cm="1">
        <f t="array" ref="S1158">_xlfn.IFS($R1158&lt;=50,"Good",$R1158&lt;=100,"Moderate",$R1158&lt;=200,"Poor",$R1158&lt;=300,"Very Poor",$R1158&lt;=500,"Hazardous")</f>
        <v>Very Poor</v>
      </c>
      <c r="T1158" t="s">
        <v>27</v>
      </c>
      <c r="X1158" s="2"/>
      <c r="Y1158" s="2"/>
    </row>
    <row r="1159" spans="1:25" x14ac:dyDescent="0.3">
      <c r="A1159" s="2">
        <v>45523</v>
      </c>
      <c r="B1159" t="s">
        <v>22</v>
      </c>
      <c r="C1159" s="4">
        <v>33.6</v>
      </c>
      <c r="D1159" s="4">
        <v>91.4</v>
      </c>
      <c r="E1159" s="4">
        <v>31.2</v>
      </c>
      <c r="F1159" s="4">
        <v>10.92</v>
      </c>
      <c r="G1159" s="4">
        <v>43.2</v>
      </c>
      <c r="H1159" s="4">
        <v>1.3</v>
      </c>
      <c r="I1159" s="4">
        <v>25.1</v>
      </c>
      <c r="J1159" s="4">
        <v>79</v>
      </c>
      <c r="K1159" s="4">
        <v>2.98</v>
      </c>
      <c r="L1159" s="4">
        <v>56</v>
      </c>
      <c r="M1159" s="4">
        <v>91.4</v>
      </c>
      <c r="N1159" s="4">
        <v>39</v>
      </c>
      <c r="O1159" s="4">
        <v>27.3</v>
      </c>
      <c r="P1159" s="4">
        <v>108</v>
      </c>
      <c r="Q1159" s="4">
        <v>65</v>
      </c>
      <c r="R1159" s="4">
        <v>108</v>
      </c>
      <c r="S1159" s="4" t="str" cm="1">
        <f t="array" ref="S1159">_xlfn.IFS($R1159&lt;=50,"Good",$R1159&lt;=100,"Moderate",$R1159&lt;=200,"Poor",$R1159&lt;=300,"Very Poor",$R1159&lt;=500,"Hazardous")</f>
        <v>Poor</v>
      </c>
      <c r="T1159" t="s">
        <v>27</v>
      </c>
      <c r="X1159" s="2"/>
      <c r="Y1159" s="2"/>
    </row>
    <row r="1160" spans="1:25" x14ac:dyDescent="0.3">
      <c r="A1160" s="2">
        <v>45523</v>
      </c>
      <c r="B1160" t="s">
        <v>23</v>
      </c>
      <c r="C1160" s="4">
        <v>48.3</v>
      </c>
      <c r="D1160" s="4">
        <v>95.4</v>
      </c>
      <c r="E1160" s="4">
        <v>20.7</v>
      </c>
      <c r="F1160" s="4">
        <v>8.43</v>
      </c>
      <c r="G1160" s="4">
        <v>39</v>
      </c>
      <c r="H1160" s="4">
        <v>0.72</v>
      </c>
      <c r="I1160" s="4">
        <v>32.700000000000003</v>
      </c>
      <c r="J1160" s="4">
        <v>37.5</v>
      </c>
      <c r="K1160" s="4">
        <v>1.99</v>
      </c>
      <c r="L1160" s="4">
        <v>80.5</v>
      </c>
      <c r="M1160" s="4">
        <v>95.4</v>
      </c>
      <c r="N1160" s="4">
        <v>25.875</v>
      </c>
      <c r="O1160" s="4">
        <v>21.074999999999999</v>
      </c>
      <c r="P1160" s="4">
        <v>97.5</v>
      </c>
      <c r="Q1160" s="4">
        <v>36</v>
      </c>
      <c r="R1160" s="4">
        <v>98</v>
      </c>
      <c r="S1160" s="4" t="str" cm="1">
        <f t="array" ref="S1160">_xlfn.IFS($R1160&lt;=50,"Good",$R1160&lt;=100,"Moderate",$R1160&lt;=200,"Poor",$R1160&lt;=300,"Very Poor",$R1160&lt;=500,"Hazardous")</f>
        <v>Moderate</v>
      </c>
      <c r="T1160" t="s">
        <v>27</v>
      </c>
      <c r="X1160" s="2"/>
      <c r="Y1160" s="2"/>
    </row>
    <row r="1161" spans="1:25" x14ac:dyDescent="0.3">
      <c r="A1161" s="2">
        <v>45523</v>
      </c>
      <c r="B1161" t="s">
        <v>24</v>
      </c>
      <c r="C1161" s="4">
        <v>79.900000000000006</v>
      </c>
      <c r="D1161" s="4">
        <v>122.3</v>
      </c>
      <c r="E1161" s="4">
        <v>38.799999999999997</v>
      </c>
      <c r="F1161" s="4">
        <v>8.14</v>
      </c>
      <c r="G1161" s="4">
        <v>48.9</v>
      </c>
      <c r="H1161" s="4">
        <v>0.26</v>
      </c>
      <c r="I1161" s="4">
        <v>22.6</v>
      </c>
      <c r="J1161" s="4">
        <v>89.1</v>
      </c>
      <c r="K1161" s="4">
        <v>2.21</v>
      </c>
      <c r="L1161" s="4">
        <v>133.16666666666671</v>
      </c>
      <c r="M1161" s="4">
        <v>122.3</v>
      </c>
      <c r="N1161" s="4">
        <v>48.499999999999993</v>
      </c>
      <c r="O1161" s="4">
        <v>20.350000000000001</v>
      </c>
      <c r="P1161" s="4">
        <v>122.25</v>
      </c>
      <c r="Q1161" s="4">
        <v>13</v>
      </c>
      <c r="R1161" s="4">
        <v>133</v>
      </c>
      <c r="S1161" s="4" t="str" cm="1">
        <f t="array" ref="S1161">_xlfn.IFS($R1161&lt;=50,"Good",$R1161&lt;=100,"Moderate",$R1161&lt;=200,"Poor",$R1161&lt;=300,"Very Poor",$R1161&lt;=500,"Hazardous")</f>
        <v>Poor</v>
      </c>
      <c r="T1161" t="s">
        <v>25</v>
      </c>
      <c r="X1161" s="2"/>
      <c r="Y1161" s="2"/>
    </row>
    <row r="1162" spans="1:25" x14ac:dyDescent="0.3">
      <c r="A1162" s="2">
        <v>45524</v>
      </c>
      <c r="B1162" t="s">
        <v>20</v>
      </c>
      <c r="C1162" s="4">
        <v>46.4</v>
      </c>
      <c r="D1162" s="4">
        <v>80.5</v>
      </c>
      <c r="E1162" s="4">
        <v>39.799999999999997</v>
      </c>
      <c r="F1162" s="4">
        <v>4.68</v>
      </c>
      <c r="G1162" s="4">
        <v>60</v>
      </c>
      <c r="H1162" s="4">
        <v>1.21</v>
      </c>
      <c r="I1162" s="4">
        <v>30.4</v>
      </c>
      <c r="J1162" s="4">
        <v>41.1</v>
      </c>
      <c r="K1162" s="4">
        <v>2.09</v>
      </c>
      <c r="L1162" s="4">
        <v>77.333333333333343</v>
      </c>
      <c r="M1162" s="4">
        <v>80.5</v>
      </c>
      <c r="N1162" s="4">
        <v>49.749999999999993</v>
      </c>
      <c r="O1162" s="4">
        <v>11.7</v>
      </c>
      <c r="P1162" s="4">
        <v>150</v>
      </c>
      <c r="Q1162" s="4">
        <v>60.5</v>
      </c>
      <c r="R1162" s="4">
        <v>150</v>
      </c>
      <c r="S1162" s="4" t="str" cm="1">
        <f t="array" ref="S1162">_xlfn.IFS($R1162&lt;=50,"Good",$R1162&lt;=100,"Moderate",$R1162&lt;=200,"Poor",$R1162&lt;=300,"Very Poor",$R1162&lt;=500,"Hazardous")</f>
        <v>Poor</v>
      </c>
      <c r="T1162" t="s">
        <v>27</v>
      </c>
      <c r="X1162" s="2"/>
      <c r="Y1162" s="2"/>
    </row>
    <row r="1163" spans="1:25" x14ac:dyDescent="0.3">
      <c r="A1163" s="2">
        <v>45524</v>
      </c>
      <c r="B1163" t="s">
        <v>21</v>
      </c>
      <c r="C1163" s="4">
        <v>53.2</v>
      </c>
      <c r="D1163" s="4">
        <v>147.30000000000001</v>
      </c>
      <c r="E1163" s="4">
        <v>29.1</v>
      </c>
      <c r="F1163" s="4">
        <v>12.58</v>
      </c>
      <c r="G1163" s="4">
        <v>87.1</v>
      </c>
      <c r="H1163" s="4">
        <v>0.61</v>
      </c>
      <c r="I1163" s="4">
        <v>21.6</v>
      </c>
      <c r="J1163" s="4">
        <v>50.4</v>
      </c>
      <c r="K1163" s="4">
        <v>5.66</v>
      </c>
      <c r="L1163" s="4">
        <v>88.666666666666671</v>
      </c>
      <c r="M1163" s="4">
        <v>147.30000000000001</v>
      </c>
      <c r="N1163" s="4">
        <v>36.375000000000007</v>
      </c>
      <c r="O1163" s="4">
        <v>31.45</v>
      </c>
      <c r="P1163" s="4">
        <v>217.75</v>
      </c>
      <c r="Q1163" s="4">
        <v>30.5</v>
      </c>
      <c r="R1163" s="4">
        <v>218</v>
      </c>
      <c r="S1163" s="4" t="str" cm="1">
        <f t="array" ref="S1163">_xlfn.IFS($R1163&lt;=50,"Good",$R1163&lt;=100,"Moderate",$R1163&lt;=200,"Poor",$R1163&lt;=300,"Very Poor",$R1163&lt;=500,"Hazardous")</f>
        <v>Very Poor</v>
      </c>
      <c r="T1163" t="s">
        <v>27</v>
      </c>
      <c r="X1163" s="2"/>
      <c r="Y1163" s="2"/>
    </row>
    <row r="1164" spans="1:25" x14ac:dyDescent="0.3">
      <c r="A1164" s="2">
        <v>45524</v>
      </c>
      <c r="B1164" t="s">
        <v>22</v>
      </c>
      <c r="C1164" s="4">
        <v>35.799999999999997</v>
      </c>
      <c r="D1164" s="4">
        <v>167.7</v>
      </c>
      <c r="E1164" s="4">
        <v>14.9</v>
      </c>
      <c r="F1164" s="4">
        <v>2.3199999999999998</v>
      </c>
      <c r="G1164" s="4">
        <v>21.7</v>
      </c>
      <c r="H1164" s="4">
        <v>0.53</v>
      </c>
      <c r="I1164" s="4">
        <v>23.1</v>
      </c>
      <c r="J1164" s="4">
        <v>47.2</v>
      </c>
      <c r="K1164" s="4">
        <v>1.52</v>
      </c>
      <c r="L1164" s="4">
        <v>59.666666666666657</v>
      </c>
      <c r="M1164" s="4">
        <v>167.7</v>
      </c>
      <c r="N1164" s="4">
        <v>18.625</v>
      </c>
      <c r="O1164" s="4">
        <v>5.8</v>
      </c>
      <c r="P1164" s="4">
        <v>54.25</v>
      </c>
      <c r="Q1164" s="4">
        <v>26.5</v>
      </c>
      <c r="R1164" s="4">
        <v>168</v>
      </c>
      <c r="S1164" s="4" t="str" cm="1">
        <f t="array" ref="S1164">_xlfn.IFS($R1164&lt;=50,"Good",$R1164&lt;=100,"Moderate",$R1164&lt;=200,"Poor",$R1164&lt;=300,"Very Poor",$R1164&lt;=500,"Hazardous")</f>
        <v>Poor</v>
      </c>
      <c r="T1164" t="s">
        <v>28</v>
      </c>
      <c r="X1164" s="2"/>
      <c r="Y1164" s="2"/>
    </row>
    <row r="1165" spans="1:25" x14ac:dyDescent="0.3">
      <c r="A1165" s="2">
        <v>45524</v>
      </c>
      <c r="B1165" t="s">
        <v>23</v>
      </c>
      <c r="C1165" s="4">
        <v>75.8</v>
      </c>
      <c r="D1165" s="4">
        <v>154.69999999999999</v>
      </c>
      <c r="E1165" s="4">
        <v>51.2</v>
      </c>
      <c r="F1165" s="4">
        <v>8.5</v>
      </c>
      <c r="G1165" s="4">
        <v>42.3</v>
      </c>
      <c r="H1165" s="4">
        <v>0.72</v>
      </c>
      <c r="I1165" s="4">
        <v>18.3</v>
      </c>
      <c r="J1165" s="4">
        <v>66.5</v>
      </c>
      <c r="K1165" s="4">
        <v>1.0900000000000001</v>
      </c>
      <c r="L1165" s="4">
        <v>126.3333333333333</v>
      </c>
      <c r="M1165" s="4">
        <v>154.69999999999999</v>
      </c>
      <c r="N1165" s="4">
        <v>64</v>
      </c>
      <c r="O1165" s="4">
        <v>21.25</v>
      </c>
      <c r="P1165" s="4">
        <v>105.75</v>
      </c>
      <c r="Q1165" s="4">
        <v>36</v>
      </c>
      <c r="R1165" s="4">
        <v>155</v>
      </c>
      <c r="S1165" s="4" t="str" cm="1">
        <f t="array" ref="S1165">_xlfn.IFS($R1165&lt;=50,"Good",$R1165&lt;=100,"Moderate",$R1165&lt;=200,"Poor",$R1165&lt;=300,"Very Poor",$R1165&lt;=500,"Hazardous")</f>
        <v>Poor</v>
      </c>
      <c r="T1165" t="s">
        <v>28</v>
      </c>
      <c r="X1165" s="2"/>
      <c r="Y1165" s="2"/>
    </row>
    <row r="1166" spans="1:25" x14ac:dyDescent="0.3">
      <c r="A1166" s="2">
        <v>45524</v>
      </c>
      <c r="B1166" t="s">
        <v>24</v>
      </c>
      <c r="C1166" s="4">
        <v>26.6</v>
      </c>
      <c r="D1166" s="4">
        <v>166.5</v>
      </c>
      <c r="E1166" s="4">
        <v>73.099999999999994</v>
      </c>
      <c r="F1166" s="4">
        <v>8.77</v>
      </c>
      <c r="G1166" s="4">
        <v>74.400000000000006</v>
      </c>
      <c r="H1166" s="4">
        <v>0.93</v>
      </c>
      <c r="I1166" s="4">
        <v>15.6</v>
      </c>
      <c r="J1166" s="4">
        <v>71</v>
      </c>
      <c r="K1166" s="4">
        <v>3.68</v>
      </c>
      <c r="L1166" s="4">
        <v>44.333333333333343</v>
      </c>
      <c r="M1166" s="4">
        <v>166.5</v>
      </c>
      <c r="N1166" s="4">
        <v>91.375</v>
      </c>
      <c r="O1166" s="4">
        <v>21.925000000000001</v>
      </c>
      <c r="P1166" s="4">
        <v>186</v>
      </c>
      <c r="Q1166" s="4">
        <v>46.5</v>
      </c>
      <c r="R1166" s="4">
        <v>186</v>
      </c>
      <c r="S1166" s="4" t="str" cm="1">
        <f t="array" ref="S1166">_xlfn.IFS($R1166&lt;=50,"Good",$R1166&lt;=100,"Moderate",$R1166&lt;=200,"Poor",$R1166&lt;=300,"Very Poor",$R1166&lt;=500,"Hazardous")</f>
        <v>Poor</v>
      </c>
      <c r="T1166" t="s">
        <v>27</v>
      </c>
      <c r="X1166" s="2"/>
      <c r="Y1166" s="2"/>
    </row>
    <row r="1167" spans="1:25" x14ac:dyDescent="0.3">
      <c r="A1167" s="2">
        <v>45525</v>
      </c>
      <c r="B1167" t="s">
        <v>20</v>
      </c>
      <c r="C1167" s="4">
        <v>57.2</v>
      </c>
      <c r="D1167" s="4">
        <v>97</v>
      </c>
      <c r="E1167" s="4">
        <v>59.1</v>
      </c>
      <c r="F1167" s="4">
        <v>2.83</v>
      </c>
      <c r="G1167" s="4">
        <v>23.8</v>
      </c>
      <c r="H1167" s="4">
        <v>0.55000000000000004</v>
      </c>
      <c r="I1167" s="4">
        <v>25.6</v>
      </c>
      <c r="J1167" s="4">
        <v>40.4</v>
      </c>
      <c r="K1167" s="4">
        <v>1.68</v>
      </c>
      <c r="L1167" s="4">
        <v>95.333333333333343</v>
      </c>
      <c r="M1167" s="4">
        <v>97</v>
      </c>
      <c r="N1167" s="4">
        <v>73.875</v>
      </c>
      <c r="O1167" s="4">
        <v>7.0750000000000002</v>
      </c>
      <c r="P1167" s="4">
        <v>59.500000000000007</v>
      </c>
      <c r="Q1167" s="4">
        <v>27.5</v>
      </c>
      <c r="R1167" s="4">
        <v>97</v>
      </c>
      <c r="S1167" s="4" t="str" cm="1">
        <f t="array" ref="S1167">_xlfn.IFS($R1167&lt;=50,"Good",$R1167&lt;=100,"Moderate",$R1167&lt;=200,"Poor",$R1167&lt;=300,"Very Poor",$R1167&lt;=500,"Hazardous")</f>
        <v>Moderate</v>
      </c>
      <c r="T1167" t="s">
        <v>28</v>
      </c>
      <c r="X1167" s="2"/>
      <c r="Y1167" s="2"/>
    </row>
    <row r="1168" spans="1:25" x14ac:dyDescent="0.3">
      <c r="A1168" s="2">
        <v>45525</v>
      </c>
      <c r="B1168" t="s">
        <v>21</v>
      </c>
      <c r="C1168" s="4">
        <v>38.799999999999997</v>
      </c>
      <c r="D1168" s="4">
        <v>104.4</v>
      </c>
      <c r="E1168" s="4">
        <v>15.3</v>
      </c>
      <c r="F1168" s="4">
        <v>8.44</v>
      </c>
      <c r="G1168" s="4">
        <v>89</v>
      </c>
      <c r="H1168" s="4">
        <v>1.28</v>
      </c>
      <c r="I1168" s="4">
        <v>35.799999999999997</v>
      </c>
      <c r="J1168" s="4">
        <v>84</v>
      </c>
      <c r="K1168" s="4">
        <v>3.43</v>
      </c>
      <c r="L1168" s="4">
        <v>64.666666666666657</v>
      </c>
      <c r="M1168" s="4">
        <v>104.4</v>
      </c>
      <c r="N1168" s="4">
        <v>19.125</v>
      </c>
      <c r="O1168" s="4">
        <v>21.1</v>
      </c>
      <c r="P1168" s="4">
        <v>222.5</v>
      </c>
      <c r="Q1168" s="4">
        <v>64</v>
      </c>
      <c r="R1168" s="4">
        <v>222</v>
      </c>
      <c r="S1168" s="4" t="str" cm="1">
        <f t="array" ref="S1168">_xlfn.IFS($R1168&lt;=50,"Good",$R1168&lt;=100,"Moderate",$R1168&lt;=200,"Poor",$R1168&lt;=300,"Very Poor",$R1168&lt;=500,"Hazardous")</f>
        <v>Very Poor</v>
      </c>
      <c r="T1168" t="s">
        <v>27</v>
      </c>
      <c r="X1168" s="2"/>
      <c r="Y1168" s="2"/>
    </row>
    <row r="1169" spans="1:25" x14ac:dyDescent="0.3">
      <c r="A1169" s="2">
        <v>45525</v>
      </c>
      <c r="B1169" t="s">
        <v>22</v>
      </c>
      <c r="C1169" s="4">
        <v>47.3</v>
      </c>
      <c r="D1169" s="4">
        <v>92.2</v>
      </c>
      <c r="E1169" s="4">
        <v>45.8</v>
      </c>
      <c r="F1169" s="4">
        <v>4.59</v>
      </c>
      <c r="G1169" s="4">
        <v>1</v>
      </c>
      <c r="H1169" s="4">
        <v>1.1399999999999999</v>
      </c>
      <c r="I1169" s="4">
        <v>17.100000000000001</v>
      </c>
      <c r="J1169" s="4">
        <v>42.7</v>
      </c>
      <c r="K1169" s="4">
        <v>2.5</v>
      </c>
      <c r="L1169" s="4">
        <v>78.833333333333329</v>
      </c>
      <c r="M1169" s="4">
        <v>92.2</v>
      </c>
      <c r="N1169" s="4">
        <v>57.249999999999993</v>
      </c>
      <c r="O1169" s="4">
        <v>11.475</v>
      </c>
      <c r="P1169" s="4">
        <v>2.5</v>
      </c>
      <c r="Q1169" s="4">
        <v>56.999999999999993</v>
      </c>
      <c r="R1169" s="4">
        <v>92</v>
      </c>
      <c r="S1169" s="4" t="str" cm="1">
        <f t="array" ref="S1169">_xlfn.IFS($R1169&lt;=50,"Good",$R1169&lt;=100,"Moderate",$R1169&lt;=200,"Poor",$R1169&lt;=300,"Very Poor",$R1169&lt;=500,"Hazardous")</f>
        <v>Moderate</v>
      </c>
      <c r="T1169" t="s">
        <v>28</v>
      </c>
      <c r="X1169" s="2"/>
      <c r="Y1169" s="2"/>
    </row>
    <row r="1170" spans="1:25" x14ac:dyDescent="0.3">
      <c r="A1170" s="2">
        <v>45525</v>
      </c>
      <c r="B1170" t="s">
        <v>23</v>
      </c>
      <c r="C1170" s="4">
        <v>45.7</v>
      </c>
      <c r="D1170" s="4">
        <v>28.2</v>
      </c>
      <c r="E1170" s="4">
        <v>38.6</v>
      </c>
      <c r="F1170" s="4">
        <v>10.26</v>
      </c>
      <c r="G1170" s="4">
        <v>11.8</v>
      </c>
      <c r="H1170" s="4">
        <v>1.57</v>
      </c>
      <c r="I1170" s="4">
        <v>14.1</v>
      </c>
      <c r="J1170" s="4">
        <v>98.1</v>
      </c>
      <c r="K1170" s="4">
        <v>2.0099999999999998</v>
      </c>
      <c r="L1170" s="4">
        <v>76.166666666666671</v>
      </c>
      <c r="M1170" s="4">
        <v>28.2</v>
      </c>
      <c r="N1170" s="4">
        <v>48.25</v>
      </c>
      <c r="O1170" s="4">
        <v>25.65</v>
      </c>
      <c r="P1170" s="4">
        <v>29.5</v>
      </c>
      <c r="Q1170" s="4">
        <v>78.5</v>
      </c>
      <c r="R1170" s="4">
        <v>78</v>
      </c>
      <c r="S1170" s="4" t="str" cm="1">
        <f t="array" ref="S1170">_xlfn.IFS($R1170&lt;=50,"Good",$R1170&lt;=100,"Moderate",$R1170&lt;=200,"Poor",$R1170&lt;=300,"Very Poor",$R1170&lt;=500,"Hazardous")</f>
        <v>Moderate</v>
      </c>
      <c r="T1170" t="s">
        <v>29</v>
      </c>
      <c r="X1170" s="2"/>
      <c r="Y1170" s="2"/>
    </row>
    <row r="1171" spans="1:25" x14ac:dyDescent="0.3">
      <c r="A1171" s="2">
        <v>45525</v>
      </c>
      <c r="B1171" t="s">
        <v>24</v>
      </c>
      <c r="C1171" s="4">
        <v>56.6</v>
      </c>
      <c r="D1171" s="4">
        <v>5.7</v>
      </c>
      <c r="E1171" s="4">
        <v>38.5</v>
      </c>
      <c r="F1171" s="4">
        <v>8.0500000000000007</v>
      </c>
      <c r="G1171" s="4">
        <v>41.6</v>
      </c>
      <c r="H1171" s="4">
        <v>0.76</v>
      </c>
      <c r="I1171" s="4">
        <v>18.399999999999999</v>
      </c>
      <c r="J1171" s="4">
        <v>80.3</v>
      </c>
      <c r="K1171" s="4">
        <v>3.04</v>
      </c>
      <c r="L1171" s="4">
        <v>94.333333333333343</v>
      </c>
      <c r="M1171" s="4">
        <v>5.7</v>
      </c>
      <c r="N1171" s="4">
        <v>48.125</v>
      </c>
      <c r="O1171" s="4">
        <v>20.125</v>
      </c>
      <c r="P1171" s="4">
        <v>104</v>
      </c>
      <c r="Q1171" s="4">
        <v>38</v>
      </c>
      <c r="R1171" s="4">
        <v>104</v>
      </c>
      <c r="S1171" s="4" t="str" cm="1">
        <f t="array" ref="S1171">_xlfn.IFS($R1171&lt;=50,"Good",$R1171&lt;=100,"Moderate",$R1171&lt;=200,"Poor",$R1171&lt;=300,"Very Poor",$R1171&lt;=500,"Hazardous")</f>
        <v>Poor</v>
      </c>
      <c r="T1171" t="s">
        <v>27</v>
      </c>
      <c r="X1171" s="2"/>
      <c r="Y1171" s="2"/>
    </row>
    <row r="1172" spans="1:25" x14ac:dyDescent="0.3">
      <c r="A1172" s="2">
        <v>45526</v>
      </c>
      <c r="B1172" t="s">
        <v>20</v>
      </c>
      <c r="C1172" s="4">
        <v>97.7</v>
      </c>
      <c r="D1172" s="4">
        <v>81.3</v>
      </c>
      <c r="E1172" s="4">
        <v>33.4</v>
      </c>
      <c r="F1172" s="4">
        <v>11.11</v>
      </c>
      <c r="G1172" s="4">
        <v>1</v>
      </c>
      <c r="H1172" s="4">
        <v>0.43</v>
      </c>
      <c r="I1172" s="4">
        <v>32.700000000000003</v>
      </c>
      <c r="J1172" s="4">
        <v>38.9</v>
      </c>
      <c r="K1172" s="4">
        <v>0.32</v>
      </c>
      <c r="L1172" s="4">
        <v>162.83333333333329</v>
      </c>
      <c r="M1172" s="4">
        <v>81.3</v>
      </c>
      <c r="N1172" s="4">
        <v>41.749999999999993</v>
      </c>
      <c r="O1172" s="4">
        <v>27.774999999999999</v>
      </c>
      <c r="P1172" s="4">
        <v>2.5</v>
      </c>
      <c r="Q1172" s="4">
        <v>21.5</v>
      </c>
      <c r="R1172" s="4">
        <v>163</v>
      </c>
      <c r="S1172" s="4" t="str" cm="1">
        <f t="array" ref="S1172">_xlfn.IFS($R1172&lt;=50,"Good",$R1172&lt;=100,"Moderate",$R1172&lt;=200,"Poor",$R1172&lt;=300,"Very Poor",$R1172&lt;=500,"Hazardous")</f>
        <v>Poor</v>
      </c>
      <c r="T1172" t="s">
        <v>25</v>
      </c>
      <c r="X1172" s="2"/>
      <c r="Y1172" s="2"/>
    </row>
    <row r="1173" spans="1:25" x14ac:dyDescent="0.3">
      <c r="A1173" s="2">
        <v>45526</v>
      </c>
      <c r="B1173" t="s">
        <v>21</v>
      </c>
      <c r="C1173" s="4">
        <v>116.1</v>
      </c>
      <c r="D1173" s="4">
        <v>36.4</v>
      </c>
      <c r="E1173" s="4">
        <v>48.7</v>
      </c>
      <c r="F1173" s="4">
        <v>8.35</v>
      </c>
      <c r="G1173" s="4">
        <v>1</v>
      </c>
      <c r="H1173" s="4">
        <v>1.04</v>
      </c>
      <c r="I1173" s="4">
        <v>28.1</v>
      </c>
      <c r="J1173" s="4">
        <v>66.400000000000006</v>
      </c>
      <c r="K1173" s="4">
        <v>3.58</v>
      </c>
      <c r="L1173" s="4">
        <v>193.5</v>
      </c>
      <c r="M1173" s="4">
        <v>36.4</v>
      </c>
      <c r="N1173" s="4">
        <v>60.875000000000007</v>
      </c>
      <c r="O1173" s="4">
        <v>20.875</v>
      </c>
      <c r="P1173" s="4">
        <v>2.5</v>
      </c>
      <c r="Q1173" s="4">
        <v>52.000000000000007</v>
      </c>
      <c r="R1173" s="4">
        <v>193</v>
      </c>
      <c r="S1173" s="4" t="str" cm="1">
        <f t="array" ref="S1173">_xlfn.IFS($R1173&lt;=50,"Good",$R1173&lt;=100,"Moderate",$R1173&lt;=200,"Poor",$R1173&lt;=300,"Very Poor",$R1173&lt;=500,"Hazardous")</f>
        <v>Poor</v>
      </c>
      <c r="T1173" t="s">
        <v>25</v>
      </c>
      <c r="X1173" s="2"/>
      <c r="Y1173" s="2"/>
    </row>
    <row r="1174" spans="1:25" x14ac:dyDescent="0.3">
      <c r="A1174" s="2">
        <v>45526</v>
      </c>
      <c r="B1174" t="s">
        <v>22</v>
      </c>
      <c r="C1174" s="4">
        <v>36.799999999999997</v>
      </c>
      <c r="D1174" s="4">
        <v>123.7</v>
      </c>
      <c r="E1174" s="4">
        <v>23.7</v>
      </c>
      <c r="F1174" s="4">
        <v>0.72</v>
      </c>
      <c r="G1174" s="4">
        <v>7.2</v>
      </c>
      <c r="H1174" s="4">
        <v>0.25</v>
      </c>
      <c r="I1174" s="4">
        <v>32.1</v>
      </c>
      <c r="J1174" s="4">
        <v>32.700000000000003</v>
      </c>
      <c r="K1174" s="4">
        <v>2.83</v>
      </c>
      <c r="L1174" s="4">
        <v>61.333333333333329</v>
      </c>
      <c r="M1174" s="4">
        <v>123.7</v>
      </c>
      <c r="N1174" s="4">
        <v>29.625</v>
      </c>
      <c r="O1174" s="4">
        <v>1.8</v>
      </c>
      <c r="P1174" s="4">
        <v>18</v>
      </c>
      <c r="Q1174" s="4">
        <v>12.5</v>
      </c>
      <c r="R1174" s="4">
        <v>124</v>
      </c>
      <c r="S1174" s="4" t="str" cm="1">
        <f t="array" ref="S1174">_xlfn.IFS($R1174&lt;=50,"Good",$R1174&lt;=100,"Moderate",$R1174&lt;=200,"Poor",$R1174&lt;=300,"Very Poor",$R1174&lt;=500,"Hazardous")</f>
        <v>Poor</v>
      </c>
      <c r="T1174" t="s">
        <v>28</v>
      </c>
      <c r="X1174" s="2"/>
      <c r="Y1174" s="2"/>
    </row>
    <row r="1175" spans="1:25" x14ac:dyDescent="0.3">
      <c r="A1175" s="2">
        <v>45526</v>
      </c>
      <c r="B1175" t="s">
        <v>23</v>
      </c>
      <c r="C1175" s="4">
        <v>41.6</v>
      </c>
      <c r="D1175" s="4">
        <v>91.1</v>
      </c>
      <c r="E1175" s="4">
        <v>57.8</v>
      </c>
      <c r="F1175" s="4">
        <v>4.6500000000000004</v>
      </c>
      <c r="G1175" s="4">
        <v>55.3</v>
      </c>
      <c r="H1175" s="4">
        <v>0.98</v>
      </c>
      <c r="I1175" s="4">
        <v>23.9</v>
      </c>
      <c r="J1175" s="4">
        <v>100</v>
      </c>
      <c r="K1175" s="4">
        <v>0.77</v>
      </c>
      <c r="L1175" s="4">
        <v>69.333333333333329</v>
      </c>
      <c r="M1175" s="4">
        <v>91.1</v>
      </c>
      <c r="N1175" s="4">
        <v>72.25</v>
      </c>
      <c r="O1175" s="4">
        <v>11.625</v>
      </c>
      <c r="P1175" s="4">
        <v>138.25</v>
      </c>
      <c r="Q1175" s="4">
        <v>49</v>
      </c>
      <c r="R1175" s="4">
        <v>138</v>
      </c>
      <c r="S1175" s="4" t="str" cm="1">
        <f t="array" ref="S1175">_xlfn.IFS($R1175&lt;=50,"Good",$R1175&lt;=100,"Moderate",$R1175&lt;=200,"Poor",$R1175&lt;=300,"Very Poor",$R1175&lt;=500,"Hazardous")</f>
        <v>Poor</v>
      </c>
      <c r="T1175" t="s">
        <v>27</v>
      </c>
      <c r="X1175" s="2"/>
      <c r="Y1175" s="2"/>
    </row>
    <row r="1176" spans="1:25" x14ac:dyDescent="0.3">
      <c r="A1176" s="2">
        <v>45526</v>
      </c>
      <c r="B1176" t="s">
        <v>24</v>
      </c>
      <c r="C1176" s="4">
        <v>86.8</v>
      </c>
      <c r="D1176" s="4">
        <v>140.30000000000001</v>
      </c>
      <c r="E1176" s="4">
        <v>31.2</v>
      </c>
      <c r="F1176" s="4">
        <v>14.21</v>
      </c>
      <c r="G1176" s="4">
        <v>1</v>
      </c>
      <c r="H1176" s="4">
        <v>0.78</v>
      </c>
      <c r="I1176" s="4">
        <v>16.5</v>
      </c>
      <c r="J1176" s="4">
        <v>67.400000000000006</v>
      </c>
      <c r="K1176" s="4">
        <v>1.66</v>
      </c>
      <c r="L1176" s="4">
        <v>144.66666666666671</v>
      </c>
      <c r="M1176" s="4">
        <v>140.30000000000001</v>
      </c>
      <c r="N1176" s="4">
        <v>39</v>
      </c>
      <c r="O1176" s="4">
        <v>35.524999999999999</v>
      </c>
      <c r="P1176" s="4">
        <v>2.5</v>
      </c>
      <c r="Q1176" s="4">
        <v>39</v>
      </c>
      <c r="R1176" s="4">
        <v>145</v>
      </c>
      <c r="S1176" s="4" t="str" cm="1">
        <f t="array" ref="S1176">_xlfn.IFS($R1176&lt;=50,"Good",$R1176&lt;=100,"Moderate",$R1176&lt;=200,"Poor",$R1176&lt;=300,"Very Poor",$R1176&lt;=500,"Hazardous")</f>
        <v>Poor</v>
      </c>
      <c r="T1176" t="s">
        <v>25</v>
      </c>
      <c r="X1176" s="2"/>
      <c r="Y1176" s="2"/>
    </row>
    <row r="1177" spans="1:25" x14ac:dyDescent="0.3">
      <c r="A1177" s="2">
        <v>45527</v>
      </c>
      <c r="B1177" t="s">
        <v>20</v>
      </c>
      <c r="C1177" s="4">
        <v>67.2</v>
      </c>
      <c r="D1177" s="4">
        <v>100.1</v>
      </c>
      <c r="E1177" s="4">
        <v>32.6</v>
      </c>
      <c r="F1177" s="4">
        <v>9.15</v>
      </c>
      <c r="G1177" s="4">
        <v>38.299999999999997</v>
      </c>
      <c r="H1177" s="4">
        <v>0.5</v>
      </c>
      <c r="I1177" s="4">
        <v>44.6</v>
      </c>
      <c r="J1177" s="4">
        <v>51.2</v>
      </c>
      <c r="K1177" s="4">
        <v>0.2</v>
      </c>
      <c r="L1177" s="4">
        <v>112</v>
      </c>
      <c r="M1177" s="4">
        <v>100.1</v>
      </c>
      <c r="N1177" s="4">
        <v>40.75</v>
      </c>
      <c r="O1177" s="4">
        <v>22.875</v>
      </c>
      <c r="P1177" s="4">
        <v>95.749999999999986</v>
      </c>
      <c r="Q1177" s="4">
        <v>25</v>
      </c>
      <c r="R1177" s="4">
        <v>112</v>
      </c>
      <c r="S1177" s="4" t="str" cm="1">
        <f t="array" ref="S1177">_xlfn.IFS($R1177&lt;=50,"Good",$R1177&lt;=100,"Moderate",$R1177&lt;=200,"Poor",$R1177&lt;=300,"Very Poor",$R1177&lt;=500,"Hazardous")</f>
        <v>Poor</v>
      </c>
      <c r="T1177" t="s">
        <v>25</v>
      </c>
      <c r="X1177" s="2"/>
      <c r="Y1177" s="2"/>
    </row>
    <row r="1178" spans="1:25" x14ac:dyDescent="0.3">
      <c r="A1178" s="2">
        <v>45527</v>
      </c>
      <c r="B1178" t="s">
        <v>21</v>
      </c>
      <c r="C1178" s="4">
        <v>34.700000000000003</v>
      </c>
      <c r="D1178" s="4">
        <v>44</v>
      </c>
      <c r="E1178" s="4">
        <v>61.5</v>
      </c>
      <c r="F1178" s="4">
        <v>9.61</v>
      </c>
      <c r="G1178" s="4">
        <v>62.5</v>
      </c>
      <c r="H1178" s="4">
        <v>0.98</v>
      </c>
      <c r="I1178" s="4">
        <v>23</v>
      </c>
      <c r="J1178" s="4">
        <v>53.3</v>
      </c>
      <c r="K1178" s="4">
        <v>2.4</v>
      </c>
      <c r="L1178" s="4">
        <v>57.833333333333343</v>
      </c>
      <c r="M1178" s="4">
        <v>44</v>
      </c>
      <c r="N1178" s="4">
        <v>76.875</v>
      </c>
      <c r="O1178" s="4">
        <v>24.024999999999999</v>
      </c>
      <c r="P1178" s="4">
        <v>156.25</v>
      </c>
      <c r="Q1178" s="4">
        <v>49</v>
      </c>
      <c r="R1178" s="4">
        <v>156</v>
      </c>
      <c r="S1178" s="4" t="str" cm="1">
        <f t="array" ref="S1178">_xlfn.IFS($R1178&lt;=50,"Good",$R1178&lt;=100,"Moderate",$R1178&lt;=200,"Poor",$R1178&lt;=300,"Very Poor",$R1178&lt;=500,"Hazardous")</f>
        <v>Poor</v>
      </c>
      <c r="T1178" t="s">
        <v>27</v>
      </c>
      <c r="X1178" s="2"/>
      <c r="Y1178" s="2"/>
    </row>
    <row r="1179" spans="1:25" x14ac:dyDescent="0.3">
      <c r="A1179" s="2">
        <v>45527</v>
      </c>
      <c r="B1179" t="s">
        <v>22</v>
      </c>
      <c r="C1179" s="4">
        <v>64.599999999999994</v>
      </c>
      <c r="D1179" s="4">
        <v>106.5</v>
      </c>
      <c r="E1179" s="4">
        <v>41.8</v>
      </c>
      <c r="F1179" s="4">
        <v>7.98</v>
      </c>
      <c r="G1179" s="4">
        <v>59</v>
      </c>
      <c r="H1179" s="4">
        <v>1.04</v>
      </c>
      <c r="I1179" s="4">
        <v>27.5</v>
      </c>
      <c r="J1179" s="4">
        <v>81.400000000000006</v>
      </c>
      <c r="K1179" s="4">
        <v>1.7</v>
      </c>
      <c r="L1179" s="4">
        <v>107.6666666666667</v>
      </c>
      <c r="M1179" s="4">
        <v>106.5</v>
      </c>
      <c r="N1179" s="4">
        <v>52.25</v>
      </c>
      <c r="O1179" s="4">
        <v>19.95</v>
      </c>
      <c r="P1179" s="4">
        <v>147.5</v>
      </c>
      <c r="Q1179" s="4">
        <v>52.000000000000007</v>
      </c>
      <c r="R1179" s="4">
        <v>148</v>
      </c>
      <c r="S1179" s="4" t="str" cm="1">
        <f t="array" ref="S1179">_xlfn.IFS($R1179&lt;=50,"Good",$R1179&lt;=100,"Moderate",$R1179&lt;=200,"Poor",$R1179&lt;=300,"Very Poor",$R1179&lt;=500,"Hazardous")</f>
        <v>Poor</v>
      </c>
      <c r="T1179" t="s">
        <v>27</v>
      </c>
      <c r="X1179" s="2"/>
      <c r="Y1179" s="2"/>
    </row>
    <row r="1180" spans="1:25" x14ac:dyDescent="0.3">
      <c r="A1180" s="2">
        <v>45527</v>
      </c>
      <c r="B1180" t="s">
        <v>23</v>
      </c>
      <c r="C1180" s="4">
        <v>27.5</v>
      </c>
      <c r="D1180" s="4">
        <v>39.1</v>
      </c>
      <c r="E1180" s="4">
        <v>38.9</v>
      </c>
      <c r="F1180" s="4">
        <v>0.5</v>
      </c>
      <c r="G1180" s="4">
        <v>51.6</v>
      </c>
      <c r="H1180" s="4">
        <v>0.91</v>
      </c>
      <c r="I1180" s="4">
        <v>32.9</v>
      </c>
      <c r="J1180" s="4">
        <v>47.9</v>
      </c>
      <c r="K1180" s="4">
        <v>2.2599999999999998</v>
      </c>
      <c r="L1180" s="4">
        <v>45.833333333333329</v>
      </c>
      <c r="M1180" s="4">
        <v>39.1</v>
      </c>
      <c r="N1180" s="4">
        <v>48.625</v>
      </c>
      <c r="O1180" s="4">
        <v>1.25</v>
      </c>
      <c r="P1180" s="4">
        <v>129</v>
      </c>
      <c r="Q1180" s="4">
        <v>45.5</v>
      </c>
      <c r="R1180" s="4">
        <v>129</v>
      </c>
      <c r="S1180" s="4" t="str" cm="1">
        <f t="array" ref="S1180">_xlfn.IFS($R1180&lt;=50,"Good",$R1180&lt;=100,"Moderate",$R1180&lt;=200,"Poor",$R1180&lt;=300,"Very Poor",$R1180&lt;=500,"Hazardous")</f>
        <v>Poor</v>
      </c>
      <c r="T1180" t="s">
        <v>27</v>
      </c>
      <c r="X1180" s="2"/>
      <c r="Y1180" s="2"/>
    </row>
    <row r="1181" spans="1:25" x14ac:dyDescent="0.3">
      <c r="A1181" s="2">
        <v>45527</v>
      </c>
      <c r="B1181" t="s">
        <v>24</v>
      </c>
      <c r="C1181" s="4">
        <v>82.4</v>
      </c>
      <c r="D1181" s="4">
        <v>178.6</v>
      </c>
      <c r="E1181" s="4">
        <v>27.6</v>
      </c>
      <c r="F1181" s="4">
        <v>7.84</v>
      </c>
      <c r="G1181" s="4">
        <v>52.1</v>
      </c>
      <c r="H1181" s="4">
        <v>1.25</v>
      </c>
      <c r="I1181" s="4">
        <v>23.2</v>
      </c>
      <c r="J1181" s="4">
        <v>83.1</v>
      </c>
      <c r="K1181" s="4">
        <v>0.73</v>
      </c>
      <c r="L1181" s="4">
        <v>137.33333333333329</v>
      </c>
      <c r="M1181" s="4">
        <v>178.6</v>
      </c>
      <c r="N1181" s="4">
        <v>34.5</v>
      </c>
      <c r="O1181" s="4">
        <v>19.600000000000001</v>
      </c>
      <c r="P1181" s="4">
        <v>130.25</v>
      </c>
      <c r="Q1181" s="4">
        <v>62.5</v>
      </c>
      <c r="R1181" s="4">
        <v>179</v>
      </c>
      <c r="S1181" s="4" t="str" cm="1">
        <f t="array" ref="S1181">_xlfn.IFS($R1181&lt;=50,"Good",$R1181&lt;=100,"Moderate",$R1181&lt;=200,"Poor",$R1181&lt;=300,"Very Poor",$R1181&lt;=500,"Hazardous")</f>
        <v>Poor</v>
      </c>
      <c r="T1181" t="s">
        <v>28</v>
      </c>
      <c r="X1181" s="2"/>
      <c r="Y1181" s="2"/>
    </row>
    <row r="1182" spans="1:25" x14ac:dyDescent="0.3">
      <c r="A1182" s="2">
        <v>45528</v>
      </c>
      <c r="B1182" t="s">
        <v>20</v>
      </c>
      <c r="C1182" s="4">
        <v>43.6</v>
      </c>
      <c r="D1182" s="4">
        <v>135.1</v>
      </c>
      <c r="E1182" s="4">
        <v>49.8</v>
      </c>
      <c r="F1182" s="4">
        <v>13.58</v>
      </c>
      <c r="G1182" s="4">
        <v>80.400000000000006</v>
      </c>
      <c r="H1182" s="4">
        <v>0.95</v>
      </c>
      <c r="I1182" s="4">
        <v>34.1</v>
      </c>
      <c r="J1182" s="4">
        <v>47.1</v>
      </c>
      <c r="K1182" s="4">
        <v>3.62</v>
      </c>
      <c r="L1182" s="4">
        <v>72.666666666666671</v>
      </c>
      <c r="M1182" s="4">
        <v>135.1</v>
      </c>
      <c r="N1182" s="4">
        <v>62.25</v>
      </c>
      <c r="O1182" s="4">
        <v>33.950000000000003</v>
      </c>
      <c r="P1182" s="4">
        <v>201</v>
      </c>
      <c r="Q1182" s="4">
        <v>47.5</v>
      </c>
      <c r="R1182" s="4">
        <v>201</v>
      </c>
      <c r="S1182" s="4" t="str" cm="1">
        <f t="array" ref="S1182">_xlfn.IFS($R1182&lt;=50,"Good",$R1182&lt;=100,"Moderate",$R1182&lt;=200,"Poor",$R1182&lt;=300,"Very Poor",$R1182&lt;=500,"Hazardous")</f>
        <v>Very Poor</v>
      </c>
      <c r="T1182" t="s">
        <v>27</v>
      </c>
      <c r="X1182" s="2"/>
      <c r="Y1182" s="2"/>
    </row>
    <row r="1183" spans="1:25" x14ac:dyDescent="0.3">
      <c r="A1183" s="2">
        <v>45528</v>
      </c>
      <c r="B1183" t="s">
        <v>21</v>
      </c>
      <c r="C1183" s="4">
        <v>114.3</v>
      </c>
      <c r="D1183" s="4">
        <v>192.9</v>
      </c>
      <c r="E1183" s="4">
        <v>47.1</v>
      </c>
      <c r="F1183" s="4">
        <v>6.34</v>
      </c>
      <c r="G1183" s="4">
        <v>2.2000000000000002</v>
      </c>
      <c r="H1183" s="4">
        <v>1.39</v>
      </c>
      <c r="I1183" s="4">
        <v>17.2</v>
      </c>
      <c r="J1183" s="4">
        <v>45.7</v>
      </c>
      <c r="K1183" s="4">
        <v>1.07</v>
      </c>
      <c r="L1183" s="4">
        <v>190.5</v>
      </c>
      <c r="M1183" s="4">
        <v>192.9</v>
      </c>
      <c r="N1183" s="4">
        <v>58.875000000000007</v>
      </c>
      <c r="O1183" s="4">
        <v>15.85</v>
      </c>
      <c r="P1183" s="4">
        <v>5.5000000000000009</v>
      </c>
      <c r="Q1183" s="4">
        <v>69.499999999999986</v>
      </c>
      <c r="R1183" s="4">
        <v>193</v>
      </c>
      <c r="S1183" s="4" t="str" cm="1">
        <f t="array" ref="S1183">_xlfn.IFS($R1183&lt;=50,"Good",$R1183&lt;=100,"Moderate",$R1183&lt;=200,"Poor",$R1183&lt;=300,"Very Poor",$R1183&lt;=500,"Hazardous")</f>
        <v>Poor</v>
      </c>
      <c r="T1183" t="s">
        <v>28</v>
      </c>
      <c r="X1183" s="2"/>
      <c r="Y1183" s="2"/>
    </row>
    <row r="1184" spans="1:25" x14ac:dyDescent="0.3">
      <c r="A1184" s="2">
        <v>45528</v>
      </c>
      <c r="B1184" t="s">
        <v>22</v>
      </c>
      <c r="C1184" s="4">
        <v>35.1</v>
      </c>
      <c r="D1184" s="4">
        <v>89.9</v>
      </c>
      <c r="E1184" s="4">
        <v>38.4</v>
      </c>
      <c r="F1184" s="4">
        <v>3.8</v>
      </c>
      <c r="G1184" s="4">
        <v>63.4</v>
      </c>
      <c r="H1184" s="4">
        <v>0.82</v>
      </c>
      <c r="I1184" s="4">
        <v>19.5</v>
      </c>
      <c r="J1184" s="4">
        <v>64.099999999999994</v>
      </c>
      <c r="K1184" s="4">
        <v>4.8600000000000003</v>
      </c>
      <c r="L1184" s="4">
        <v>58.5</v>
      </c>
      <c r="M1184" s="4">
        <v>89.9</v>
      </c>
      <c r="N1184" s="4">
        <v>48</v>
      </c>
      <c r="O1184" s="4">
        <v>9.5</v>
      </c>
      <c r="P1184" s="4">
        <v>158.5</v>
      </c>
      <c r="Q1184" s="4">
        <v>40.999999999999993</v>
      </c>
      <c r="R1184" s="4">
        <v>158</v>
      </c>
      <c r="S1184" s="4" t="str" cm="1">
        <f t="array" ref="S1184">_xlfn.IFS($R1184&lt;=50,"Good",$R1184&lt;=100,"Moderate",$R1184&lt;=200,"Poor",$R1184&lt;=300,"Very Poor",$R1184&lt;=500,"Hazardous")</f>
        <v>Poor</v>
      </c>
      <c r="T1184" t="s">
        <v>27</v>
      </c>
      <c r="X1184" s="2"/>
      <c r="Y1184" s="2"/>
    </row>
    <row r="1185" spans="1:25" x14ac:dyDescent="0.3">
      <c r="A1185" s="2">
        <v>45528</v>
      </c>
      <c r="B1185" t="s">
        <v>23</v>
      </c>
      <c r="C1185" s="4">
        <v>56</v>
      </c>
      <c r="D1185" s="4">
        <v>78.599999999999994</v>
      </c>
      <c r="E1185" s="4">
        <v>11.6</v>
      </c>
      <c r="F1185" s="4">
        <v>5.52</v>
      </c>
      <c r="G1185" s="4">
        <v>45.9</v>
      </c>
      <c r="H1185" s="4">
        <v>0.77</v>
      </c>
      <c r="I1185" s="4">
        <v>13.3</v>
      </c>
      <c r="J1185" s="4">
        <v>44.7</v>
      </c>
      <c r="K1185" s="4">
        <v>4.25</v>
      </c>
      <c r="L1185" s="4">
        <v>93.333333333333343</v>
      </c>
      <c r="M1185" s="4">
        <v>78.599999999999994</v>
      </c>
      <c r="N1185" s="4">
        <v>14.5</v>
      </c>
      <c r="O1185" s="4">
        <v>13.8</v>
      </c>
      <c r="P1185" s="4">
        <v>114.75</v>
      </c>
      <c r="Q1185" s="4">
        <v>38.5</v>
      </c>
      <c r="R1185" s="4">
        <v>115</v>
      </c>
      <c r="S1185" s="4" t="str" cm="1">
        <f t="array" ref="S1185">_xlfn.IFS($R1185&lt;=50,"Good",$R1185&lt;=100,"Moderate",$R1185&lt;=200,"Poor",$R1185&lt;=300,"Very Poor",$R1185&lt;=500,"Hazardous")</f>
        <v>Poor</v>
      </c>
      <c r="T1185" t="s">
        <v>27</v>
      </c>
      <c r="X1185" s="2"/>
      <c r="Y1185" s="2"/>
    </row>
    <row r="1186" spans="1:25" x14ac:dyDescent="0.3">
      <c r="A1186" s="2">
        <v>45528</v>
      </c>
      <c r="B1186" t="s">
        <v>24</v>
      </c>
      <c r="C1186" s="4">
        <v>90.7</v>
      </c>
      <c r="D1186" s="4">
        <v>58.8</v>
      </c>
      <c r="E1186" s="4">
        <v>51.4</v>
      </c>
      <c r="F1186" s="4">
        <v>1.85</v>
      </c>
      <c r="G1186" s="4">
        <v>82.6</v>
      </c>
      <c r="H1186" s="4">
        <v>1.19</v>
      </c>
      <c r="I1186" s="4">
        <v>31.6</v>
      </c>
      <c r="J1186" s="4">
        <v>29.1</v>
      </c>
      <c r="K1186" s="4">
        <v>3.81</v>
      </c>
      <c r="L1186" s="4">
        <v>151.16666666666671</v>
      </c>
      <c r="M1186" s="4">
        <v>58.8</v>
      </c>
      <c r="N1186" s="4">
        <v>64.25</v>
      </c>
      <c r="O1186" s="4">
        <v>4.6250000000000009</v>
      </c>
      <c r="P1186" s="4">
        <v>206.5</v>
      </c>
      <c r="Q1186" s="4">
        <v>59.5</v>
      </c>
      <c r="R1186" s="4">
        <v>206</v>
      </c>
      <c r="S1186" s="4" t="str" cm="1">
        <f t="array" ref="S1186">_xlfn.IFS($R1186&lt;=50,"Good",$R1186&lt;=100,"Moderate",$R1186&lt;=200,"Poor",$R1186&lt;=300,"Very Poor",$R1186&lt;=500,"Hazardous")</f>
        <v>Very Poor</v>
      </c>
      <c r="T1186" t="s">
        <v>27</v>
      </c>
      <c r="X1186" s="2"/>
      <c r="Y1186" s="2"/>
    </row>
    <row r="1187" spans="1:25" x14ac:dyDescent="0.3">
      <c r="A1187" s="2">
        <v>45529</v>
      </c>
      <c r="B1187" t="s">
        <v>20</v>
      </c>
      <c r="C1187" s="4">
        <v>55</v>
      </c>
      <c r="D1187" s="4">
        <v>157.4</v>
      </c>
      <c r="E1187" s="4">
        <v>58.2</v>
      </c>
      <c r="F1187" s="4">
        <v>7.66</v>
      </c>
      <c r="G1187" s="4">
        <v>28.7</v>
      </c>
      <c r="H1187" s="4">
        <v>1.53</v>
      </c>
      <c r="I1187" s="4">
        <v>24.6</v>
      </c>
      <c r="J1187" s="4">
        <v>44.3</v>
      </c>
      <c r="K1187" s="4">
        <v>1.4</v>
      </c>
      <c r="L1187" s="4">
        <v>91.666666666666657</v>
      </c>
      <c r="M1187" s="4">
        <v>157.4</v>
      </c>
      <c r="N1187" s="4">
        <v>72.750000000000014</v>
      </c>
      <c r="O1187" s="4">
        <v>19.149999999999999</v>
      </c>
      <c r="P1187" s="4">
        <v>71.75</v>
      </c>
      <c r="Q1187" s="4">
        <v>76.5</v>
      </c>
      <c r="R1187" s="4">
        <v>157</v>
      </c>
      <c r="S1187" s="4" t="str" cm="1">
        <f t="array" ref="S1187">_xlfn.IFS($R1187&lt;=50,"Good",$R1187&lt;=100,"Moderate",$R1187&lt;=200,"Poor",$R1187&lt;=300,"Very Poor",$R1187&lt;=500,"Hazardous")</f>
        <v>Poor</v>
      </c>
      <c r="T1187" t="s">
        <v>28</v>
      </c>
      <c r="X1187" s="2"/>
      <c r="Y1187" s="2"/>
    </row>
    <row r="1188" spans="1:25" x14ac:dyDescent="0.3">
      <c r="A1188" s="2">
        <v>45529</v>
      </c>
      <c r="B1188" t="s">
        <v>21</v>
      </c>
      <c r="C1188" s="4">
        <v>15.7</v>
      </c>
      <c r="D1188" s="4">
        <v>89.4</v>
      </c>
      <c r="E1188" s="4">
        <v>67.099999999999994</v>
      </c>
      <c r="F1188" s="4">
        <v>8.89</v>
      </c>
      <c r="G1188" s="4">
        <v>33.4</v>
      </c>
      <c r="H1188" s="4">
        <v>1.68</v>
      </c>
      <c r="I1188" s="4">
        <v>19.2</v>
      </c>
      <c r="J1188" s="4">
        <v>61.7</v>
      </c>
      <c r="K1188" s="4">
        <v>2.2799999999999998</v>
      </c>
      <c r="L1188" s="4">
        <v>26.166666666666661</v>
      </c>
      <c r="M1188" s="4">
        <v>89.4</v>
      </c>
      <c r="N1188" s="4">
        <v>83.874999999999986</v>
      </c>
      <c r="O1188" s="4">
        <v>22.225000000000001</v>
      </c>
      <c r="P1188" s="4">
        <v>83.499999999999986</v>
      </c>
      <c r="Q1188" s="4">
        <v>83.999999999999986</v>
      </c>
      <c r="R1188" s="4">
        <v>89</v>
      </c>
      <c r="S1188" s="4" t="str" cm="1">
        <f t="array" ref="S1188">_xlfn.IFS($R1188&lt;=50,"Good",$R1188&lt;=100,"Moderate",$R1188&lt;=200,"Poor",$R1188&lt;=300,"Very Poor",$R1188&lt;=500,"Hazardous")</f>
        <v>Moderate</v>
      </c>
      <c r="T1188" t="s">
        <v>28</v>
      </c>
      <c r="X1188" s="2"/>
      <c r="Y1188" s="2"/>
    </row>
    <row r="1189" spans="1:25" x14ac:dyDescent="0.3">
      <c r="A1189" s="2">
        <v>45529</v>
      </c>
      <c r="B1189" t="s">
        <v>22</v>
      </c>
      <c r="C1189" s="4">
        <v>63.4</v>
      </c>
      <c r="D1189" s="4">
        <v>19.3</v>
      </c>
      <c r="E1189" s="4">
        <v>21.3</v>
      </c>
      <c r="F1189" s="4">
        <v>0.5</v>
      </c>
      <c r="G1189" s="4">
        <v>31.8</v>
      </c>
      <c r="H1189" s="4">
        <v>1.46</v>
      </c>
      <c r="I1189" s="4">
        <v>21.5</v>
      </c>
      <c r="J1189" s="4">
        <v>50.8</v>
      </c>
      <c r="K1189" s="4">
        <v>3.55</v>
      </c>
      <c r="L1189" s="4">
        <v>105.6666666666667</v>
      </c>
      <c r="M1189" s="4">
        <v>19.3</v>
      </c>
      <c r="N1189" s="4">
        <v>26.625</v>
      </c>
      <c r="O1189" s="4">
        <v>1.25</v>
      </c>
      <c r="P1189" s="4">
        <v>79.5</v>
      </c>
      <c r="Q1189" s="4">
        <v>73</v>
      </c>
      <c r="R1189" s="4">
        <v>106</v>
      </c>
      <c r="S1189" s="4" t="str" cm="1">
        <f t="array" ref="S1189">_xlfn.IFS($R1189&lt;=50,"Good",$R1189&lt;=100,"Moderate",$R1189&lt;=200,"Poor",$R1189&lt;=300,"Very Poor",$R1189&lt;=500,"Hazardous")</f>
        <v>Poor</v>
      </c>
      <c r="T1189" t="s">
        <v>25</v>
      </c>
      <c r="X1189" s="2"/>
      <c r="Y1189" s="2"/>
    </row>
    <row r="1190" spans="1:25" x14ac:dyDescent="0.3">
      <c r="A1190" s="2">
        <v>45529</v>
      </c>
      <c r="B1190" t="s">
        <v>23</v>
      </c>
      <c r="C1190" s="4">
        <v>73.599999999999994</v>
      </c>
      <c r="D1190" s="4">
        <v>91.7</v>
      </c>
      <c r="E1190" s="4">
        <v>47</v>
      </c>
      <c r="F1190" s="4">
        <v>2.09</v>
      </c>
      <c r="G1190" s="4">
        <v>74.400000000000006</v>
      </c>
      <c r="H1190" s="4">
        <v>1.99</v>
      </c>
      <c r="I1190" s="4">
        <v>28.6</v>
      </c>
      <c r="J1190" s="4">
        <v>22.5</v>
      </c>
      <c r="K1190" s="4">
        <v>1.83</v>
      </c>
      <c r="L1190" s="4">
        <v>122.6666666666667</v>
      </c>
      <c r="M1190" s="4">
        <v>91.7</v>
      </c>
      <c r="N1190" s="4">
        <v>58.75</v>
      </c>
      <c r="O1190" s="4">
        <v>5.2249999999999996</v>
      </c>
      <c r="P1190" s="4">
        <v>186</v>
      </c>
      <c r="Q1190" s="4">
        <v>99.5</v>
      </c>
      <c r="R1190" s="4">
        <v>186</v>
      </c>
      <c r="S1190" s="4" t="str" cm="1">
        <f t="array" ref="S1190">_xlfn.IFS($R1190&lt;=50,"Good",$R1190&lt;=100,"Moderate",$R1190&lt;=200,"Poor",$R1190&lt;=300,"Very Poor",$R1190&lt;=500,"Hazardous")</f>
        <v>Poor</v>
      </c>
      <c r="T1190" t="s">
        <v>27</v>
      </c>
      <c r="X1190" s="2"/>
      <c r="Y1190" s="2"/>
    </row>
    <row r="1191" spans="1:25" x14ac:dyDescent="0.3">
      <c r="A1191" s="2">
        <v>45529</v>
      </c>
      <c r="B1191" t="s">
        <v>24</v>
      </c>
      <c r="C1191" s="4">
        <v>69</v>
      </c>
      <c r="D1191" s="4">
        <v>83.3</v>
      </c>
      <c r="E1191" s="4">
        <v>62</v>
      </c>
      <c r="F1191" s="4">
        <v>9.6300000000000008</v>
      </c>
      <c r="G1191" s="4">
        <v>24.6</v>
      </c>
      <c r="H1191" s="4">
        <v>1.07</v>
      </c>
      <c r="I1191" s="4">
        <v>18.7</v>
      </c>
      <c r="J1191" s="4">
        <v>56.7</v>
      </c>
      <c r="K1191" s="4">
        <v>2.33</v>
      </c>
      <c r="L1191" s="4">
        <v>115</v>
      </c>
      <c r="M1191" s="4">
        <v>83.3</v>
      </c>
      <c r="N1191" s="4">
        <v>77.5</v>
      </c>
      <c r="O1191" s="4">
        <v>24.074999999999999</v>
      </c>
      <c r="P1191" s="4">
        <v>61.500000000000007</v>
      </c>
      <c r="Q1191" s="4">
        <v>53.500000000000007</v>
      </c>
      <c r="R1191" s="4">
        <v>115</v>
      </c>
      <c r="S1191" s="4" t="str" cm="1">
        <f t="array" ref="S1191">_xlfn.IFS($R1191&lt;=50,"Good",$R1191&lt;=100,"Moderate",$R1191&lt;=200,"Poor",$R1191&lt;=300,"Very Poor",$R1191&lt;=500,"Hazardous")</f>
        <v>Poor</v>
      </c>
      <c r="T1191" t="s">
        <v>25</v>
      </c>
      <c r="X1191" s="2"/>
      <c r="Y1191" s="2"/>
    </row>
    <row r="1192" spans="1:25" x14ac:dyDescent="0.3">
      <c r="A1192" s="2">
        <v>45530</v>
      </c>
      <c r="B1192" t="s">
        <v>20</v>
      </c>
      <c r="C1192" s="4">
        <v>87.6</v>
      </c>
      <c r="D1192" s="4">
        <v>227.2</v>
      </c>
      <c r="E1192" s="4">
        <v>15.1</v>
      </c>
      <c r="F1192" s="4">
        <v>0.5</v>
      </c>
      <c r="G1192" s="4">
        <v>39</v>
      </c>
      <c r="H1192" s="4">
        <v>0.27</v>
      </c>
      <c r="I1192" s="4">
        <v>25.3</v>
      </c>
      <c r="J1192" s="4">
        <v>73.5</v>
      </c>
      <c r="K1192" s="4">
        <v>4.29</v>
      </c>
      <c r="L1192" s="4">
        <v>146</v>
      </c>
      <c r="M1192" s="4">
        <v>227.2</v>
      </c>
      <c r="N1192" s="4">
        <v>18.875</v>
      </c>
      <c r="O1192" s="4">
        <v>1.25</v>
      </c>
      <c r="P1192" s="4">
        <v>97.5</v>
      </c>
      <c r="Q1192" s="4">
        <v>13.5</v>
      </c>
      <c r="R1192" s="4">
        <v>227</v>
      </c>
      <c r="S1192" s="4" t="str" cm="1">
        <f t="array" ref="S1192">_xlfn.IFS($R1192&lt;=50,"Good",$R1192&lt;=100,"Moderate",$R1192&lt;=200,"Poor",$R1192&lt;=300,"Very Poor",$R1192&lt;=500,"Hazardous")</f>
        <v>Very Poor</v>
      </c>
      <c r="T1192" t="s">
        <v>28</v>
      </c>
      <c r="X1192" s="2"/>
      <c r="Y1192" s="2"/>
    </row>
    <row r="1193" spans="1:25" x14ac:dyDescent="0.3">
      <c r="A1193" s="2">
        <v>45530</v>
      </c>
      <c r="B1193" t="s">
        <v>21</v>
      </c>
      <c r="C1193" s="4">
        <v>66</v>
      </c>
      <c r="D1193" s="4">
        <v>108.4</v>
      </c>
      <c r="E1193" s="4">
        <v>5.4</v>
      </c>
      <c r="F1193" s="4">
        <v>8.1300000000000008</v>
      </c>
      <c r="G1193" s="4">
        <v>52.2</v>
      </c>
      <c r="H1193" s="4">
        <v>1.58</v>
      </c>
      <c r="I1193" s="4">
        <v>20</v>
      </c>
      <c r="J1193" s="4">
        <v>52.2</v>
      </c>
      <c r="K1193" s="4">
        <v>0.73</v>
      </c>
      <c r="L1193" s="4">
        <v>110</v>
      </c>
      <c r="M1193" s="4">
        <v>108.4</v>
      </c>
      <c r="N1193" s="4">
        <v>6.7500000000000009</v>
      </c>
      <c r="O1193" s="4">
        <v>20.324999999999999</v>
      </c>
      <c r="P1193" s="4">
        <v>130.5</v>
      </c>
      <c r="Q1193" s="4">
        <v>79</v>
      </c>
      <c r="R1193" s="4">
        <v>130</v>
      </c>
      <c r="S1193" s="4" t="str" cm="1">
        <f t="array" ref="S1193">_xlfn.IFS($R1193&lt;=50,"Good",$R1193&lt;=100,"Moderate",$R1193&lt;=200,"Poor",$R1193&lt;=300,"Very Poor",$R1193&lt;=500,"Hazardous")</f>
        <v>Poor</v>
      </c>
      <c r="T1193" t="s">
        <v>27</v>
      </c>
      <c r="X1193" s="2"/>
      <c r="Y1193" s="2"/>
    </row>
    <row r="1194" spans="1:25" x14ac:dyDescent="0.3">
      <c r="A1194" s="2">
        <v>45530</v>
      </c>
      <c r="B1194" t="s">
        <v>22</v>
      </c>
      <c r="C1194" s="4">
        <v>2</v>
      </c>
      <c r="D1194" s="4">
        <v>40.700000000000003</v>
      </c>
      <c r="E1194" s="4">
        <v>10.3</v>
      </c>
      <c r="F1194" s="4">
        <v>7.36</v>
      </c>
      <c r="G1194" s="4">
        <v>25.7</v>
      </c>
      <c r="H1194" s="4">
        <v>0.67</v>
      </c>
      <c r="I1194" s="4">
        <v>18.100000000000001</v>
      </c>
      <c r="J1194" s="4">
        <v>10</v>
      </c>
      <c r="K1194" s="4">
        <v>4.3099999999999996</v>
      </c>
      <c r="L1194" s="4">
        <v>3.333333333333333</v>
      </c>
      <c r="M1194" s="4">
        <v>40.700000000000003</v>
      </c>
      <c r="N1194" s="4">
        <v>12.875</v>
      </c>
      <c r="O1194" s="4">
        <v>18.399999999999999</v>
      </c>
      <c r="P1194" s="4">
        <v>64.25</v>
      </c>
      <c r="Q1194" s="4">
        <v>33.5</v>
      </c>
      <c r="R1194" s="4">
        <v>64</v>
      </c>
      <c r="S1194" s="4" t="str" cm="1">
        <f t="array" ref="S1194">_xlfn.IFS($R1194&lt;=50,"Good",$R1194&lt;=100,"Moderate",$R1194&lt;=200,"Poor",$R1194&lt;=300,"Very Poor",$R1194&lt;=500,"Hazardous")</f>
        <v>Moderate</v>
      </c>
      <c r="T1194" t="s">
        <v>27</v>
      </c>
      <c r="X1194" s="2"/>
      <c r="Y1194" s="2"/>
    </row>
    <row r="1195" spans="1:25" x14ac:dyDescent="0.3">
      <c r="A1195" s="2">
        <v>45530</v>
      </c>
      <c r="B1195" t="s">
        <v>23</v>
      </c>
      <c r="C1195" s="4">
        <v>24</v>
      </c>
      <c r="D1195" s="4">
        <v>76.2</v>
      </c>
      <c r="E1195" s="4">
        <v>12.7</v>
      </c>
      <c r="F1195" s="4">
        <v>10.29</v>
      </c>
      <c r="G1195" s="4">
        <v>43.6</v>
      </c>
      <c r="H1195" s="4">
        <v>0.56000000000000005</v>
      </c>
      <c r="I1195" s="4">
        <v>22.3</v>
      </c>
      <c r="J1195" s="4">
        <v>90.2</v>
      </c>
      <c r="K1195" s="4">
        <v>2.41</v>
      </c>
      <c r="L1195" s="4">
        <v>40</v>
      </c>
      <c r="M1195" s="4">
        <v>76.2</v>
      </c>
      <c r="N1195" s="4">
        <v>15.875</v>
      </c>
      <c r="O1195" s="4">
        <v>25.725000000000001</v>
      </c>
      <c r="P1195" s="4">
        <v>109</v>
      </c>
      <c r="Q1195" s="4">
        <v>28</v>
      </c>
      <c r="R1195" s="4">
        <v>109</v>
      </c>
      <c r="S1195" s="4" t="str" cm="1">
        <f t="array" ref="S1195">_xlfn.IFS($R1195&lt;=50,"Good",$R1195&lt;=100,"Moderate",$R1195&lt;=200,"Poor",$R1195&lt;=300,"Very Poor",$R1195&lt;=500,"Hazardous")</f>
        <v>Poor</v>
      </c>
      <c r="T1195" t="s">
        <v>27</v>
      </c>
      <c r="X1195" s="2"/>
      <c r="Y1195" s="2"/>
    </row>
    <row r="1196" spans="1:25" x14ac:dyDescent="0.3">
      <c r="A1196" s="2">
        <v>45530</v>
      </c>
      <c r="B1196" t="s">
        <v>24</v>
      </c>
      <c r="C1196" s="4">
        <v>48</v>
      </c>
      <c r="D1196" s="4">
        <v>55.9</v>
      </c>
      <c r="E1196" s="4">
        <v>6.3</v>
      </c>
      <c r="F1196" s="4">
        <v>6.34</v>
      </c>
      <c r="G1196" s="4">
        <v>53</v>
      </c>
      <c r="H1196" s="4">
        <v>1.64</v>
      </c>
      <c r="I1196" s="4">
        <v>9.3000000000000007</v>
      </c>
      <c r="J1196" s="4">
        <v>39.700000000000003</v>
      </c>
      <c r="K1196" s="4">
        <v>2.2999999999999998</v>
      </c>
      <c r="L1196" s="4">
        <v>80</v>
      </c>
      <c r="M1196" s="4">
        <v>55.9</v>
      </c>
      <c r="N1196" s="4">
        <v>7.875</v>
      </c>
      <c r="O1196" s="4">
        <v>15.85</v>
      </c>
      <c r="P1196" s="4">
        <v>132.5</v>
      </c>
      <c r="Q1196" s="4">
        <v>81.999999999999986</v>
      </c>
      <c r="R1196" s="4">
        <v>132</v>
      </c>
      <c r="S1196" s="4" t="str" cm="1">
        <f t="array" ref="S1196">_xlfn.IFS($R1196&lt;=50,"Good",$R1196&lt;=100,"Moderate",$R1196&lt;=200,"Poor",$R1196&lt;=300,"Very Poor",$R1196&lt;=500,"Hazardous")</f>
        <v>Poor</v>
      </c>
      <c r="T1196" t="s">
        <v>27</v>
      </c>
      <c r="X1196" s="2"/>
      <c r="Y1196" s="2"/>
    </row>
    <row r="1197" spans="1:25" x14ac:dyDescent="0.3">
      <c r="A1197" s="2">
        <v>45531</v>
      </c>
      <c r="B1197" t="s">
        <v>20</v>
      </c>
      <c r="C1197" s="4">
        <v>55.1</v>
      </c>
      <c r="D1197" s="4">
        <v>102.4</v>
      </c>
      <c r="E1197" s="4">
        <v>39.200000000000003</v>
      </c>
      <c r="F1197" s="4">
        <v>9.24</v>
      </c>
      <c r="G1197" s="4">
        <v>20</v>
      </c>
      <c r="H1197" s="4">
        <v>1.62</v>
      </c>
      <c r="I1197" s="4">
        <v>28</v>
      </c>
      <c r="J1197" s="4">
        <v>54.2</v>
      </c>
      <c r="K1197" s="4">
        <v>4.42</v>
      </c>
      <c r="L1197" s="4">
        <v>91.833333333333343</v>
      </c>
      <c r="M1197" s="4">
        <v>102.4</v>
      </c>
      <c r="N1197" s="4">
        <v>49</v>
      </c>
      <c r="O1197" s="4">
        <v>23.1</v>
      </c>
      <c r="P1197" s="4">
        <v>50</v>
      </c>
      <c r="Q1197" s="4">
        <v>81</v>
      </c>
      <c r="R1197" s="4">
        <v>102</v>
      </c>
      <c r="S1197" s="4" t="str" cm="1">
        <f t="array" ref="S1197">_xlfn.IFS($R1197&lt;=50,"Good",$R1197&lt;=100,"Moderate",$R1197&lt;=200,"Poor",$R1197&lt;=300,"Very Poor",$R1197&lt;=500,"Hazardous")</f>
        <v>Poor</v>
      </c>
      <c r="T1197" t="s">
        <v>28</v>
      </c>
      <c r="X1197" s="2"/>
      <c r="Y1197" s="2"/>
    </row>
    <row r="1198" spans="1:25" x14ac:dyDescent="0.3">
      <c r="A1198" s="2">
        <v>45531</v>
      </c>
      <c r="B1198" t="s">
        <v>21</v>
      </c>
      <c r="C1198" s="4">
        <v>106.7</v>
      </c>
      <c r="D1198" s="4">
        <v>176</v>
      </c>
      <c r="E1198" s="4">
        <v>2</v>
      </c>
      <c r="F1198" s="4">
        <v>15.89</v>
      </c>
      <c r="G1198" s="4">
        <v>74.8</v>
      </c>
      <c r="H1198" s="4">
        <v>2.4</v>
      </c>
      <c r="I1198" s="4">
        <v>33.700000000000003</v>
      </c>
      <c r="J1198" s="4">
        <v>88.4</v>
      </c>
      <c r="K1198" s="4">
        <v>3.55</v>
      </c>
      <c r="L1198" s="4">
        <v>177.83333333333329</v>
      </c>
      <c r="M1198" s="4">
        <v>176</v>
      </c>
      <c r="N1198" s="4">
        <v>2.5</v>
      </c>
      <c r="O1198" s="4">
        <v>39.725000000000001</v>
      </c>
      <c r="P1198" s="4">
        <v>187</v>
      </c>
      <c r="Q1198" s="4">
        <v>120</v>
      </c>
      <c r="R1198" s="4">
        <v>187</v>
      </c>
      <c r="S1198" s="4" t="str" cm="1">
        <f t="array" ref="S1198">_xlfn.IFS($R1198&lt;=50,"Good",$R1198&lt;=100,"Moderate",$R1198&lt;=200,"Poor",$R1198&lt;=300,"Very Poor",$R1198&lt;=500,"Hazardous")</f>
        <v>Poor</v>
      </c>
      <c r="T1198" t="s">
        <v>27</v>
      </c>
      <c r="X1198" s="2"/>
      <c r="Y1198" s="2"/>
    </row>
    <row r="1199" spans="1:25" x14ac:dyDescent="0.3">
      <c r="A1199" s="2">
        <v>45531</v>
      </c>
      <c r="B1199" t="s">
        <v>22</v>
      </c>
      <c r="C1199" s="4">
        <v>76.400000000000006</v>
      </c>
      <c r="D1199" s="4">
        <v>182.1</v>
      </c>
      <c r="E1199" s="4">
        <v>37.5</v>
      </c>
      <c r="F1199" s="4">
        <v>0.5</v>
      </c>
      <c r="G1199" s="4">
        <v>30.7</v>
      </c>
      <c r="H1199" s="4">
        <v>1.0900000000000001</v>
      </c>
      <c r="I1199" s="4">
        <v>25.5</v>
      </c>
      <c r="J1199" s="4">
        <v>37.6</v>
      </c>
      <c r="K1199" s="4">
        <v>0.54</v>
      </c>
      <c r="L1199" s="4">
        <v>127.3333333333334</v>
      </c>
      <c r="M1199" s="4">
        <v>182.1</v>
      </c>
      <c r="N1199" s="4">
        <v>46.875</v>
      </c>
      <c r="O1199" s="4">
        <v>1.25</v>
      </c>
      <c r="P1199" s="4">
        <v>76.75</v>
      </c>
      <c r="Q1199" s="4">
        <v>54.500000000000007</v>
      </c>
      <c r="R1199" s="4">
        <v>182</v>
      </c>
      <c r="S1199" s="4" t="str" cm="1">
        <f t="array" ref="S1199">_xlfn.IFS($R1199&lt;=50,"Good",$R1199&lt;=100,"Moderate",$R1199&lt;=200,"Poor",$R1199&lt;=300,"Very Poor",$R1199&lt;=500,"Hazardous")</f>
        <v>Poor</v>
      </c>
      <c r="T1199" t="s">
        <v>28</v>
      </c>
      <c r="X1199" s="2"/>
      <c r="Y1199" s="2"/>
    </row>
    <row r="1200" spans="1:25" x14ac:dyDescent="0.3">
      <c r="A1200" s="2">
        <v>45531</v>
      </c>
      <c r="B1200" t="s">
        <v>23</v>
      </c>
      <c r="C1200" s="4">
        <v>30.2</v>
      </c>
      <c r="D1200" s="4">
        <v>134.80000000000001</v>
      </c>
      <c r="E1200" s="4">
        <v>61.3</v>
      </c>
      <c r="F1200" s="4">
        <v>10.07</v>
      </c>
      <c r="G1200" s="4">
        <v>66.400000000000006</v>
      </c>
      <c r="H1200" s="4">
        <v>0.92</v>
      </c>
      <c r="I1200" s="4">
        <v>12.8</v>
      </c>
      <c r="J1200" s="4">
        <v>51.8</v>
      </c>
      <c r="K1200" s="4">
        <v>2.19</v>
      </c>
      <c r="L1200" s="4">
        <v>50.333333333333343</v>
      </c>
      <c r="M1200" s="4">
        <v>134.80000000000001</v>
      </c>
      <c r="N1200" s="4">
        <v>76.625</v>
      </c>
      <c r="O1200" s="4">
        <v>25.175000000000001</v>
      </c>
      <c r="P1200" s="4">
        <v>166</v>
      </c>
      <c r="Q1200" s="4">
        <v>46</v>
      </c>
      <c r="R1200" s="4">
        <v>166</v>
      </c>
      <c r="S1200" s="4" t="str" cm="1">
        <f t="array" ref="S1200">_xlfn.IFS($R1200&lt;=50,"Good",$R1200&lt;=100,"Moderate",$R1200&lt;=200,"Poor",$R1200&lt;=300,"Very Poor",$R1200&lt;=500,"Hazardous")</f>
        <v>Poor</v>
      </c>
      <c r="T1200" t="s">
        <v>27</v>
      </c>
      <c r="X1200" s="2"/>
      <c r="Y1200" s="2"/>
    </row>
    <row r="1201" spans="1:25" x14ac:dyDescent="0.3">
      <c r="A1201" s="2">
        <v>45531</v>
      </c>
      <c r="B1201" t="s">
        <v>24</v>
      </c>
      <c r="C1201" s="4">
        <v>39.700000000000003</v>
      </c>
      <c r="D1201" s="4">
        <v>108.5</v>
      </c>
      <c r="E1201" s="4">
        <v>47.4</v>
      </c>
      <c r="F1201" s="4">
        <v>10.79</v>
      </c>
      <c r="G1201" s="4">
        <v>36.4</v>
      </c>
      <c r="H1201" s="4">
        <v>0.05</v>
      </c>
      <c r="I1201" s="4">
        <v>21.6</v>
      </c>
      <c r="J1201" s="4">
        <v>60.8</v>
      </c>
      <c r="K1201" s="4">
        <v>4.47</v>
      </c>
      <c r="L1201" s="4">
        <v>66.166666666666671</v>
      </c>
      <c r="M1201" s="4">
        <v>108.5</v>
      </c>
      <c r="N1201" s="4">
        <v>59.25</v>
      </c>
      <c r="O1201" s="4">
        <v>26.975000000000001</v>
      </c>
      <c r="P1201" s="4">
        <v>91</v>
      </c>
      <c r="Q1201" s="4">
        <v>2.5</v>
      </c>
      <c r="R1201" s="4">
        <v>108</v>
      </c>
      <c r="S1201" s="4" t="str" cm="1">
        <f t="array" ref="S1201">_xlfn.IFS($R1201&lt;=50,"Good",$R1201&lt;=100,"Moderate",$R1201&lt;=200,"Poor",$R1201&lt;=300,"Very Poor",$R1201&lt;=500,"Hazardous")</f>
        <v>Poor</v>
      </c>
      <c r="T1201" t="s">
        <v>28</v>
      </c>
      <c r="X1201" s="2"/>
      <c r="Y1201" s="2"/>
    </row>
    <row r="1202" spans="1:25" x14ac:dyDescent="0.3">
      <c r="A1202" s="2">
        <v>45532</v>
      </c>
      <c r="B1202" t="s">
        <v>20</v>
      </c>
      <c r="C1202" s="4">
        <v>39.5</v>
      </c>
      <c r="D1202" s="4">
        <v>138.69999999999999</v>
      </c>
      <c r="E1202" s="4">
        <v>46.7</v>
      </c>
      <c r="F1202" s="4">
        <v>7.56</v>
      </c>
      <c r="G1202" s="4">
        <v>72.8</v>
      </c>
      <c r="H1202" s="4">
        <v>0.74</v>
      </c>
      <c r="I1202" s="4">
        <v>21</v>
      </c>
      <c r="J1202" s="4">
        <v>59.8</v>
      </c>
      <c r="K1202" s="4">
        <v>1.73</v>
      </c>
      <c r="L1202" s="4">
        <v>65.833333333333329</v>
      </c>
      <c r="M1202" s="4">
        <v>138.69999999999999</v>
      </c>
      <c r="N1202" s="4">
        <v>58.375</v>
      </c>
      <c r="O1202" s="4">
        <v>18.899999999999999</v>
      </c>
      <c r="P1202" s="4">
        <v>182</v>
      </c>
      <c r="Q1202" s="4">
        <v>37</v>
      </c>
      <c r="R1202" s="4">
        <v>182</v>
      </c>
      <c r="S1202" s="4" t="str" cm="1">
        <f t="array" ref="S1202">_xlfn.IFS($R1202&lt;=50,"Good",$R1202&lt;=100,"Moderate",$R1202&lt;=200,"Poor",$R1202&lt;=300,"Very Poor",$R1202&lt;=500,"Hazardous")</f>
        <v>Poor</v>
      </c>
      <c r="T1202" t="s">
        <v>27</v>
      </c>
      <c r="X1202" s="2"/>
      <c r="Y1202" s="2"/>
    </row>
    <row r="1203" spans="1:25" x14ac:dyDescent="0.3">
      <c r="A1203" s="2">
        <v>45532</v>
      </c>
      <c r="B1203" t="s">
        <v>21</v>
      </c>
      <c r="C1203" s="4">
        <v>75.2</v>
      </c>
      <c r="D1203" s="4">
        <v>77.2</v>
      </c>
      <c r="E1203" s="4">
        <v>49.5</v>
      </c>
      <c r="F1203" s="4">
        <v>7.5</v>
      </c>
      <c r="G1203" s="4">
        <v>56.7</v>
      </c>
      <c r="H1203" s="4">
        <v>0.92</v>
      </c>
      <c r="I1203" s="4">
        <v>22.6</v>
      </c>
      <c r="J1203" s="4">
        <v>61.7</v>
      </c>
      <c r="K1203" s="4">
        <v>2.74</v>
      </c>
      <c r="L1203" s="4">
        <v>125.3333333333333</v>
      </c>
      <c r="M1203" s="4">
        <v>77.2</v>
      </c>
      <c r="N1203" s="4">
        <v>61.875</v>
      </c>
      <c r="O1203" s="4">
        <v>18.75</v>
      </c>
      <c r="P1203" s="4">
        <v>141.75</v>
      </c>
      <c r="Q1203" s="4">
        <v>46</v>
      </c>
      <c r="R1203" s="4">
        <v>142</v>
      </c>
      <c r="S1203" s="4" t="str" cm="1">
        <f t="array" ref="S1203">_xlfn.IFS($R1203&lt;=50,"Good",$R1203&lt;=100,"Moderate",$R1203&lt;=200,"Poor",$R1203&lt;=300,"Very Poor",$R1203&lt;=500,"Hazardous")</f>
        <v>Poor</v>
      </c>
      <c r="T1203" t="s">
        <v>27</v>
      </c>
      <c r="X1203" s="2"/>
      <c r="Y1203" s="2"/>
    </row>
    <row r="1204" spans="1:25" x14ac:dyDescent="0.3">
      <c r="A1204" s="2">
        <v>45532</v>
      </c>
      <c r="B1204" t="s">
        <v>22</v>
      </c>
      <c r="C1204" s="4">
        <v>45.5</v>
      </c>
      <c r="D1204" s="4">
        <v>169</v>
      </c>
      <c r="E1204" s="4">
        <v>19.100000000000001</v>
      </c>
      <c r="F1204" s="4">
        <v>5.84</v>
      </c>
      <c r="G1204" s="4">
        <v>1</v>
      </c>
      <c r="H1204" s="4">
        <v>1.08</v>
      </c>
      <c r="I1204" s="4">
        <v>17.2</v>
      </c>
      <c r="J1204" s="4">
        <v>55</v>
      </c>
      <c r="K1204" s="4">
        <v>2.0499999999999998</v>
      </c>
      <c r="L1204" s="4">
        <v>75.833333333333343</v>
      </c>
      <c r="M1204" s="4">
        <v>169</v>
      </c>
      <c r="N1204" s="4">
        <v>23.875</v>
      </c>
      <c r="O1204" s="4">
        <v>14.6</v>
      </c>
      <c r="P1204" s="4">
        <v>2.5</v>
      </c>
      <c r="Q1204" s="4">
        <v>54.000000000000007</v>
      </c>
      <c r="R1204" s="4">
        <v>169</v>
      </c>
      <c r="S1204" s="4" t="str" cm="1">
        <f t="array" ref="S1204">_xlfn.IFS($R1204&lt;=50,"Good",$R1204&lt;=100,"Moderate",$R1204&lt;=200,"Poor",$R1204&lt;=300,"Very Poor",$R1204&lt;=500,"Hazardous")</f>
        <v>Poor</v>
      </c>
      <c r="T1204" t="s">
        <v>28</v>
      </c>
      <c r="X1204" s="2"/>
      <c r="Y1204" s="2"/>
    </row>
    <row r="1205" spans="1:25" x14ac:dyDescent="0.3">
      <c r="A1205" s="2">
        <v>45532</v>
      </c>
      <c r="B1205" t="s">
        <v>23</v>
      </c>
      <c r="C1205" s="4">
        <v>54.7</v>
      </c>
      <c r="D1205" s="4">
        <v>69.5</v>
      </c>
      <c r="E1205" s="4">
        <v>26.5</v>
      </c>
      <c r="F1205" s="4">
        <v>12.14</v>
      </c>
      <c r="G1205" s="4">
        <v>47.1</v>
      </c>
      <c r="H1205" s="4">
        <v>0.69</v>
      </c>
      <c r="I1205" s="4">
        <v>23.2</v>
      </c>
      <c r="J1205" s="4">
        <v>89.6</v>
      </c>
      <c r="K1205" s="4">
        <v>2.2200000000000002</v>
      </c>
      <c r="L1205" s="4">
        <v>91.166666666666671</v>
      </c>
      <c r="M1205" s="4">
        <v>69.5</v>
      </c>
      <c r="N1205" s="4">
        <v>33.125</v>
      </c>
      <c r="O1205" s="4">
        <v>30.35</v>
      </c>
      <c r="P1205" s="4">
        <v>117.75</v>
      </c>
      <c r="Q1205" s="4">
        <v>34.499999999999993</v>
      </c>
      <c r="R1205" s="4">
        <v>118</v>
      </c>
      <c r="S1205" s="4" t="str" cm="1">
        <f t="array" ref="S1205">_xlfn.IFS($R1205&lt;=50,"Good",$R1205&lt;=100,"Moderate",$R1205&lt;=200,"Poor",$R1205&lt;=300,"Very Poor",$R1205&lt;=500,"Hazardous")</f>
        <v>Poor</v>
      </c>
      <c r="T1205" t="s">
        <v>27</v>
      </c>
      <c r="X1205" s="2"/>
      <c r="Y1205" s="2"/>
    </row>
    <row r="1206" spans="1:25" x14ac:dyDescent="0.3">
      <c r="A1206" s="2">
        <v>45532</v>
      </c>
      <c r="B1206" t="s">
        <v>24</v>
      </c>
      <c r="C1206" s="4">
        <v>34.6</v>
      </c>
      <c r="D1206" s="4">
        <v>69.400000000000006</v>
      </c>
      <c r="E1206" s="4">
        <v>29.9</v>
      </c>
      <c r="F1206" s="4">
        <v>4.42</v>
      </c>
      <c r="G1206" s="4">
        <v>8.8000000000000007</v>
      </c>
      <c r="H1206" s="4">
        <v>0.46</v>
      </c>
      <c r="I1206" s="4">
        <v>19.2</v>
      </c>
      <c r="J1206" s="4">
        <v>70.599999999999994</v>
      </c>
      <c r="K1206" s="4">
        <v>2.54</v>
      </c>
      <c r="L1206" s="4">
        <v>57.666666666666671</v>
      </c>
      <c r="M1206" s="4">
        <v>69.400000000000006</v>
      </c>
      <c r="N1206" s="4">
        <v>37.375</v>
      </c>
      <c r="O1206" s="4">
        <v>11.05</v>
      </c>
      <c r="P1206" s="4">
        <v>22</v>
      </c>
      <c r="Q1206" s="4">
        <v>23</v>
      </c>
      <c r="R1206" s="4">
        <v>69</v>
      </c>
      <c r="S1206" s="4" t="str" cm="1">
        <f t="array" ref="S1206">_xlfn.IFS($R1206&lt;=50,"Good",$R1206&lt;=100,"Moderate",$R1206&lt;=200,"Poor",$R1206&lt;=300,"Very Poor",$R1206&lt;=500,"Hazardous")</f>
        <v>Moderate</v>
      </c>
      <c r="T1206" t="s">
        <v>28</v>
      </c>
      <c r="X1206" s="2"/>
      <c r="Y1206" s="2"/>
    </row>
    <row r="1207" spans="1:25" x14ac:dyDescent="0.3">
      <c r="A1207" s="2">
        <v>45533</v>
      </c>
      <c r="B1207" t="s">
        <v>20</v>
      </c>
      <c r="C1207" s="4">
        <v>49.5</v>
      </c>
      <c r="D1207" s="4">
        <v>180.5</v>
      </c>
      <c r="E1207" s="4">
        <v>65.2</v>
      </c>
      <c r="F1207" s="4">
        <v>6.06</v>
      </c>
      <c r="G1207" s="4">
        <v>27.9</v>
      </c>
      <c r="H1207" s="4">
        <v>0.63</v>
      </c>
      <c r="I1207" s="4">
        <v>29.8</v>
      </c>
      <c r="J1207" s="4">
        <v>56.3</v>
      </c>
      <c r="K1207" s="4">
        <v>2.04</v>
      </c>
      <c r="L1207" s="4">
        <v>82.5</v>
      </c>
      <c r="M1207" s="4">
        <v>180.5</v>
      </c>
      <c r="N1207" s="4">
        <v>81.5</v>
      </c>
      <c r="O1207" s="4">
        <v>15.15</v>
      </c>
      <c r="P1207" s="4">
        <v>69.749999999999986</v>
      </c>
      <c r="Q1207" s="4">
        <v>31.5</v>
      </c>
      <c r="R1207" s="4">
        <v>180</v>
      </c>
      <c r="S1207" s="4" t="str" cm="1">
        <f t="array" ref="S1207">_xlfn.IFS($R1207&lt;=50,"Good",$R1207&lt;=100,"Moderate",$R1207&lt;=200,"Poor",$R1207&lt;=300,"Very Poor",$R1207&lt;=500,"Hazardous")</f>
        <v>Poor</v>
      </c>
      <c r="T1207" t="s">
        <v>28</v>
      </c>
      <c r="X1207" s="2"/>
      <c r="Y1207" s="2"/>
    </row>
    <row r="1208" spans="1:25" x14ac:dyDescent="0.3">
      <c r="A1208" s="2">
        <v>45533</v>
      </c>
      <c r="B1208" t="s">
        <v>21</v>
      </c>
      <c r="C1208" s="4">
        <v>35.6</v>
      </c>
      <c r="D1208" s="4">
        <v>73.8</v>
      </c>
      <c r="E1208" s="4">
        <v>51.4</v>
      </c>
      <c r="F1208" s="4">
        <v>1.42</v>
      </c>
      <c r="G1208" s="4">
        <v>81.099999999999994</v>
      </c>
      <c r="H1208" s="4">
        <v>0.88</v>
      </c>
      <c r="I1208" s="4">
        <v>24</v>
      </c>
      <c r="J1208" s="4">
        <v>35.9</v>
      </c>
      <c r="K1208" s="4">
        <v>2.4900000000000002</v>
      </c>
      <c r="L1208" s="4">
        <v>59.333333333333343</v>
      </c>
      <c r="M1208" s="4">
        <v>73.8</v>
      </c>
      <c r="N1208" s="4">
        <v>64.25</v>
      </c>
      <c r="O1208" s="4">
        <v>3.55</v>
      </c>
      <c r="P1208" s="4">
        <v>202.75</v>
      </c>
      <c r="Q1208" s="4">
        <v>44</v>
      </c>
      <c r="R1208" s="4">
        <v>203</v>
      </c>
      <c r="S1208" s="4" t="str" cm="1">
        <f t="array" ref="S1208">_xlfn.IFS($R1208&lt;=50,"Good",$R1208&lt;=100,"Moderate",$R1208&lt;=200,"Poor",$R1208&lt;=300,"Very Poor",$R1208&lt;=500,"Hazardous")</f>
        <v>Very Poor</v>
      </c>
      <c r="T1208" t="s">
        <v>27</v>
      </c>
      <c r="X1208" s="2"/>
      <c r="Y1208" s="2"/>
    </row>
    <row r="1209" spans="1:25" x14ac:dyDescent="0.3">
      <c r="A1209" s="2">
        <v>45533</v>
      </c>
      <c r="B1209" t="s">
        <v>22</v>
      </c>
      <c r="C1209" s="4">
        <v>38.1</v>
      </c>
      <c r="D1209" s="4">
        <v>88.9</v>
      </c>
      <c r="E1209" s="4">
        <v>56.6</v>
      </c>
      <c r="F1209" s="4">
        <v>6.76</v>
      </c>
      <c r="G1209" s="4">
        <v>19.100000000000001</v>
      </c>
      <c r="H1209" s="4">
        <v>0.59</v>
      </c>
      <c r="I1209" s="4">
        <v>29.2</v>
      </c>
      <c r="J1209" s="4">
        <v>83.4</v>
      </c>
      <c r="K1209" s="4">
        <v>2.84</v>
      </c>
      <c r="L1209" s="4">
        <v>63.5</v>
      </c>
      <c r="M1209" s="4">
        <v>88.9</v>
      </c>
      <c r="N1209" s="4">
        <v>70.750000000000014</v>
      </c>
      <c r="O1209" s="4">
        <v>16.899999999999999</v>
      </c>
      <c r="P1209" s="4">
        <v>47.75</v>
      </c>
      <c r="Q1209" s="4">
        <v>29.5</v>
      </c>
      <c r="R1209" s="4">
        <v>89</v>
      </c>
      <c r="S1209" s="4" t="str" cm="1">
        <f t="array" ref="S1209">_xlfn.IFS($R1209&lt;=50,"Good",$R1209&lt;=100,"Moderate",$R1209&lt;=200,"Poor",$R1209&lt;=300,"Very Poor",$R1209&lt;=500,"Hazardous")</f>
        <v>Moderate</v>
      </c>
      <c r="T1209" t="s">
        <v>28</v>
      </c>
      <c r="X1209" s="2"/>
      <c r="Y1209" s="2"/>
    </row>
    <row r="1210" spans="1:25" x14ac:dyDescent="0.3">
      <c r="A1210" s="2">
        <v>45533</v>
      </c>
      <c r="B1210" t="s">
        <v>23</v>
      </c>
      <c r="C1210" s="4">
        <v>64.5</v>
      </c>
      <c r="D1210" s="4">
        <v>125.3</v>
      </c>
      <c r="E1210" s="4">
        <v>58.7</v>
      </c>
      <c r="F1210" s="4">
        <v>0.5</v>
      </c>
      <c r="G1210" s="4">
        <v>56.7</v>
      </c>
      <c r="H1210" s="4">
        <v>1.43</v>
      </c>
      <c r="I1210" s="4">
        <v>15.6</v>
      </c>
      <c r="J1210" s="4">
        <v>44.1</v>
      </c>
      <c r="K1210" s="4">
        <v>1.48</v>
      </c>
      <c r="L1210" s="4">
        <v>107.5</v>
      </c>
      <c r="M1210" s="4">
        <v>125.3</v>
      </c>
      <c r="N1210" s="4">
        <v>73.375000000000014</v>
      </c>
      <c r="O1210" s="4">
        <v>1.25</v>
      </c>
      <c r="P1210" s="4">
        <v>141.75</v>
      </c>
      <c r="Q1210" s="4">
        <v>71.5</v>
      </c>
      <c r="R1210" s="4">
        <v>142</v>
      </c>
      <c r="S1210" s="4" t="str" cm="1">
        <f t="array" ref="S1210">_xlfn.IFS($R1210&lt;=50,"Good",$R1210&lt;=100,"Moderate",$R1210&lt;=200,"Poor",$R1210&lt;=300,"Very Poor",$R1210&lt;=500,"Hazardous")</f>
        <v>Poor</v>
      </c>
      <c r="T1210" t="s">
        <v>27</v>
      </c>
      <c r="X1210" s="2"/>
      <c r="Y1210" s="2"/>
    </row>
    <row r="1211" spans="1:25" x14ac:dyDescent="0.3">
      <c r="A1211" s="2">
        <v>45533</v>
      </c>
      <c r="B1211" t="s">
        <v>24</v>
      </c>
      <c r="C1211" s="4">
        <v>33.6</v>
      </c>
      <c r="D1211" s="4">
        <v>80.2</v>
      </c>
      <c r="E1211" s="4">
        <v>43.9</v>
      </c>
      <c r="F1211" s="4">
        <v>10.85</v>
      </c>
      <c r="G1211" s="4">
        <v>73.7</v>
      </c>
      <c r="H1211" s="4">
        <v>0.61</v>
      </c>
      <c r="I1211" s="4">
        <v>19.100000000000001</v>
      </c>
      <c r="J1211" s="4">
        <v>83.7</v>
      </c>
      <c r="K1211" s="4">
        <v>3.78</v>
      </c>
      <c r="L1211" s="4">
        <v>56</v>
      </c>
      <c r="M1211" s="4">
        <v>80.2</v>
      </c>
      <c r="N1211" s="4">
        <v>54.875</v>
      </c>
      <c r="O1211" s="4">
        <v>27.125</v>
      </c>
      <c r="P1211" s="4">
        <v>184.25</v>
      </c>
      <c r="Q1211" s="4">
        <v>30.5</v>
      </c>
      <c r="R1211" s="4">
        <v>184</v>
      </c>
      <c r="S1211" s="4" t="str" cm="1">
        <f t="array" ref="S1211">_xlfn.IFS($R1211&lt;=50,"Good",$R1211&lt;=100,"Moderate",$R1211&lt;=200,"Poor",$R1211&lt;=300,"Very Poor",$R1211&lt;=500,"Hazardous")</f>
        <v>Poor</v>
      </c>
      <c r="T1211" t="s">
        <v>27</v>
      </c>
      <c r="X1211" s="2"/>
      <c r="Y1211" s="2"/>
    </row>
    <row r="1212" spans="1:25" x14ac:dyDescent="0.3">
      <c r="A1212" s="2">
        <v>45534</v>
      </c>
      <c r="B1212" t="s">
        <v>20</v>
      </c>
      <c r="C1212" s="4">
        <v>57.5</v>
      </c>
      <c r="D1212" s="4">
        <v>136.5</v>
      </c>
      <c r="E1212" s="4">
        <v>40.9</v>
      </c>
      <c r="F1212" s="4">
        <v>9.77</v>
      </c>
      <c r="G1212" s="4">
        <v>36.299999999999997</v>
      </c>
      <c r="H1212" s="4">
        <v>1.25</v>
      </c>
      <c r="I1212" s="4">
        <v>14.4</v>
      </c>
      <c r="J1212" s="4">
        <v>47.6</v>
      </c>
      <c r="K1212" s="4">
        <v>1.69</v>
      </c>
      <c r="L1212" s="4">
        <v>95.833333333333343</v>
      </c>
      <c r="M1212" s="4">
        <v>136.5</v>
      </c>
      <c r="N1212" s="4">
        <v>51.125</v>
      </c>
      <c r="O1212" s="4">
        <v>24.425000000000001</v>
      </c>
      <c r="P1212" s="4">
        <v>90.75</v>
      </c>
      <c r="Q1212" s="4">
        <v>62.5</v>
      </c>
      <c r="R1212" s="4">
        <v>136</v>
      </c>
      <c r="S1212" s="4" t="str" cm="1">
        <f t="array" ref="S1212">_xlfn.IFS($R1212&lt;=50,"Good",$R1212&lt;=100,"Moderate",$R1212&lt;=200,"Poor",$R1212&lt;=300,"Very Poor",$R1212&lt;=500,"Hazardous")</f>
        <v>Poor</v>
      </c>
      <c r="T1212" t="s">
        <v>28</v>
      </c>
      <c r="X1212" s="2"/>
      <c r="Y1212" s="2"/>
    </row>
    <row r="1213" spans="1:25" x14ac:dyDescent="0.3">
      <c r="A1213" s="2">
        <v>45534</v>
      </c>
      <c r="B1213" t="s">
        <v>21</v>
      </c>
      <c r="C1213" s="4">
        <v>48.8</v>
      </c>
      <c r="D1213" s="4">
        <v>64.400000000000006</v>
      </c>
      <c r="E1213" s="4">
        <v>34.299999999999997</v>
      </c>
      <c r="F1213" s="4">
        <v>0.5</v>
      </c>
      <c r="G1213" s="4">
        <v>67.099999999999994</v>
      </c>
      <c r="H1213" s="4">
        <v>1.1499999999999999</v>
      </c>
      <c r="I1213" s="4">
        <v>13.1</v>
      </c>
      <c r="J1213" s="4">
        <v>45</v>
      </c>
      <c r="K1213" s="4">
        <v>2.9</v>
      </c>
      <c r="L1213" s="4">
        <v>81.333333333333329</v>
      </c>
      <c r="M1213" s="4">
        <v>64.400000000000006</v>
      </c>
      <c r="N1213" s="4">
        <v>42.875</v>
      </c>
      <c r="O1213" s="4">
        <v>1.25</v>
      </c>
      <c r="P1213" s="4">
        <v>167.75</v>
      </c>
      <c r="Q1213" s="4">
        <v>57.499999999999993</v>
      </c>
      <c r="R1213" s="4">
        <v>168</v>
      </c>
      <c r="S1213" s="4" t="str" cm="1">
        <f t="array" ref="S1213">_xlfn.IFS($R1213&lt;=50,"Good",$R1213&lt;=100,"Moderate",$R1213&lt;=200,"Poor",$R1213&lt;=300,"Very Poor",$R1213&lt;=500,"Hazardous")</f>
        <v>Poor</v>
      </c>
      <c r="T1213" t="s">
        <v>27</v>
      </c>
      <c r="X1213" s="2"/>
      <c r="Y1213" s="2"/>
    </row>
    <row r="1214" spans="1:25" x14ac:dyDescent="0.3">
      <c r="A1214" s="2">
        <v>45534</v>
      </c>
      <c r="B1214" t="s">
        <v>22</v>
      </c>
      <c r="C1214" s="4">
        <v>33.200000000000003</v>
      </c>
      <c r="D1214" s="4">
        <v>59.4</v>
      </c>
      <c r="E1214" s="4">
        <v>33.1</v>
      </c>
      <c r="F1214" s="4">
        <v>7.39</v>
      </c>
      <c r="G1214" s="4">
        <v>3.9</v>
      </c>
      <c r="H1214" s="4">
        <v>1.1599999999999999</v>
      </c>
      <c r="I1214" s="4">
        <v>19.399999999999999</v>
      </c>
      <c r="J1214" s="4">
        <v>59.7</v>
      </c>
      <c r="K1214" s="4">
        <v>2.46</v>
      </c>
      <c r="L1214" s="4">
        <v>55.333333333333343</v>
      </c>
      <c r="M1214" s="4">
        <v>59.4</v>
      </c>
      <c r="N1214" s="4">
        <v>41.375</v>
      </c>
      <c r="O1214" s="4">
        <v>18.475000000000001</v>
      </c>
      <c r="P1214" s="4">
        <v>9.75</v>
      </c>
      <c r="Q1214" s="4">
        <v>57.999999999999993</v>
      </c>
      <c r="R1214" s="4">
        <v>59</v>
      </c>
      <c r="S1214" s="4" t="str" cm="1">
        <f t="array" ref="S1214">_xlfn.IFS($R1214&lt;=50,"Good",$R1214&lt;=100,"Moderate",$R1214&lt;=200,"Poor",$R1214&lt;=300,"Very Poor",$R1214&lt;=500,"Hazardous")</f>
        <v>Moderate</v>
      </c>
      <c r="T1214" t="s">
        <v>28</v>
      </c>
      <c r="X1214" s="2"/>
      <c r="Y1214" s="2"/>
    </row>
    <row r="1215" spans="1:25" x14ac:dyDescent="0.3">
      <c r="A1215" s="2">
        <v>45534</v>
      </c>
      <c r="B1215" t="s">
        <v>23</v>
      </c>
      <c r="C1215" s="4">
        <v>35.4</v>
      </c>
      <c r="D1215" s="4">
        <v>46.9</v>
      </c>
      <c r="E1215" s="4">
        <v>31.4</v>
      </c>
      <c r="F1215" s="4">
        <v>12.9</v>
      </c>
      <c r="G1215" s="4">
        <v>6</v>
      </c>
      <c r="H1215" s="4">
        <v>1.77</v>
      </c>
      <c r="I1215" s="4">
        <v>23.2</v>
      </c>
      <c r="J1215" s="4">
        <v>60.6</v>
      </c>
      <c r="K1215" s="4">
        <v>1.2</v>
      </c>
      <c r="L1215" s="4">
        <v>59</v>
      </c>
      <c r="M1215" s="4">
        <v>46.9</v>
      </c>
      <c r="N1215" s="4">
        <v>39.25</v>
      </c>
      <c r="O1215" s="4">
        <v>32.25</v>
      </c>
      <c r="P1215" s="4">
        <v>15</v>
      </c>
      <c r="Q1215" s="4">
        <v>88.5</v>
      </c>
      <c r="R1215" s="4">
        <v>88</v>
      </c>
      <c r="S1215" s="4" t="str" cm="1">
        <f t="array" ref="S1215">_xlfn.IFS($R1215&lt;=50,"Good",$R1215&lt;=100,"Moderate",$R1215&lt;=200,"Poor",$R1215&lt;=300,"Very Poor",$R1215&lt;=500,"Hazardous")</f>
        <v>Moderate</v>
      </c>
      <c r="T1215" t="s">
        <v>29</v>
      </c>
      <c r="X1215" s="2"/>
      <c r="Y1215" s="2"/>
    </row>
    <row r="1216" spans="1:25" x14ac:dyDescent="0.3">
      <c r="A1216" s="2">
        <v>45534</v>
      </c>
      <c r="B1216" t="s">
        <v>24</v>
      </c>
      <c r="C1216" s="4">
        <v>32.4</v>
      </c>
      <c r="D1216" s="4">
        <v>79</v>
      </c>
      <c r="E1216" s="4">
        <v>21.2</v>
      </c>
      <c r="F1216" s="4">
        <v>6.12</v>
      </c>
      <c r="G1216" s="4">
        <v>32.799999999999997</v>
      </c>
      <c r="H1216" s="4">
        <v>2.0299999999999998</v>
      </c>
      <c r="I1216" s="4">
        <v>16.8</v>
      </c>
      <c r="J1216" s="4">
        <v>61.8</v>
      </c>
      <c r="K1216" s="4">
        <v>3.3</v>
      </c>
      <c r="L1216" s="4">
        <v>54</v>
      </c>
      <c r="M1216" s="4">
        <v>79</v>
      </c>
      <c r="N1216" s="4">
        <v>26.5</v>
      </c>
      <c r="O1216" s="4">
        <v>15.3</v>
      </c>
      <c r="P1216" s="4">
        <v>81.999999999999986</v>
      </c>
      <c r="Q1216" s="4">
        <v>101.5</v>
      </c>
      <c r="R1216" s="4">
        <v>102</v>
      </c>
      <c r="S1216" s="4" t="str" cm="1">
        <f t="array" ref="S1216">_xlfn.IFS($R1216&lt;=50,"Good",$R1216&lt;=100,"Moderate",$R1216&lt;=200,"Poor",$R1216&lt;=300,"Very Poor",$R1216&lt;=500,"Hazardous")</f>
        <v>Poor</v>
      </c>
      <c r="T1216" t="s">
        <v>29</v>
      </c>
      <c r="X1216" s="2"/>
      <c r="Y1216" s="2"/>
    </row>
    <row r="1217" spans="1:25" x14ac:dyDescent="0.3">
      <c r="A1217" s="2">
        <v>45535</v>
      </c>
      <c r="B1217" t="s">
        <v>20</v>
      </c>
      <c r="C1217" s="4">
        <v>25.7</v>
      </c>
      <c r="D1217" s="4">
        <v>148.30000000000001</v>
      </c>
      <c r="E1217" s="4">
        <v>34.1</v>
      </c>
      <c r="F1217" s="4">
        <v>0.5</v>
      </c>
      <c r="G1217" s="4">
        <v>65</v>
      </c>
      <c r="H1217" s="4">
        <v>0.49</v>
      </c>
      <c r="I1217" s="4">
        <v>17.7</v>
      </c>
      <c r="J1217" s="4">
        <v>72.400000000000006</v>
      </c>
      <c r="K1217" s="4">
        <v>2.08</v>
      </c>
      <c r="L1217" s="4">
        <v>42.833333333333343</v>
      </c>
      <c r="M1217" s="4">
        <v>148.30000000000001</v>
      </c>
      <c r="N1217" s="4">
        <v>42.625</v>
      </c>
      <c r="O1217" s="4">
        <v>1.25</v>
      </c>
      <c r="P1217" s="4">
        <v>162.5</v>
      </c>
      <c r="Q1217" s="4">
        <v>24.5</v>
      </c>
      <c r="R1217" s="4">
        <v>162</v>
      </c>
      <c r="S1217" s="4" t="str" cm="1">
        <f t="array" ref="S1217">_xlfn.IFS($R1217&lt;=50,"Good",$R1217&lt;=100,"Moderate",$R1217&lt;=200,"Poor",$R1217&lt;=300,"Very Poor",$R1217&lt;=500,"Hazardous")</f>
        <v>Poor</v>
      </c>
      <c r="T1217" t="s">
        <v>27</v>
      </c>
      <c r="X1217" s="2"/>
      <c r="Y1217" s="2"/>
    </row>
    <row r="1218" spans="1:25" x14ac:dyDescent="0.3">
      <c r="A1218" s="2">
        <v>45535</v>
      </c>
      <c r="B1218" t="s">
        <v>21</v>
      </c>
      <c r="C1218" s="4">
        <v>87.5</v>
      </c>
      <c r="D1218" s="4">
        <v>192.6</v>
      </c>
      <c r="E1218" s="4">
        <v>32.1</v>
      </c>
      <c r="F1218" s="4">
        <v>11.97</v>
      </c>
      <c r="G1218" s="4">
        <v>26.4</v>
      </c>
      <c r="H1218" s="4">
        <v>2.54</v>
      </c>
      <c r="I1218" s="4">
        <v>20.100000000000001</v>
      </c>
      <c r="J1218" s="4">
        <v>78.5</v>
      </c>
      <c r="K1218" s="4">
        <v>3.51</v>
      </c>
      <c r="L1218" s="4">
        <v>145.83333333333329</v>
      </c>
      <c r="M1218" s="4">
        <v>192.6</v>
      </c>
      <c r="N1218" s="4">
        <v>40.125</v>
      </c>
      <c r="O1218" s="4">
        <v>29.925000000000001</v>
      </c>
      <c r="P1218" s="4">
        <v>66</v>
      </c>
      <c r="Q1218" s="4">
        <v>127</v>
      </c>
      <c r="R1218" s="4">
        <v>193</v>
      </c>
      <c r="S1218" s="4" t="str" cm="1">
        <f t="array" ref="S1218">_xlfn.IFS($R1218&lt;=50,"Good",$R1218&lt;=100,"Moderate",$R1218&lt;=200,"Poor",$R1218&lt;=300,"Very Poor",$R1218&lt;=500,"Hazardous")</f>
        <v>Poor</v>
      </c>
      <c r="T1218" t="s">
        <v>28</v>
      </c>
      <c r="X1218" s="2"/>
      <c r="Y1218" s="2"/>
    </row>
    <row r="1219" spans="1:25" x14ac:dyDescent="0.3">
      <c r="A1219" s="2">
        <v>45535</v>
      </c>
      <c r="B1219" t="s">
        <v>22</v>
      </c>
      <c r="C1219" s="4">
        <v>52.8</v>
      </c>
      <c r="D1219" s="4">
        <v>60.6</v>
      </c>
      <c r="E1219" s="4">
        <v>31.9</v>
      </c>
      <c r="F1219" s="4">
        <v>0.5</v>
      </c>
      <c r="G1219" s="4">
        <v>43.3</v>
      </c>
      <c r="H1219" s="4">
        <v>1.07</v>
      </c>
      <c r="I1219" s="4">
        <v>25.9</v>
      </c>
      <c r="J1219" s="4">
        <v>10</v>
      </c>
      <c r="K1219" s="4">
        <v>0.98</v>
      </c>
      <c r="L1219" s="4">
        <v>88</v>
      </c>
      <c r="M1219" s="4">
        <v>60.6</v>
      </c>
      <c r="N1219" s="4">
        <v>39.875</v>
      </c>
      <c r="O1219" s="4">
        <v>1.25</v>
      </c>
      <c r="P1219" s="4">
        <v>108.25</v>
      </c>
      <c r="Q1219" s="4">
        <v>53.500000000000007</v>
      </c>
      <c r="R1219" s="4">
        <v>108</v>
      </c>
      <c r="S1219" s="4" t="str" cm="1">
        <f t="array" ref="S1219">_xlfn.IFS($R1219&lt;=50,"Good",$R1219&lt;=100,"Moderate",$R1219&lt;=200,"Poor",$R1219&lt;=300,"Very Poor",$R1219&lt;=500,"Hazardous")</f>
        <v>Poor</v>
      </c>
      <c r="T1219" t="s">
        <v>27</v>
      </c>
      <c r="X1219" s="2"/>
      <c r="Y1219" s="2"/>
    </row>
    <row r="1220" spans="1:25" x14ac:dyDescent="0.3">
      <c r="A1220" s="2">
        <v>45535</v>
      </c>
      <c r="B1220" t="s">
        <v>23</v>
      </c>
      <c r="C1220" s="4">
        <v>30</v>
      </c>
      <c r="D1220" s="4">
        <v>110</v>
      </c>
      <c r="E1220" s="4">
        <v>40.6</v>
      </c>
      <c r="F1220" s="4">
        <v>5.72</v>
      </c>
      <c r="G1220" s="4">
        <v>55.9</v>
      </c>
      <c r="H1220" s="4">
        <v>0.47</v>
      </c>
      <c r="I1220" s="4">
        <v>29.3</v>
      </c>
      <c r="J1220" s="4">
        <v>68.5</v>
      </c>
      <c r="K1220" s="4">
        <v>2.95</v>
      </c>
      <c r="L1220" s="4">
        <v>50</v>
      </c>
      <c r="M1220" s="4">
        <v>110</v>
      </c>
      <c r="N1220" s="4">
        <v>50.75</v>
      </c>
      <c r="O1220" s="4">
        <v>14.3</v>
      </c>
      <c r="P1220" s="4">
        <v>139.75</v>
      </c>
      <c r="Q1220" s="4">
        <v>23.5</v>
      </c>
      <c r="R1220" s="4">
        <v>140</v>
      </c>
      <c r="S1220" s="4" t="str" cm="1">
        <f t="array" ref="S1220">_xlfn.IFS($R1220&lt;=50,"Good",$R1220&lt;=100,"Moderate",$R1220&lt;=200,"Poor",$R1220&lt;=300,"Very Poor",$R1220&lt;=500,"Hazardous")</f>
        <v>Poor</v>
      </c>
      <c r="T1220" t="s">
        <v>27</v>
      </c>
      <c r="X1220" s="2"/>
      <c r="Y1220" s="2"/>
    </row>
    <row r="1221" spans="1:25" x14ac:dyDescent="0.3">
      <c r="A1221" s="2">
        <v>45535</v>
      </c>
      <c r="B1221" t="s">
        <v>24</v>
      </c>
      <c r="C1221" s="4">
        <v>48</v>
      </c>
      <c r="D1221" s="4">
        <v>202.3</v>
      </c>
      <c r="E1221" s="4">
        <v>48.3</v>
      </c>
      <c r="F1221" s="4">
        <v>2.78</v>
      </c>
      <c r="G1221" s="4">
        <v>50.8</v>
      </c>
      <c r="H1221" s="4">
        <v>1.45</v>
      </c>
      <c r="I1221" s="4">
        <v>20.9</v>
      </c>
      <c r="J1221" s="4">
        <v>79.599999999999994</v>
      </c>
      <c r="K1221" s="4">
        <v>3.46</v>
      </c>
      <c r="L1221" s="4">
        <v>80</v>
      </c>
      <c r="M1221" s="4">
        <v>202.3</v>
      </c>
      <c r="N1221" s="4">
        <v>60.375</v>
      </c>
      <c r="O1221" s="4">
        <v>6.9499999999999993</v>
      </c>
      <c r="P1221" s="4">
        <v>127</v>
      </c>
      <c r="Q1221" s="4">
        <v>72.5</v>
      </c>
      <c r="R1221" s="4">
        <v>202</v>
      </c>
      <c r="S1221" s="4" t="str" cm="1">
        <f t="array" ref="S1221">_xlfn.IFS($R1221&lt;=50,"Good",$R1221&lt;=100,"Moderate",$R1221&lt;=200,"Poor",$R1221&lt;=300,"Very Poor",$R1221&lt;=500,"Hazardous")</f>
        <v>Very Poor</v>
      </c>
      <c r="T1221" t="s">
        <v>28</v>
      </c>
      <c r="X1221" s="2"/>
      <c r="Y1221" s="2"/>
    </row>
    <row r="1222" spans="1:25" x14ac:dyDescent="0.3">
      <c r="A1222" s="2">
        <v>45536</v>
      </c>
      <c r="B1222" t="s">
        <v>20</v>
      </c>
      <c r="C1222" s="4">
        <v>2</v>
      </c>
      <c r="D1222" s="4">
        <v>158.69999999999999</v>
      </c>
      <c r="E1222" s="4">
        <v>42.4</v>
      </c>
      <c r="F1222" s="4">
        <v>12.29</v>
      </c>
      <c r="G1222" s="4">
        <v>73.099999999999994</v>
      </c>
      <c r="H1222" s="4">
        <v>1.51</v>
      </c>
      <c r="I1222" s="4">
        <v>36.700000000000003</v>
      </c>
      <c r="J1222" s="4">
        <v>56.8</v>
      </c>
      <c r="K1222" s="4">
        <v>3.25</v>
      </c>
      <c r="L1222" s="4">
        <v>3.333333333333333</v>
      </c>
      <c r="M1222" s="4">
        <v>158.69999999999999</v>
      </c>
      <c r="N1222" s="4">
        <v>53</v>
      </c>
      <c r="O1222" s="4">
        <v>30.725000000000001</v>
      </c>
      <c r="P1222" s="4">
        <v>182.75</v>
      </c>
      <c r="Q1222" s="4">
        <v>75.5</v>
      </c>
      <c r="R1222" s="4">
        <v>183</v>
      </c>
      <c r="S1222" s="4" t="str" cm="1">
        <f t="array" ref="S1222">_xlfn.IFS($R1222&lt;=50,"Good",$R1222&lt;=100,"Moderate",$R1222&lt;=200,"Poor",$R1222&lt;=300,"Very Poor",$R1222&lt;=500,"Hazardous")</f>
        <v>Poor</v>
      </c>
      <c r="T1222" t="s">
        <v>27</v>
      </c>
      <c r="X1222" s="2"/>
      <c r="Y1222" s="2"/>
    </row>
    <row r="1223" spans="1:25" x14ac:dyDescent="0.3">
      <c r="A1223" s="2">
        <v>45536</v>
      </c>
      <c r="B1223" t="s">
        <v>21</v>
      </c>
      <c r="C1223" s="4">
        <v>105.2</v>
      </c>
      <c r="D1223" s="4">
        <v>142.69999999999999</v>
      </c>
      <c r="E1223" s="4">
        <v>75.7</v>
      </c>
      <c r="F1223" s="4">
        <v>6.28</v>
      </c>
      <c r="G1223" s="4">
        <v>36.799999999999997</v>
      </c>
      <c r="H1223" s="4">
        <v>0.52</v>
      </c>
      <c r="I1223" s="4">
        <v>26.7</v>
      </c>
      <c r="J1223" s="4">
        <v>65.900000000000006</v>
      </c>
      <c r="K1223" s="4">
        <v>3.92</v>
      </c>
      <c r="L1223" s="4">
        <v>175.33333333333329</v>
      </c>
      <c r="M1223" s="4">
        <v>142.69999999999999</v>
      </c>
      <c r="N1223" s="4">
        <v>94.625</v>
      </c>
      <c r="O1223" s="4">
        <v>15.7</v>
      </c>
      <c r="P1223" s="4">
        <v>92</v>
      </c>
      <c r="Q1223" s="4">
        <v>26</v>
      </c>
      <c r="R1223" s="4">
        <v>175</v>
      </c>
      <c r="S1223" s="4" t="str" cm="1">
        <f t="array" ref="S1223">_xlfn.IFS($R1223&lt;=50,"Good",$R1223&lt;=100,"Moderate",$R1223&lt;=200,"Poor",$R1223&lt;=300,"Very Poor",$R1223&lt;=500,"Hazardous")</f>
        <v>Poor</v>
      </c>
      <c r="T1223" t="s">
        <v>25</v>
      </c>
      <c r="X1223" s="2"/>
      <c r="Y1223" s="2"/>
    </row>
    <row r="1224" spans="1:25" x14ac:dyDescent="0.3">
      <c r="A1224" s="2">
        <v>45536</v>
      </c>
      <c r="B1224" t="s">
        <v>22</v>
      </c>
      <c r="C1224" s="4">
        <v>79.5</v>
      </c>
      <c r="D1224" s="4">
        <v>97.8</v>
      </c>
      <c r="E1224" s="4">
        <v>20.399999999999999</v>
      </c>
      <c r="F1224" s="4">
        <v>9.66</v>
      </c>
      <c r="G1224" s="4">
        <v>64.400000000000006</v>
      </c>
      <c r="H1224" s="4">
        <v>1.57</v>
      </c>
      <c r="I1224" s="4">
        <v>32.6</v>
      </c>
      <c r="J1224" s="4">
        <v>56.2</v>
      </c>
      <c r="K1224" s="4">
        <v>1.94</v>
      </c>
      <c r="L1224" s="4">
        <v>132.5</v>
      </c>
      <c r="M1224" s="4">
        <v>97.8</v>
      </c>
      <c r="N1224" s="4">
        <v>25.5</v>
      </c>
      <c r="O1224" s="4">
        <v>24.15</v>
      </c>
      <c r="P1224" s="4">
        <v>161</v>
      </c>
      <c r="Q1224" s="4">
        <v>78.5</v>
      </c>
      <c r="R1224" s="4">
        <v>161</v>
      </c>
      <c r="S1224" s="4" t="str" cm="1">
        <f t="array" ref="S1224">_xlfn.IFS($R1224&lt;=50,"Good",$R1224&lt;=100,"Moderate",$R1224&lt;=200,"Poor",$R1224&lt;=300,"Very Poor",$R1224&lt;=500,"Hazardous")</f>
        <v>Poor</v>
      </c>
      <c r="T1224" t="s">
        <v>27</v>
      </c>
      <c r="X1224" s="2"/>
      <c r="Y1224" s="2"/>
    </row>
    <row r="1225" spans="1:25" x14ac:dyDescent="0.3">
      <c r="A1225" s="2">
        <v>45536</v>
      </c>
      <c r="B1225" t="s">
        <v>23</v>
      </c>
      <c r="C1225" s="4">
        <v>37.9</v>
      </c>
      <c r="D1225" s="4">
        <v>116.6</v>
      </c>
      <c r="E1225" s="4">
        <v>43.4</v>
      </c>
      <c r="F1225" s="4">
        <v>9.0299999999999994</v>
      </c>
      <c r="G1225" s="4">
        <v>36.799999999999997</v>
      </c>
      <c r="H1225" s="4">
        <v>1.1200000000000001</v>
      </c>
      <c r="I1225" s="4">
        <v>19.600000000000001</v>
      </c>
      <c r="J1225" s="4">
        <v>76.900000000000006</v>
      </c>
      <c r="K1225" s="4">
        <v>2.59</v>
      </c>
      <c r="L1225" s="4">
        <v>63.166666666666657</v>
      </c>
      <c r="M1225" s="4">
        <v>116.6</v>
      </c>
      <c r="N1225" s="4">
        <v>54.25</v>
      </c>
      <c r="O1225" s="4">
        <v>22.574999999999999</v>
      </c>
      <c r="P1225" s="4">
        <v>92</v>
      </c>
      <c r="Q1225" s="4">
        <v>56.000000000000007</v>
      </c>
      <c r="R1225" s="4">
        <v>117</v>
      </c>
      <c r="S1225" s="4" t="str" cm="1">
        <f t="array" ref="S1225">_xlfn.IFS($R1225&lt;=50,"Good",$R1225&lt;=100,"Moderate",$R1225&lt;=200,"Poor",$R1225&lt;=300,"Very Poor",$R1225&lt;=500,"Hazardous")</f>
        <v>Poor</v>
      </c>
      <c r="T1225" t="s">
        <v>28</v>
      </c>
      <c r="X1225" s="2"/>
      <c r="Y1225" s="2"/>
    </row>
    <row r="1226" spans="1:25" x14ac:dyDescent="0.3">
      <c r="A1226" s="2">
        <v>45536</v>
      </c>
      <c r="B1226" t="s">
        <v>24</v>
      </c>
      <c r="C1226" s="4">
        <v>60.2</v>
      </c>
      <c r="D1226" s="4">
        <v>82.7</v>
      </c>
      <c r="E1226" s="4">
        <v>20.2</v>
      </c>
      <c r="F1226" s="4">
        <v>15.99</v>
      </c>
      <c r="G1226" s="4">
        <v>59.3</v>
      </c>
      <c r="H1226" s="4">
        <v>0.25</v>
      </c>
      <c r="I1226" s="4">
        <v>30.3</v>
      </c>
      <c r="J1226" s="4">
        <v>76.599999999999994</v>
      </c>
      <c r="K1226" s="4">
        <v>3.15</v>
      </c>
      <c r="L1226" s="4">
        <v>100.3333333333333</v>
      </c>
      <c r="M1226" s="4">
        <v>82.7</v>
      </c>
      <c r="N1226" s="4">
        <v>25.25</v>
      </c>
      <c r="O1226" s="4">
        <v>39.975000000000001</v>
      </c>
      <c r="P1226" s="4">
        <v>148.25</v>
      </c>
      <c r="Q1226" s="4">
        <v>12.5</v>
      </c>
      <c r="R1226" s="4">
        <v>148</v>
      </c>
      <c r="S1226" s="4" t="str" cm="1">
        <f t="array" ref="S1226">_xlfn.IFS($R1226&lt;=50,"Good",$R1226&lt;=100,"Moderate",$R1226&lt;=200,"Poor",$R1226&lt;=300,"Very Poor",$R1226&lt;=500,"Hazardous")</f>
        <v>Poor</v>
      </c>
      <c r="T1226" t="s">
        <v>27</v>
      </c>
      <c r="X1226" s="2"/>
      <c r="Y1226" s="2"/>
    </row>
    <row r="1227" spans="1:25" x14ac:dyDescent="0.3">
      <c r="A1227" s="2">
        <v>45537</v>
      </c>
      <c r="B1227" t="s">
        <v>20</v>
      </c>
      <c r="C1227" s="4">
        <v>124.1</v>
      </c>
      <c r="D1227" s="4">
        <v>153</v>
      </c>
      <c r="E1227" s="4">
        <v>19.2</v>
      </c>
      <c r="F1227" s="4">
        <v>11.3</v>
      </c>
      <c r="G1227" s="4">
        <v>53</v>
      </c>
      <c r="H1227" s="4">
        <v>0.96</v>
      </c>
      <c r="I1227" s="4">
        <v>29</v>
      </c>
      <c r="J1227" s="4">
        <v>30</v>
      </c>
      <c r="K1227" s="4">
        <v>3.69</v>
      </c>
      <c r="L1227" s="4">
        <v>206.83333333333329</v>
      </c>
      <c r="M1227" s="4">
        <v>153</v>
      </c>
      <c r="N1227" s="4">
        <v>24</v>
      </c>
      <c r="O1227" s="4">
        <v>28.25</v>
      </c>
      <c r="P1227" s="4">
        <v>132.5</v>
      </c>
      <c r="Q1227" s="4">
        <v>48</v>
      </c>
      <c r="R1227" s="4">
        <v>207</v>
      </c>
      <c r="S1227" s="4" t="str" cm="1">
        <f t="array" ref="S1227">_xlfn.IFS($R1227&lt;=50,"Good",$R1227&lt;=100,"Moderate",$R1227&lt;=200,"Poor",$R1227&lt;=300,"Very Poor",$R1227&lt;=500,"Hazardous")</f>
        <v>Very Poor</v>
      </c>
      <c r="T1227" t="s">
        <v>25</v>
      </c>
      <c r="X1227" s="2"/>
      <c r="Y1227" s="2"/>
    </row>
    <row r="1228" spans="1:25" x14ac:dyDescent="0.3">
      <c r="A1228" s="2">
        <v>45537</v>
      </c>
      <c r="B1228" t="s">
        <v>21</v>
      </c>
      <c r="C1228" s="4">
        <v>42.1</v>
      </c>
      <c r="D1228" s="4">
        <v>76.099999999999994</v>
      </c>
      <c r="E1228" s="4">
        <v>53.4</v>
      </c>
      <c r="F1228" s="4">
        <v>12.71</v>
      </c>
      <c r="G1228" s="4">
        <v>55.1</v>
      </c>
      <c r="H1228" s="4">
        <v>0.94</v>
      </c>
      <c r="I1228" s="4">
        <v>21.5</v>
      </c>
      <c r="J1228" s="4">
        <v>39.6</v>
      </c>
      <c r="K1228" s="4">
        <v>2.23</v>
      </c>
      <c r="L1228" s="4">
        <v>70.166666666666671</v>
      </c>
      <c r="M1228" s="4">
        <v>76.099999999999994</v>
      </c>
      <c r="N1228" s="4">
        <v>66.75</v>
      </c>
      <c r="O1228" s="4">
        <v>31.775000000000009</v>
      </c>
      <c r="P1228" s="4">
        <v>137.75</v>
      </c>
      <c r="Q1228" s="4">
        <v>47</v>
      </c>
      <c r="R1228" s="4">
        <v>138</v>
      </c>
      <c r="S1228" s="4" t="str" cm="1">
        <f t="array" ref="S1228">_xlfn.IFS($R1228&lt;=50,"Good",$R1228&lt;=100,"Moderate",$R1228&lt;=200,"Poor",$R1228&lt;=300,"Very Poor",$R1228&lt;=500,"Hazardous")</f>
        <v>Poor</v>
      </c>
      <c r="T1228" t="s">
        <v>27</v>
      </c>
      <c r="X1228" s="2"/>
      <c r="Y1228" s="2"/>
    </row>
    <row r="1229" spans="1:25" x14ac:dyDescent="0.3">
      <c r="A1229" s="2">
        <v>45537</v>
      </c>
      <c r="B1229" t="s">
        <v>22</v>
      </c>
      <c r="C1229" s="4">
        <v>87.6</v>
      </c>
      <c r="D1229" s="4">
        <v>113.8</v>
      </c>
      <c r="E1229" s="4">
        <v>59.1</v>
      </c>
      <c r="F1229" s="4">
        <v>14.51</v>
      </c>
      <c r="G1229" s="4">
        <v>24</v>
      </c>
      <c r="H1229" s="4">
        <v>1.03</v>
      </c>
      <c r="I1229" s="4">
        <v>40.200000000000003</v>
      </c>
      <c r="J1229" s="4">
        <v>86</v>
      </c>
      <c r="K1229" s="4">
        <v>0.49</v>
      </c>
      <c r="L1229" s="4">
        <v>146</v>
      </c>
      <c r="M1229" s="4">
        <v>113.8</v>
      </c>
      <c r="N1229" s="4">
        <v>73.875</v>
      </c>
      <c r="O1229" s="4">
        <v>36.274999999999999</v>
      </c>
      <c r="P1229" s="4">
        <v>60</v>
      </c>
      <c r="Q1229" s="4">
        <v>51.500000000000007</v>
      </c>
      <c r="R1229" s="4">
        <v>146</v>
      </c>
      <c r="S1229" s="4" t="str" cm="1">
        <f t="array" ref="S1229">_xlfn.IFS($R1229&lt;=50,"Good",$R1229&lt;=100,"Moderate",$R1229&lt;=200,"Poor",$R1229&lt;=300,"Very Poor",$R1229&lt;=500,"Hazardous")</f>
        <v>Poor</v>
      </c>
      <c r="T1229" t="s">
        <v>25</v>
      </c>
      <c r="X1229" s="2"/>
      <c r="Y1229" s="2"/>
    </row>
    <row r="1230" spans="1:25" x14ac:dyDescent="0.3">
      <c r="A1230" s="2">
        <v>45537</v>
      </c>
      <c r="B1230" t="s">
        <v>23</v>
      </c>
      <c r="C1230" s="4">
        <v>71.599999999999994</v>
      </c>
      <c r="D1230" s="4">
        <v>120</v>
      </c>
      <c r="E1230" s="4">
        <v>61.5</v>
      </c>
      <c r="F1230" s="4">
        <v>4.28</v>
      </c>
      <c r="G1230" s="4">
        <v>19</v>
      </c>
      <c r="H1230" s="4">
        <v>0.79</v>
      </c>
      <c r="I1230" s="4">
        <v>21</v>
      </c>
      <c r="J1230" s="4">
        <v>74.7</v>
      </c>
      <c r="K1230" s="4">
        <v>1.08</v>
      </c>
      <c r="L1230" s="4">
        <v>119.3333333333333</v>
      </c>
      <c r="M1230" s="4">
        <v>120</v>
      </c>
      <c r="N1230" s="4">
        <v>76.875</v>
      </c>
      <c r="O1230" s="4">
        <v>10.7</v>
      </c>
      <c r="P1230" s="4">
        <v>47.5</v>
      </c>
      <c r="Q1230" s="4">
        <v>39.5</v>
      </c>
      <c r="R1230" s="4">
        <v>120</v>
      </c>
      <c r="S1230" s="4" t="str" cm="1">
        <f t="array" ref="S1230">_xlfn.IFS($R1230&lt;=50,"Good",$R1230&lt;=100,"Moderate",$R1230&lt;=200,"Poor",$R1230&lt;=300,"Very Poor",$R1230&lt;=500,"Hazardous")</f>
        <v>Poor</v>
      </c>
      <c r="T1230" t="s">
        <v>28</v>
      </c>
      <c r="X1230" s="2"/>
      <c r="Y1230" s="2"/>
    </row>
    <row r="1231" spans="1:25" x14ac:dyDescent="0.3">
      <c r="A1231" s="2">
        <v>45537</v>
      </c>
      <c r="B1231" t="s">
        <v>24</v>
      </c>
      <c r="C1231" s="4">
        <v>45.5</v>
      </c>
      <c r="D1231" s="4">
        <v>13.9</v>
      </c>
      <c r="E1231" s="4">
        <v>71.7</v>
      </c>
      <c r="F1231" s="4">
        <v>15.79</v>
      </c>
      <c r="G1231" s="4">
        <v>35</v>
      </c>
      <c r="H1231" s="4">
        <v>1.1200000000000001</v>
      </c>
      <c r="I1231" s="4">
        <v>28.2</v>
      </c>
      <c r="J1231" s="4">
        <v>86.5</v>
      </c>
      <c r="K1231" s="4">
        <v>3.49</v>
      </c>
      <c r="L1231" s="4">
        <v>75.833333333333343</v>
      </c>
      <c r="M1231" s="4">
        <v>13.9</v>
      </c>
      <c r="N1231" s="4">
        <v>89.625000000000014</v>
      </c>
      <c r="O1231" s="4">
        <v>39.474999999999987</v>
      </c>
      <c r="P1231" s="4">
        <v>87.5</v>
      </c>
      <c r="Q1231" s="4">
        <v>56.000000000000007</v>
      </c>
      <c r="R1231" s="4">
        <v>90</v>
      </c>
      <c r="S1231" s="4" t="str" cm="1">
        <f t="array" ref="S1231">_xlfn.IFS($R1231&lt;=50,"Good",$R1231&lt;=100,"Moderate",$R1231&lt;=200,"Poor",$R1231&lt;=300,"Very Poor",$R1231&lt;=500,"Hazardous")</f>
        <v>Moderate</v>
      </c>
      <c r="T1231" t="s">
        <v>26</v>
      </c>
      <c r="X1231" s="2"/>
      <c r="Y1231" s="2"/>
    </row>
    <row r="1232" spans="1:25" x14ac:dyDescent="0.3">
      <c r="A1232" s="2">
        <v>45538</v>
      </c>
      <c r="B1232" t="s">
        <v>20</v>
      </c>
      <c r="C1232" s="4">
        <v>44.9</v>
      </c>
      <c r="D1232" s="4">
        <v>26.3</v>
      </c>
      <c r="E1232" s="4">
        <v>26.1</v>
      </c>
      <c r="F1232" s="4">
        <v>9.6199999999999992</v>
      </c>
      <c r="G1232" s="4">
        <v>27.2</v>
      </c>
      <c r="H1232" s="4">
        <v>1.51</v>
      </c>
      <c r="I1232" s="4">
        <v>21.1</v>
      </c>
      <c r="J1232" s="4">
        <v>41</v>
      </c>
      <c r="K1232" s="4">
        <v>1.0900000000000001</v>
      </c>
      <c r="L1232" s="4">
        <v>74.833333333333329</v>
      </c>
      <c r="M1232" s="4">
        <v>26.3</v>
      </c>
      <c r="N1232" s="4">
        <v>32.625</v>
      </c>
      <c r="O1232" s="4">
        <v>24.05</v>
      </c>
      <c r="P1232" s="4">
        <v>68</v>
      </c>
      <c r="Q1232" s="4">
        <v>75.5</v>
      </c>
      <c r="R1232" s="4">
        <v>76</v>
      </c>
      <c r="S1232" s="4" t="str" cm="1">
        <f t="array" ref="S1232">_xlfn.IFS($R1232&lt;=50,"Good",$R1232&lt;=100,"Moderate",$R1232&lt;=200,"Poor",$R1232&lt;=300,"Very Poor",$R1232&lt;=500,"Hazardous")</f>
        <v>Moderate</v>
      </c>
      <c r="T1232" t="s">
        <v>29</v>
      </c>
      <c r="X1232" s="2"/>
      <c r="Y1232" s="2"/>
    </row>
    <row r="1233" spans="1:25" x14ac:dyDescent="0.3">
      <c r="A1233" s="2">
        <v>45538</v>
      </c>
      <c r="B1233" t="s">
        <v>21</v>
      </c>
      <c r="C1233" s="4">
        <v>133.6</v>
      </c>
      <c r="D1233" s="4">
        <v>216.7</v>
      </c>
      <c r="E1233" s="4">
        <v>99.5</v>
      </c>
      <c r="F1233" s="4">
        <v>13.37</v>
      </c>
      <c r="G1233" s="4">
        <v>36.6</v>
      </c>
      <c r="H1233" s="4">
        <v>2.4900000000000002</v>
      </c>
      <c r="I1233" s="4">
        <v>24.8</v>
      </c>
      <c r="J1233" s="4">
        <v>64</v>
      </c>
      <c r="K1233" s="4">
        <v>2.4500000000000002</v>
      </c>
      <c r="L1233" s="4">
        <v>222.66666666666671</v>
      </c>
      <c r="M1233" s="4">
        <v>216.7</v>
      </c>
      <c r="N1233" s="4">
        <v>124.375</v>
      </c>
      <c r="O1233" s="4">
        <v>33.424999999999997</v>
      </c>
      <c r="P1233" s="4">
        <v>91.5</v>
      </c>
      <c r="Q1233" s="4">
        <v>124.5</v>
      </c>
      <c r="R1233" s="4">
        <v>223</v>
      </c>
      <c r="S1233" s="4" t="str" cm="1">
        <f t="array" ref="S1233">_xlfn.IFS($R1233&lt;=50,"Good",$R1233&lt;=100,"Moderate",$R1233&lt;=200,"Poor",$R1233&lt;=300,"Very Poor",$R1233&lt;=500,"Hazardous")</f>
        <v>Very Poor</v>
      </c>
      <c r="T1233" t="s">
        <v>25</v>
      </c>
      <c r="X1233" s="2"/>
      <c r="Y1233" s="2"/>
    </row>
    <row r="1234" spans="1:25" x14ac:dyDescent="0.3">
      <c r="A1234" s="2">
        <v>45538</v>
      </c>
      <c r="B1234" t="s">
        <v>22</v>
      </c>
      <c r="C1234" s="4">
        <v>2</v>
      </c>
      <c r="D1234" s="4">
        <v>205.5</v>
      </c>
      <c r="E1234" s="4">
        <v>52.1</v>
      </c>
      <c r="F1234" s="4">
        <v>9.17</v>
      </c>
      <c r="G1234" s="4">
        <v>36.5</v>
      </c>
      <c r="H1234" s="4">
        <v>1.23</v>
      </c>
      <c r="I1234" s="4">
        <v>20.8</v>
      </c>
      <c r="J1234" s="4">
        <v>71.099999999999994</v>
      </c>
      <c r="K1234" s="4">
        <v>0.93</v>
      </c>
      <c r="L1234" s="4">
        <v>3.333333333333333</v>
      </c>
      <c r="M1234" s="4">
        <v>205.5</v>
      </c>
      <c r="N1234" s="4">
        <v>65.125</v>
      </c>
      <c r="O1234" s="4">
        <v>22.925000000000001</v>
      </c>
      <c r="P1234" s="4">
        <v>91.25</v>
      </c>
      <c r="Q1234" s="4">
        <v>61.5</v>
      </c>
      <c r="R1234" s="4">
        <v>206</v>
      </c>
      <c r="S1234" s="4" t="str" cm="1">
        <f t="array" ref="S1234">_xlfn.IFS($R1234&lt;=50,"Good",$R1234&lt;=100,"Moderate",$R1234&lt;=200,"Poor",$R1234&lt;=300,"Very Poor",$R1234&lt;=500,"Hazardous")</f>
        <v>Very Poor</v>
      </c>
      <c r="T1234" t="s">
        <v>28</v>
      </c>
      <c r="X1234" s="2"/>
      <c r="Y1234" s="2"/>
    </row>
    <row r="1235" spans="1:25" x14ac:dyDescent="0.3">
      <c r="A1235" s="2">
        <v>45538</v>
      </c>
      <c r="B1235" t="s">
        <v>23</v>
      </c>
      <c r="C1235" s="4">
        <v>65.599999999999994</v>
      </c>
      <c r="D1235" s="4">
        <v>153.69999999999999</v>
      </c>
      <c r="E1235" s="4">
        <v>41</v>
      </c>
      <c r="F1235" s="4">
        <v>9.85</v>
      </c>
      <c r="G1235" s="4">
        <v>15.2</v>
      </c>
      <c r="H1235" s="4">
        <v>0.62</v>
      </c>
      <c r="I1235" s="4">
        <v>26.7</v>
      </c>
      <c r="J1235" s="4">
        <v>72.2</v>
      </c>
      <c r="K1235" s="4">
        <v>0.25</v>
      </c>
      <c r="L1235" s="4">
        <v>109.3333333333333</v>
      </c>
      <c r="M1235" s="4">
        <v>153.69999999999999</v>
      </c>
      <c r="N1235" s="4">
        <v>51.25</v>
      </c>
      <c r="O1235" s="4">
        <v>24.625</v>
      </c>
      <c r="P1235" s="4">
        <v>38</v>
      </c>
      <c r="Q1235" s="4">
        <v>31</v>
      </c>
      <c r="R1235" s="4">
        <v>154</v>
      </c>
      <c r="S1235" s="4" t="str" cm="1">
        <f t="array" ref="S1235">_xlfn.IFS($R1235&lt;=50,"Good",$R1235&lt;=100,"Moderate",$R1235&lt;=200,"Poor",$R1235&lt;=300,"Very Poor",$R1235&lt;=500,"Hazardous")</f>
        <v>Poor</v>
      </c>
      <c r="T1235" t="s">
        <v>28</v>
      </c>
      <c r="X1235" s="2"/>
      <c r="Y1235" s="2"/>
    </row>
    <row r="1236" spans="1:25" x14ac:dyDescent="0.3">
      <c r="A1236" s="2">
        <v>45538</v>
      </c>
      <c r="B1236" t="s">
        <v>24</v>
      </c>
      <c r="C1236" s="4">
        <v>83.2</v>
      </c>
      <c r="D1236" s="4">
        <v>96.1</v>
      </c>
      <c r="E1236" s="4">
        <v>45.3</v>
      </c>
      <c r="F1236" s="4">
        <v>1.43</v>
      </c>
      <c r="G1236" s="4">
        <v>20.6</v>
      </c>
      <c r="H1236" s="4">
        <v>1.96</v>
      </c>
      <c r="I1236" s="4">
        <v>25.2</v>
      </c>
      <c r="J1236" s="4">
        <v>53.1</v>
      </c>
      <c r="K1236" s="4">
        <v>2.86</v>
      </c>
      <c r="L1236" s="4">
        <v>138.66666666666671</v>
      </c>
      <c r="M1236" s="4">
        <v>96.1</v>
      </c>
      <c r="N1236" s="4">
        <v>56.624999999999993</v>
      </c>
      <c r="O1236" s="4">
        <v>3.5750000000000002</v>
      </c>
      <c r="P1236" s="4">
        <v>51.500000000000007</v>
      </c>
      <c r="Q1236" s="4">
        <v>98</v>
      </c>
      <c r="R1236" s="4">
        <v>139</v>
      </c>
      <c r="S1236" s="4" t="str" cm="1">
        <f t="array" ref="S1236">_xlfn.IFS($R1236&lt;=50,"Good",$R1236&lt;=100,"Moderate",$R1236&lt;=200,"Poor",$R1236&lt;=300,"Very Poor",$R1236&lt;=500,"Hazardous")</f>
        <v>Poor</v>
      </c>
      <c r="T1236" t="s">
        <v>25</v>
      </c>
      <c r="X1236" s="2"/>
      <c r="Y1236" s="2"/>
    </row>
    <row r="1237" spans="1:25" x14ac:dyDescent="0.3">
      <c r="A1237" s="2">
        <v>45539</v>
      </c>
      <c r="B1237" t="s">
        <v>20</v>
      </c>
      <c r="C1237" s="4">
        <v>85.9</v>
      </c>
      <c r="D1237" s="4">
        <v>168.4</v>
      </c>
      <c r="E1237" s="4">
        <v>50</v>
      </c>
      <c r="F1237" s="4">
        <v>15.48</v>
      </c>
      <c r="G1237" s="4">
        <v>73.900000000000006</v>
      </c>
      <c r="H1237" s="4">
        <v>1.67</v>
      </c>
      <c r="I1237" s="4">
        <v>25.4</v>
      </c>
      <c r="J1237" s="4">
        <v>71.8</v>
      </c>
      <c r="K1237" s="4">
        <v>2.88</v>
      </c>
      <c r="L1237" s="4">
        <v>143.16666666666671</v>
      </c>
      <c r="M1237" s="4">
        <v>168.4</v>
      </c>
      <c r="N1237" s="4">
        <v>62.5</v>
      </c>
      <c r="O1237" s="4">
        <v>38.700000000000003</v>
      </c>
      <c r="P1237" s="4">
        <v>184.75</v>
      </c>
      <c r="Q1237" s="4">
        <v>83.499999999999986</v>
      </c>
      <c r="R1237" s="4">
        <v>185</v>
      </c>
      <c r="S1237" s="4" t="str" cm="1">
        <f t="array" ref="S1237">_xlfn.IFS($R1237&lt;=50,"Good",$R1237&lt;=100,"Moderate",$R1237&lt;=200,"Poor",$R1237&lt;=300,"Very Poor",$R1237&lt;=500,"Hazardous")</f>
        <v>Poor</v>
      </c>
      <c r="T1237" t="s">
        <v>27</v>
      </c>
      <c r="X1237" s="2"/>
      <c r="Y1237" s="2"/>
    </row>
    <row r="1238" spans="1:25" x14ac:dyDescent="0.3">
      <c r="A1238" s="2">
        <v>45539</v>
      </c>
      <c r="B1238" t="s">
        <v>21</v>
      </c>
      <c r="C1238" s="4">
        <v>114.8</v>
      </c>
      <c r="D1238" s="4">
        <v>217.5</v>
      </c>
      <c r="E1238" s="4">
        <v>30.8</v>
      </c>
      <c r="F1238" s="4">
        <v>3.21</v>
      </c>
      <c r="G1238" s="4">
        <v>28.1</v>
      </c>
      <c r="H1238" s="4">
        <v>2.23</v>
      </c>
      <c r="I1238" s="4">
        <v>14</v>
      </c>
      <c r="J1238" s="4">
        <v>67.099999999999994</v>
      </c>
      <c r="K1238" s="4">
        <v>2.94</v>
      </c>
      <c r="L1238" s="4">
        <v>191.33333333333329</v>
      </c>
      <c r="M1238" s="4">
        <v>217.5</v>
      </c>
      <c r="N1238" s="4">
        <v>38.5</v>
      </c>
      <c r="O1238" s="4">
        <v>8.0249999999999986</v>
      </c>
      <c r="P1238" s="4">
        <v>70.25</v>
      </c>
      <c r="Q1238" s="4">
        <v>111.5</v>
      </c>
      <c r="R1238" s="4">
        <v>218</v>
      </c>
      <c r="S1238" s="4" t="str" cm="1">
        <f t="array" ref="S1238">_xlfn.IFS($R1238&lt;=50,"Good",$R1238&lt;=100,"Moderate",$R1238&lt;=200,"Poor",$R1238&lt;=300,"Very Poor",$R1238&lt;=500,"Hazardous")</f>
        <v>Very Poor</v>
      </c>
      <c r="T1238" t="s">
        <v>28</v>
      </c>
      <c r="X1238" s="2"/>
      <c r="Y1238" s="2"/>
    </row>
    <row r="1239" spans="1:25" x14ac:dyDescent="0.3">
      <c r="A1239" s="2">
        <v>45539</v>
      </c>
      <c r="B1239" t="s">
        <v>22</v>
      </c>
      <c r="C1239" s="4">
        <v>90.1</v>
      </c>
      <c r="D1239" s="4">
        <v>124.3</v>
      </c>
      <c r="E1239" s="4">
        <v>17.2</v>
      </c>
      <c r="F1239" s="4">
        <v>3.04</v>
      </c>
      <c r="G1239" s="4">
        <v>9.9</v>
      </c>
      <c r="H1239" s="4">
        <v>0.83</v>
      </c>
      <c r="I1239" s="4">
        <v>23.7</v>
      </c>
      <c r="J1239" s="4">
        <v>39</v>
      </c>
      <c r="K1239" s="4">
        <v>4.26</v>
      </c>
      <c r="L1239" s="4">
        <v>150.16666666666671</v>
      </c>
      <c r="M1239" s="4">
        <v>124.3</v>
      </c>
      <c r="N1239" s="4">
        <v>21.5</v>
      </c>
      <c r="O1239" s="4">
        <v>7.6</v>
      </c>
      <c r="P1239" s="4">
        <v>24.75</v>
      </c>
      <c r="Q1239" s="4">
        <v>41.499999999999993</v>
      </c>
      <c r="R1239" s="4">
        <v>150</v>
      </c>
      <c r="S1239" s="4" t="str" cm="1">
        <f t="array" ref="S1239">_xlfn.IFS($R1239&lt;=50,"Good",$R1239&lt;=100,"Moderate",$R1239&lt;=200,"Poor",$R1239&lt;=300,"Very Poor",$R1239&lt;=500,"Hazardous")</f>
        <v>Poor</v>
      </c>
      <c r="T1239" t="s">
        <v>25</v>
      </c>
      <c r="X1239" s="2"/>
      <c r="Y1239" s="2"/>
    </row>
    <row r="1240" spans="1:25" x14ac:dyDescent="0.3">
      <c r="A1240" s="2">
        <v>45539</v>
      </c>
      <c r="B1240" t="s">
        <v>23</v>
      </c>
      <c r="C1240" s="4">
        <v>20.2</v>
      </c>
      <c r="D1240" s="4">
        <v>200.8</v>
      </c>
      <c r="E1240" s="4">
        <v>68.7</v>
      </c>
      <c r="F1240" s="4">
        <v>12.49</v>
      </c>
      <c r="G1240" s="4">
        <v>22.7</v>
      </c>
      <c r="H1240" s="4">
        <v>1.41</v>
      </c>
      <c r="I1240" s="4">
        <v>16.100000000000001</v>
      </c>
      <c r="J1240" s="4">
        <v>76.400000000000006</v>
      </c>
      <c r="K1240" s="4">
        <v>2.41</v>
      </c>
      <c r="L1240" s="4">
        <v>33.666666666666657</v>
      </c>
      <c r="M1240" s="4">
        <v>200.8</v>
      </c>
      <c r="N1240" s="4">
        <v>85.875</v>
      </c>
      <c r="O1240" s="4">
        <v>31.225000000000001</v>
      </c>
      <c r="P1240" s="4">
        <v>56.749999999999993</v>
      </c>
      <c r="Q1240" s="4">
        <v>70.5</v>
      </c>
      <c r="R1240" s="4">
        <v>201</v>
      </c>
      <c r="S1240" s="4" t="str" cm="1">
        <f t="array" ref="S1240">_xlfn.IFS($R1240&lt;=50,"Good",$R1240&lt;=100,"Moderate",$R1240&lt;=200,"Poor",$R1240&lt;=300,"Very Poor",$R1240&lt;=500,"Hazardous")</f>
        <v>Very Poor</v>
      </c>
      <c r="T1240" t="s">
        <v>28</v>
      </c>
      <c r="X1240" s="2"/>
      <c r="Y1240" s="2"/>
    </row>
    <row r="1241" spans="1:25" x14ac:dyDescent="0.3">
      <c r="A1241" s="2">
        <v>45539</v>
      </c>
      <c r="B1241" t="s">
        <v>24</v>
      </c>
      <c r="C1241" s="4">
        <v>52.5</v>
      </c>
      <c r="D1241" s="4">
        <v>51.2</v>
      </c>
      <c r="E1241" s="4">
        <v>2</v>
      </c>
      <c r="F1241" s="4">
        <v>3.09</v>
      </c>
      <c r="G1241" s="4">
        <v>74.599999999999994</v>
      </c>
      <c r="H1241" s="4">
        <v>1.05</v>
      </c>
      <c r="I1241" s="4">
        <v>23.8</v>
      </c>
      <c r="J1241" s="4">
        <v>71.8</v>
      </c>
      <c r="K1241" s="4">
        <v>5.17</v>
      </c>
      <c r="L1241" s="4">
        <v>87.5</v>
      </c>
      <c r="M1241" s="4">
        <v>51.2</v>
      </c>
      <c r="N1241" s="4">
        <v>2.5</v>
      </c>
      <c r="O1241" s="4">
        <v>7.7249999999999996</v>
      </c>
      <c r="P1241" s="4">
        <v>186.5</v>
      </c>
      <c r="Q1241" s="4">
        <v>52.500000000000007</v>
      </c>
      <c r="R1241" s="4">
        <v>186</v>
      </c>
      <c r="S1241" s="4" t="str" cm="1">
        <f t="array" ref="S1241">_xlfn.IFS($R1241&lt;=50,"Good",$R1241&lt;=100,"Moderate",$R1241&lt;=200,"Poor",$R1241&lt;=300,"Very Poor",$R1241&lt;=500,"Hazardous")</f>
        <v>Poor</v>
      </c>
      <c r="T1241" t="s">
        <v>27</v>
      </c>
      <c r="X1241" s="2"/>
      <c r="Y1241" s="2"/>
    </row>
    <row r="1242" spans="1:25" x14ac:dyDescent="0.3">
      <c r="A1242" s="2">
        <v>45540</v>
      </c>
      <c r="B1242" t="s">
        <v>20</v>
      </c>
      <c r="C1242" s="4">
        <v>114.7</v>
      </c>
      <c r="D1242" s="4">
        <v>70.900000000000006</v>
      </c>
      <c r="E1242" s="4">
        <v>7.1</v>
      </c>
      <c r="F1242" s="4">
        <v>22.77</v>
      </c>
      <c r="G1242" s="4">
        <v>111.2</v>
      </c>
      <c r="H1242" s="4">
        <v>1.51</v>
      </c>
      <c r="I1242" s="4">
        <v>16.100000000000001</v>
      </c>
      <c r="J1242" s="4">
        <v>77.3</v>
      </c>
      <c r="K1242" s="4">
        <v>2.37</v>
      </c>
      <c r="L1242" s="4">
        <v>191.16666666666671</v>
      </c>
      <c r="M1242" s="4">
        <v>70.900000000000006</v>
      </c>
      <c r="N1242" s="4">
        <v>8.875</v>
      </c>
      <c r="O1242" s="4">
        <v>56.924999999999997</v>
      </c>
      <c r="P1242" s="4">
        <v>278</v>
      </c>
      <c r="Q1242" s="4">
        <v>75.5</v>
      </c>
      <c r="R1242" s="4">
        <v>278</v>
      </c>
      <c r="S1242" s="4" t="str" cm="1">
        <f t="array" ref="S1242">_xlfn.IFS($R1242&lt;=50,"Good",$R1242&lt;=100,"Moderate",$R1242&lt;=200,"Poor",$R1242&lt;=300,"Very Poor",$R1242&lt;=500,"Hazardous")</f>
        <v>Very Poor</v>
      </c>
      <c r="T1242" t="s">
        <v>27</v>
      </c>
      <c r="X1242" s="2"/>
      <c r="Y1242" s="2"/>
    </row>
    <row r="1243" spans="1:25" x14ac:dyDescent="0.3">
      <c r="A1243" s="2">
        <v>45540</v>
      </c>
      <c r="B1243" t="s">
        <v>21</v>
      </c>
      <c r="C1243" s="4">
        <v>70.8</v>
      </c>
      <c r="D1243" s="4">
        <v>217.1</v>
      </c>
      <c r="E1243" s="4">
        <v>64.599999999999994</v>
      </c>
      <c r="F1243" s="4">
        <v>2.59</v>
      </c>
      <c r="G1243" s="4">
        <v>39.9</v>
      </c>
      <c r="H1243" s="4">
        <v>2</v>
      </c>
      <c r="I1243" s="4">
        <v>28.6</v>
      </c>
      <c r="J1243" s="4">
        <v>64.7</v>
      </c>
      <c r="K1243" s="4">
        <v>3.62</v>
      </c>
      <c r="L1243" s="4">
        <v>118</v>
      </c>
      <c r="M1243" s="4">
        <v>217.1</v>
      </c>
      <c r="N1243" s="4">
        <v>80.749999999999986</v>
      </c>
      <c r="O1243" s="4">
        <v>6.4749999999999996</v>
      </c>
      <c r="P1243" s="4">
        <v>99.749999999999986</v>
      </c>
      <c r="Q1243" s="4">
        <v>100</v>
      </c>
      <c r="R1243" s="4">
        <v>217</v>
      </c>
      <c r="S1243" s="4" t="str" cm="1">
        <f t="array" ref="S1243">_xlfn.IFS($R1243&lt;=50,"Good",$R1243&lt;=100,"Moderate",$R1243&lt;=200,"Poor",$R1243&lt;=300,"Very Poor",$R1243&lt;=500,"Hazardous")</f>
        <v>Very Poor</v>
      </c>
      <c r="T1243" t="s">
        <v>28</v>
      </c>
      <c r="X1243" s="2"/>
      <c r="Y1243" s="2"/>
    </row>
    <row r="1244" spans="1:25" x14ac:dyDescent="0.3">
      <c r="A1244" s="2">
        <v>45540</v>
      </c>
      <c r="B1244" t="s">
        <v>22</v>
      </c>
      <c r="C1244" s="4">
        <v>46.7</v>
      </c>
      <c r="D1244" s="4">
        <v>124.2</v>
      </c>
      <c r="E1244" s="4">
        <v>2</v>
      </c>
      <c r="F1244" s="4">
        <v>5.46</v>
      </c>
      <c r="G1244" s="4">
        <v>56.1</v>
      </c>
      <c r="H1244" s="4">
        <v>0.92</v>
      </c>
      <c r="I1244" s="4">
        <v>21.7</v>
      </c>
      <c r="J1244" s="4">
        <v>41.3</v>
      </c>
      <c r="K1244" s="4">
        <v>3.7</v>
      </c>
      <c r="L1244" s="4">
        <v>77.833333333333343</v>
      </c>
      <c r="M1244" s="4">
        <v>124.2</v>
      </c>
      <c r="N1244" s="4">
        <v>2.5</v>
      </c>
      <c r="O1244" s="4">
        <v>13.65</v>
      </c>
      <c r="P1244" s="4">
        <v>140.25</v>
      </c>
      <c r="Q1244" s="4">
        <v>46</v>
      </c>
      <c r="R1244" s="4">
        <v>140</v>
      </c>
      <c r="S1244" s="4" t="str" cm="1">
        <f t="array" ref="S1244">_xlfn.IFS($R1244&lt;=50,"Good",$R1244&lt;=100,"Moderate",$R1244&lt;=200,"Poor",$R1244&lt;=300,"Very Poor",$R1244&lt;=500,"Hazardous")</f>
        <v>Poor</v>
      </c>
      <c r="T1244" t="s">
        <v>27</v>
      </c>
      <c r="X1244" s="2"/>
      <c r="Y1244" s="2"/>
    </row>
    <row r="1245" spans="1:25" x14ac:dyDescent="0.3">
      <c r="A1245" s="2">
        <v>45540</v>
      </c>
      <c r="B1245" t="s">
        <v>23</v>
      </c>
      <c r="C1245" s="4">
        <v>76.5</v>
      </c>
      <c r="D1245" s="4">
        <v>169.5</v>
      </c>
      <c r="E1245" s="4">
        <v>10.5</v>
      </c>
      <c r="F1245" s="4">
        <v>7.2</v>
      </c>
      <c r="G1245" s="4">
        <v>33</v>
      </c>
      <c r="H1245" s="4">
        <v>1.03</v>
      </c>
      <c r="I1245" s="4">
        <v>20.7</v>
      </c>
      <c r="J1245" s="4">
        <v>53.8</v>
      </c>
      <c r="K1245" s="4">
        <v>3.52</v>
      </c>
      <c r="L1245" s="4">
        <v>127.5</v>
      </c>
      <c r="M1245" s="4">
        <v>169.5</v>
      </c>
      <c r="N1245" s="4">
        <v>13.125</v>
      </c>
      <c r="O1245" s="4">
        <v>18</v>
      </c>
      <c r="P1245" s="4">
        <v>82.5</v>
      </c>
      <c r="Q1245" s="4">
        <v>51.500000000000007</v>
      </c>
      <c r="R1245" s="4">
        <v>170</v>
      </c>
      <c r="S1245" s="4" t="str" cm="1">
        <f t="array" ref="S1245">_xlfn.IFS($R1245&lt;=50,"Good",$R1245&lt;=100,"Moderate",$R1245&lt;=200,"Poor",$R1245&lt;=300,"Very Poor",$R1245&lt;=500,"Hazardous")</f>
        <v>Poor</v>
      </c>
      <c r="T1245" t="s">
        <v>28</v>
      </c>
      <c r="X1245" s="2"/>
      <c r="Y1245" s="2"/>
    </row>
    <row r="1246" spans="1:25" x14ac:dyDescent="0.3">
      <c r="A1246" s="2">
        <v>45540</v>
      </c>
      <c r="B1246" t="s">
        <v>24</v>
      </c>
      <c r="C1246" s="4">
        <v>2.9</v>
      </c>
      <c r="D1246" s="4">
        <v>249.3</v>
      </c>
      <c r="E1246" s="4">
        <v>60.1</v>
      </c>
      <c r="F1246" s="4">
        <v>8.57</v>
      </c>
      <c r="G1246" s="4">
        <v>68.900000000000006</v>
      </c>
      <c r="H1246" s="4">
        <v>0.36</v>
      </c>
      <c r="I1246" s="4">
        <v>20.3</v>
      </c>
      <c r="J1246" s="4">
        <v>57.8</v>
      </c>
      <c r="K1246" s="4">
        <v>4.6399999999999997</v>
      </c>
      <c r="L1246" s="4">
        <v>4.8333333333333339</v>
      </c>
      <c r="M1246" s="4">
        <v>249.3</v>
      </c>
      <c r="N1246" s="4">
        <v>75.125</v>
      </c>
      <c r="O1246" s="4">
        <v>21.425000000000001</v>
      </c>
      <c r="P1246" s="4">
        <v>172.25</v>
      </c>
      <c r="Q1246" s="4">
        <v>18</v>
      </c>
      <c r="R1246" s="4">
        <v>249</v>
      </c>
      <c r="S1246" s="4" t="str" cm="1">
        <f t="array" ref="S1246">_xlfn.IFS($R1246&lt;=50,"Good",$R1246&lt;=100,"Moderate",$R1246&lt;=200,"Poor",$R1246&lt;=300,"Very Poor",$R1246&lt;=500,"Hazardous")</f>
        <v>Very Poor</v>
      </c>
      <c r="T1246" t="s">
        <v>28</v>
      </c>
      <c r="X1246" s="2"/>
      <c r="Y1246" s="2"/>
    </row>
    <row r="1247" spans="1:25" x14ac:dyDescent="0.3">
      <c r="A1247" s="2">
        <v>45541</v>
      </c>
      <c r="B1247" t="s">
        <v>20</v>
      </c>
      <c r="C1247" s="4">
        <v>67.400000000000006</v>
      </c>
      <c r="D1247" s="4">
        <v>169.1</v>
      </c>
      <c r="E1247" s="4">
        <v>38.200000000000003</v>
      </c>
      <c r="F1247" s="4">
        <v>12</v>
      </c>
      <c r="G1247" s="4">
        <v>94.2</v>
      </c>
      <c r="H1247" s="4">
        <v>2.0699999999999998</v>
      </c>
      <c r="I1247" s="4">
        <v>24.4</v>
      </c>
      <c r="J1247" s="4">
        <v>72.2</v>
      </c>
      <c r="K1247" s="4">
        <v>3.19</v>
      </c>
      <c r="L1247" s="4">
        <v>112.3333333333333</v>
      </c>
      <c r="M1247" s="4">
        <v>169.1</v>
      </c>
      <c r="N1247" s="4">
        <v>47.75</v>
      </c>
      <c r="O1247" s="4">
        <v>30</v>
      </c>
      <c r="P1247" s="4">
        <v>235.5</v>
      </c>
      <c r="Q1247" s="4">
        <v>103.5</v>
      </c>
      <c r="R1247" s="4">
        <v>236</v>
      </c>
      <c r="S1247" s="4" t="str" cm="1">
        <f t="array" ref="S1247">_xlfn.IFS($R1247&lt;=50,"Good",$R1247&lt;=100,"Moderate",$R1247&lt;=200,"Poor",$R1247&lt;=300,"Very Poor",$R1247&lt;=500,"Hazardous")</f>
        <v>Very Poor</v>
      </c>
      <c r="T1247" t="s">
        <v>27</v>
      </c>
      <c r="X1247" s="2"/>
      <c r="Y1247" s="2"/>
    </row>
    <row r="1248" spans="1:25" x14ac:dyDescent="0.3">
      <c r="A1248" s="2">
        <v>45541</v>
      </c>
      <c r="B1248" t="s">
        <v>21</v>
      </c>
      <c r="C1248" s="4">
        <v>94</v>
      </c>
      <c r="D1248" s="4">
        <v>233.4</v>
      </c>
      <c r="E1248" s="4">
        <v>83.9</v>
      </c>
      <c r="F1248" s="4">
        <v>9.2100000000000009</v>
      </c>
      <c r="G1248" s="4">
        <v>70.099999999999994</v>
      </c>
      <c r="H1248" s="4">
        <v>1.21</v>
      </c>
      <c r="I1248" s="4">
        <v>18.5</v>
      </c>
      <c r="J1248" s="4">
        <v>55.1</v>
      </c>
      <c r="K1248" s="4">
        <v>2.41</v>
      </c>
      <c r="L1248" s="4">
        <v>156.66666666666671</v>
      </c>
      <c r="M1248" s="4">
        <v>233.4</v>
      </c>
      <c r="N1248" s="4">
        <v>104.875</v>
      </c>
      <c r="O1248" s="4">
        <v>23.024999999999999</v>
      </c>
      <c r="P1248" s="4">
        <v>175.25</v>
      </c>
      <c r="Q1248" s="4">
        <v>60.5</v>
      </c>
      <c r="R1248" s="4">
        <v>233</v>
      </c>
      <c r="S1248" s="4" t="str" cm="1">
        <f t="array" ref="S1248">_xlfn.IFS($R1248&lt;=50,"Good",$R1248&lt;=100,"Moderate",$R1248&lt;=200,"Poor",$R1248&lt;=300,"Very Poor",$R1248&lt;=500,"Hazardous")</f>
        <v>Very Poor</v>
      </c>
      <c r="T1248" t="s">
        <v>28</v>
      </c>
      <c r="X1248" s="2"/>
      <c r="Y1248" s="2"/>
    </row>
    <row r="1249" spans="1:25" x14ac:dyDescent="0.3">
      <c r="A1249" s="2">
        <v>45541</v>
      </c>
      <c r="B1249" t="s">
        <v>22</v>
      </c>
      <c r="C1249" s="4">
        <v>9.6</v>
      </c>
      <c r="D1249" s="4">
        <v>163</v>
      </c>
      <c r="E1249" s="4">
        <v>2</v>
      </c>
      <c r="F1249" s="4">
        <v>20.5</v>
      </c>
      <c r="G1249" s="4">
        <v>73.7</v>
      </c>
      <c r="H1249" s="4">
        <v>0.99</v>
      </c>
      <c r="I1249" s="4">
        <v>25.1</v>
      </c>
      <c r="J1249" s="4">
        <v>65.5</v>
      </c>
      <c r="K1249" s="4">
        <v>1.79</v>
      </c>
      <c r="L1249" s="4">
        <v>16</v>
      </c>
      <c r="M1249" s="4">
        <v>163</v>
      </c>
      <c r="N1249" s="4">
        <v>2.5</v>
      </c>
      <c r="O1249" s="4">
        <v>51.25</v>
      </c>
      <c r="P1249" s="4">
        <v>184.25</v>
      </c>
      <c r="Q1249" s="4">
        <v>49.5</v>
      </c>
      <c r="R1249" s="4">
        <v>184</v>
      </c>
      <c r="S1249" s="4" t="str" cm="1">
        <f t="array" ref="S1249">_xlfn.IFS($R1249&lt;=50,"Good",$R1249&lt;=100,"Moderate",$R1249&lt;=200,"Poor",$R1249&lt;=300,"Very Poor",$R1249&lt;=500,"Hazardous")</f>
        <v>Poor</v>
      </c>
      <c r="T1249" t="s">
        <v>27</v>
      </c>
      <c r="X1249" s="2"/>
      <c r="Y1249" s="2"/>
    </row>
    <row r="1250" spans="1:25" x14ac:dyDescent="0.3">
      <c r="A1250" s="2">
        <v>45541</v>
      </c>
      <c r="B1250" t="s">
        <v>23</v>
      </c>
      <c r="C1250" s="4">
        <v>65.8</v>
      </c>
      <c r="D1250" s="4">
        <v>111.4</v>
      </c>
      <c r="E1250" s="4">
        <v>43.1</v>
      </c>
      <c r="F1250" s="4">
        <v>8.91</v>
      </c>
      <c r="G1250" s="4">
        <v>7.2</v>
      </c>
      <c r="H1250" s="4">
        <v>1.22</v>
      </c>
      <c r="I1250" s="4">
        <v>26.1</v>
      </c>
      <c r="J1250" s="4">
        <v>62.3</v>
      </c>
      <c r="K1250" s="4">
        <v>2.2400000000000002</v>
      </c>
      <c r="L1250" s="4">
        <v>109.6666666666667</v>
      </c>
      <c r="M1250" s="4">
        <v>111.4</v>
      </c>
      <c r="N1250" s="4">
        <v>53.875</v>
      </c>
      <c r="O1250" s="4">
        <v>22.274999999999999</v>
      </c>
      <c r="P1250" s="4">
        <v>18</v>
      </c>
      <c r="Q1250" s="4">
        <v>61</v>
      </c>
      <c r="R1250" s="4">
        <v>111</v>
      </c>
      <c r="S1250" s="4" t="str" cm="1">
        <f t="array" ref="S1250">_xlfn.IFS($R1250&lt;=50,"Good",$R1250&lt;=100,"Moderate",$R1250&lt;=200,"Poor",$R1250&lt;=300,"Very Poor",$R1250&lt;=500,"Hazardous")</f>
        <v>Poor</v>
      </c>
      <c r="T1250" t="s">
        <v>28</v>
      </c>
      <c r="X1250" s="2"/>
      <c r="Y1250" s="2"/>
    </row>
    <row r="1251" spans="1:25" x14ac:dyDescent="0.3">
      <c r="A1251" s="2">
        <v>45541</v>
      </c>
      <c r="B1251" t="s">
        <v>24</v>
      </c>
      <c r="C1251" s="4">
        <v>103.5</v>
      </c>
      <c r="D1251" s="4">
        <v>108.7</v>
      </c>
      <c r="E1251" s="4">
        <v>54.5</v>
      </c>
      <c r="F1251" s="4">
        <v>15.94</v>
      </c>
      <c r="G1251" s="4">
        <v>41.8</v>
      </c>
      <c r="H1251" s="4">
        <v>1.46</v>
      </c>
      <c r="I1251" s="4">
        <v>24.3</v>
      </c>
      <c r="J1251" s="4">
        <v>82.3</v>
      </c>
      <c r="K1251" s="4">
        <v>2.69</v>
      </c>
      <c r="L1251" s="4">
        <v>172.5</v>
      </c>
      <c r="M1251" s="4">
        <v>108.7</v>
      </c>
      <c r="N1251" s="4">
        <v>68.125</v>
      </c>
      <c r="O1251" s="4">
        <v>39.849999999999987</v>
      </c>
      <c r="P1251" s="4">
        <v>104.5</v>
      </c>
      <c r="Q1251" s="4">
        <v>73</v>
      </c>
      <c r="R1251" s="4">
        <v>172</v>
      </c>
      <c r="S1251" s="4" t="str" cm="1">
        <f t="array" ref="S1251">_xlfn.IFS($R1251&lt;=50,"Good",$R1251&lt;=100,"Moderate",$R1251&lt;=200,"Poor",$R1251&lt;=300,"Very Poor",$R1251&lt;=500,"Hazardous")</f>
        <v>Poor</v>
      </c>
      <c r="T1251" t="s">
        <v>25</v>
      </c>
      <c r="X1251" s="2"/>
      <c r="Y1251" s="2"/>
    </row>
    <row r="1252" spans="1:25" x14ac:dyDescent="0.3">
      <c r="A1252" s="2">
        <v>45542</v>
      </c>
      <c r="B1252" t="s">
        <v>20</v>
      </c>
      <c r="C1252" s="4">
        <v>113.3</v>
      </c>
      <c r="D1252" s="4">
        <v>130.9</v>
      </c>
      <c r="E1252" s="4">
        <v>32</v>
      </c>
      <c r="F1252" s="4">
        <v>13.11</v>
      </c>
      <c r="G1252" s="4">
        <v>37.200000000000003</v>
      </c>
      <c r="H1252" s="4">
        <v>1.81</v>
      </c>
      <c r="I1252" s="4">
        <v>5.9</v>
      </c>
      <c r="J1252" s="4">
        <v>60.1</v>
      </c>
      <c r="K1252" s="4">
        <v>1.95</v>
      </c>
      <c r="L1252" s="4">
        <v>188.83333333333329</v>
      </c>
      <c r="M1252" s="4">
        <v>130.9</v>
      </c>
      <c r="N1252" s="4">
        <v>40</v>
      </c>
      <c r="O1252" s="4">
        <v>32.774999999999999</v>
      </c>
      <c r="P1252" s="4">
        <v>93.000000000000014</v>
      </c>
      <c r="Q1252" s="4">
        <v>90.5</v>
      </c>
      <c r="R1252" s="4">
        <v>189</v>
      </c>
      <c r="S1252" s="4" t="str" cm="1">
        <f t="array" ref="S1252">_xlfn.IFS($R1252&lt;=50,"Good",$R1252&lt;=100,"Moderate",$R1252&lt;=200,"Poor",$R1252&lt;=300,"Very Poor",$R1252&lt;=500,"Hazardous")</f>
        <v>Poor</v>
      </c>
      <c r="T1252" t="s">
        <v>25</v>
      </c>
      <c r="X1252" s="2"/>
      <c r="Y1252" s="2"/>
    </row>
    <row r="1253" spans="1:25" x14ac:dyDescent="0.3">
      <c r="A1253" s="2">
        <v>45542</v>
      </c>
      <c r="B1253" t="s">
        <v>21</v>
      </c>
      <c r="C1253" s="4">
        <v>35.1</v>
      </c>
      <c r="D1253" s="4">
        <v>108.5</v>
      </c>
      <c r="E1253" s="4">
        <v>41.9</v>
      </c>
      <c r="F1253" s="4">
        <v>9.6999999999999993</v>
      </c>
      <c r="G1253" s="4">
        <v>7.3</v>
      </c>
      <c r="H1253" s="4">
        <v>1.74</v>
      </c>
      <c r="I1253" s="4">
        <v>34.6</v>
      </c>
      <c r="J1253" s="4">
        <v>65.099999999999994</v>
      </c>
      <c r="K1253" s="4">
        <v>3.47</v>
      </c>
      <c r="L1253" s="4">
        <v>58.5</v>
      </c>
      <c r="M1253" s="4">
        <v>108.5</v>
      </c>
      <c r="N1253" s="4">
        <v>52.375</v>
      </c>
      <c r="O1253" s="4">
        <v>24.25</v>
      </c>
      <c r="P1253" s="4">
        <v>18.25</v>
      </c>
      <c r="Q1253" s="4">
        <v>87</v>
      </c>
      <c r="R1253" s="4">
        <v>108</v>
      </c>
      <c r="S1253" s="4" t="str" cm="1">
        <f t="array" ref="S1253">_xlfn.IFS($R1253&lt;=50,"Good",$R1253&lt;=100,"Moderate",$R1253&lt;=200,"Poor",$R1253&lt;=300,"Very Poor",$R1253&lt;=500,"Hazardous")</f>
        <v>Poor</v>
      </c>
      <c r="T1253" t="s">
        <v>28</v>
      </c>
      <c r="X1253" s="2"/>
      <c r="Y1253" s="2"/>
    </row>
    <row r="1254" spans="1:25" x14ac:dyDescent="0.3">
      <c r="A1254" s="2">
        <v>45542</v>
      </c>
      <c r="B1254" t="s">
        <v>22</v>
      </c>
      <c r="C1254" s="4">
        <v>88.2</v>
      </c>
      <c r="D1254" s="4">
        <v>184.5</v>
      </c>
      <c r="E1254" s="4">
        <v>78.3</v>
      </c>
      <c r="F1254" s="4">
        <v>5.23</v>
      </c>
      <c r="G1254" s="4">
        <v>20.9</v>
      </c>
      <c r="H1254" s="4">
        <v>1.59</v>
      </c>
      <c r="I1254" s="4">
        <v>30</v>
      </c>
      <c r="J1254" s="4">
        <v>74</v>
      </c>
      <c r="K1254" s="4">
        <v>4.7699999999999996</v>
      </c>
      <c r="L1254" s="4">
        <v>147</v>
      </c>
      <c r="M1254" s="4">
        <v>184.5</v>
      </c>
      <c r="N1254" s="4">
        <v>97.874999999999986</v>
      </c>
      <c r="O1254" s="4">
        <v>13.074999999999999</v>
      </c>
      <c r="P1254" s="4">
        <v>52.25</v>
      </c>
      <c r="Q1254" s="4">
        <v>79.5</v>
      </c>
      <c r="R1254" s="4">
        <v>184</v>
      </c>
      <c r="S1254" s="4" t="str" cm="1">
        <f t="array" ref="S1254">_xlfn.IFS($R1254&lt;=50,"Good",$R1254&lt;=100,"Moderate",$R1254&lt;=200,"Poor",$R1254&lt;=300,"Very Poor",$R1254&lt;=500,"Hazardous")</f>
        <v>Poor</v>
      </c>
      <c r="T1254" t="s">
        <v>28</v>
      </c>
      <c r="X1254" s="2"/>
      <c r="Y1254" s="2"/>
    </row>
    <row r="1255" spans="1:25" x14ac:dyDescent="0.3">
      <c r="A1255" s="2">
        <v>45542</v>
      </c>
      <c r="B1255" t="s">
        <v>23</v>
      </c>
      <c r="C1255" s="4">
        <v>60.3</v>
      </c>
      <c r="D1255" s="4">
        <v>145.6</v>
      </c>
      <c r="E1255" s="4">
        <v>25.4</v>
      </c>
      <c r="F1255" s="4">
        <v>18.68</v>
      </c>
      <c r="G1255" s="4">
        <v>31.6</v>
      </c>
      <c r="H1255" s="4">
        <v>1.02</v>
      </c>
      <c r="I1255" s="4">
        <v>22.6</v>
      </c>
      <c r="J1255" s="4">
        <v>48.4</v>
      </c>
      <c r="K1255" s="4">
        <v>1.62</v>
      </c>
      <c r="L1255" s="4">
        <v>100.5</v>
      </c>
      <c r="M1255" s="4">
        <v>145.6</v>
      </c>
      <c r="N1255" s="4">
        <v>31.75</v>
      </c>
      <c r="O1255" s="4">
        <v>46.7</v>
      </c>
      <c r="P1255" s="4">
        <v>79</v>
      </c>
      <c r="Q1255" s="4">
        <v>51.000000000000007</v>
      </c>
      <c r="R1255" s="4">
        <v>146</v>
      </c>
      <c r="S1255" s="4" t="str" cm="1">
        <f t="array" ref="S1255">_xlfn.IFS($R1255&lt;=50,"Good",$R1255&lt;=100,"Moderate",$R1255&lt;=200,"Poor",$R1255&lt;=300,"Very Poor",$R1255&lt;=500,"Hazardous")</f>
        <v>Poor</v>
      </c>
      <c r="T1255" t="s">
        <v>28</v>
      </c>
      <c r="X1255" s="2"/>
      <c r="Y1255" s="2"/>
    </row>
    <row r="1256" spans="1:25" x14ac:dyDescent="0.3">
      <c r="A1256" s="2">
        <v>45542</v>
      </c>
      <c r="B1256" t="s">
        <v>24</v>
      </c>
      <c r="C1256" s="4">
        <v>48.7</v>
      </c>
      <c r="D1256" s="4">
        <v>41.9</v>
      </c>
      <c r="E1256" s="4">
        <v>32.200000000000003</v>
      </c>
      <c r="F1256" s="4">
        <v>19.52</v>
      </c>
      <c r="G1256" s="4">
        <v>64.2</v>
      </c>
      <c r="H1256" s="4">
        <v>1.93</v>
      </c>
      <c r="I1256" s="4">
        <v>33.200000000000003</v>
      </c>
      <c r="J1256" s="4">
        <v>93</v>
      </c>
      <c r="K1256" s="4">
        <v>0.87</v>
      </c>
      <c r="L1256" s="4">
        <v>81.166666666666671</v>
      </c>
      <c r="M1256" s="4">
        <v>41.9</v>
      </c>
      <c r="N1256" s="4">
        <v>40.25</v>
      </c>
      <c r="O1256" s="4">
        <v>48.8</v>
      </c>
      <c r="P1256" s="4">
        <v>160.5</v>
      </c>
      <c r="Q1256" s="4">
        <v>96.5</v>
      </c>
      <c r="R1256" s="4">
        <v>160</v>
      </c>
      <c r="S1256" s="4" t="str" cm="1">
        <f t="array" ref="S1256">_xlfn.IFS($R1256&lt;=50,"Good",$R1256&lt;=100,"Moderate",$R1256&lt;=200,"Poor",$R1256&lt;=300,"Very Poor",$R1256&lt;=500,"Hazardous")</f>
        <v>Poor</v>
      </c>
      <c r="T1256" t="s">
        <v>27</v>
      </c>
      <c r="X1256" s="2"/>
      <c r="Y1256" s="2"/>
    </row>
    <row r="1257" spans="1:25" x14ac:dyDescent="0.3">
      <c r="A1257" s="2">
        <v>45543</v>
      </c>
      <c r="B1257" t="s">
        <v>20</v>
      </c>
      <c r="C1257" s="4">
        <v>26.6</v>
      </c>
      <c r="D1257" s="4">
        <v>82.5</v>
      </c>
      <c r="E1257" s="4">
        <v>40.9</v>
      </c>
      <c r="F1257" s="4">
        <v>7.47</v>
      </c>
      <c r="G1257" s="4">
        <v>33.1</v>
      </c>
      <c r="H1257" s="4">
        <v>1.53</v>
      </c>
      <c r="I1257" s="4">
        <v>25.2</v>
      </c>
      <c r="J1257" s="4">
        <v>47</v>
      </c>
      <c r="K1257" s="4">
        <v>0.2</v>
      </c>
      <c r="L1257" s="4">
        <v>44.333333333333343</v>
      </c>
      <c r="M1257" s="4">
        <v>82.5</v>
      </c>
      <c r="N1257" s="4">
        <v>51.125</v>
      </c>
      <c r="O1257" s="4">
        <v>18.675000000000001</v>
      </c>
      <c r="P1257" s="4">
        <v>82.75</v>
      </c>
      <c r="Q1257" s="4">
        <v>76.5</v>
      </c>
      <c r="R1257" s="4">
        <v>83</v>
      </c>
      <c r="S1257" s="4" t="str" cm="1">
        <f t="array" ref="S1257">_xlfn.IFS($R1257&lt;=50,"Good",$R1257&lt;=100,"Moderate",$R1257&lt;=200,"Poor",$R1257&lt;=300,"Very Poor",$R1257&lt;=500,"Hazardous")</f>
        <v>Moderate</v>
      </c>
      <c r="T1257" t="s">
        <v>27</v>
      </c>
      <c r="X1257" s="2"/>
      <c r="Y1257" s="2"/>
    </row>
    <row r="1258" spans="1:25" x14ac:dyDescent="0.3">
      <c r="A1258" s="2">
        <v>45543</v>
      </c>
      <c r="B1258" t="s">
        <v>21</v>
      </c>
      <c r="C1258" s="4">
        <v>37.799999999999997</v>
      </c>
      <c r="D1258" s="4">
        <v>108.8</v>
      </c>
      <c r="E1258" s="4">
        <v>50.1</v>
      </c>
      <c r="F1258" s="4">
        <v>2.94</v>
      </c>
      <c r="G1258" s="4">
        <v>34.700000000000003</v>
      </c>
      <c r="H1258" s="4">
        <v>0.65</v>
      </c>
      <c r="I1258" s="4">
        <v>24.1</v>
      </c>
      <c r="J1258" s="4">
        <v>40.700000000000003</v>
      </c>
      <c r="K1258" s="4">
        <v>1.48</v>
      </c>
      <c r="L1258" s="4">
        <v>63</v>
      </c>
      <c r="M1258" s="4">
        <v>108.8</v>
      </c>
      <c r="N1258" s="4">
        <v>62.625</v>
      </c>
      <c r="O1258" s="4">
        <v>7.35</v>
      </c>
      <c r="P1258" s="4">
        <v>86.750000000000014</v>
      </c>
      <c r="Q1258" s="4">
        <v>32.5</v>
      </c>
      <c r="R1258" s="4">
        <v>109</v>
      </c>
      <c r="S1258" s="4" t="str" cm="1">
        <f t="array" ref="S1258">_xlfn.IFS($R1258&lt;=50,"Good",$R1258&lt;=100,"Moderate",$R1258&lt;=200,"Poor",$R1258&lt;=300,"Very Poor",$R1258&lt;=500,"Hazardous")</f>
        <v>Poor</v>
      </c>
      <c r="T1258" t="s">
        <v>28</v>
      </c>
      <c r="X1258" s="2"/>
      <c r="Y1258" s="2"/>
    </row>
    <row r="1259" spans="1:25" x14ac:dyDescent="0.3">
      <c r="A1259" s="2">
        <v>45543</v>
      </c>
      <c r="B1259" t="s">
        <v>22</v>
      </c>
      <c r="C1259" s="4">
        <v>19.7</v>
      </c>
      <c r="D1259" s="4">
        <v>105.3</v>
      </c>
      <c r="E1259" s="4">
        <v>26.3</v>
      </c>
      <c r="F1259" s="4">
        <v>11.91</v>
      </c>
      <c r="G1259" s="4">
        <v>47.6</v>
      </c>
      <c r="H1259" s="4">
        <v>1.1000000000000001</v>
      </c>
      <c r="I1259" s="4">
        <v>19.399999999999999</v>
      </c>
      <c r="J1259" s="4">
        <v>66.8</v>
      </c>
      <c r="K1259" s="4">
        <v>3.33</v>
      </c>
      <c r="L1259" s="4">
        <v>32.833333333333343</v>
      </c>
      <c r="M1259" s="4">
        <v>105.3</v>
      </c>
      <c r="N1259" s="4">
        <v>32.875</v>
      </c>
      <c r="O1259" s="4">
        <v>29.774999999999999</v>
      </c>
      <c r="P1259" s="4">
        <v>119</v>
      </c>
      <c r="Q1259" s="4">
        <v>55.000000000000007</v>
      </c>
      <c r="R1259" s="4">
        <v>119</v>
      </c>
      <c r="S1259" s="4" t="str" cm="1">
        <f t="array" ref="S1259">_xlfn.IFS($R1259&lt;=50,"Good",$R1259&lt;=100,"Moderate",$R1259&lt;=200,"Poor",$R1259&lt;=300,"Very Poor",$R1259&lt;=500,"Hazardous")</f>
        <v>Poor</v>
      </c>
      <c r="T1259" t="s">
        <v>27</v>
      </c>
      <c r="X1259" s="2"/>
      <c r="Y1259" s="2"/>
    </row>
    <row r="1260" spans="1:25" x14ac:dyDescent="0.3">
      <c r="A1260" s="2">
        <v>45543</v>
      </c>
      <c r="B1260" t="s">
        <v>23</v>
      </c>
      <c r="C1260" s="4">
        <v>64.3</v>
      </c>
      <c r="D1260" s="4">
        <v>216.2</v>
      </c>
      <c r="E1260" s="4">
        <v>54.2</v>
      </c>
      <c r="F1260" s="4">
        <v>12.57</v>
      </c>
      <c r="G1260" s="4">
        <v>43.3</v>
      </c>
      <c r="H1260" s="4">
        <v>1.61</v>
      </c>
      <c r="I1260" s="4">
        <v>19.399999999999999</v>
      </c>
      <c r="J1260" s="4">
        <v>51.7</v>
      </c>
      <c r="K1260" s="4">
        <v>2.92</v>
      </c>
      <c r="L1260" s="4">
        <v>107.1666666666667</v>
      </c>
      <c r="M1260" s="4">
        <v>216.2</v>
      </c>
      <c r="N1260" s="4">
        <v>67.75</v>
      </c>
      <c r="O1260" s="4">
        <v>31.425000000000001</v>
      </c>
      <c r="P1260" s="4">
        <v>108.25</v>
      </c>
      <c r="Q1260" s="4">
        <v>80.5</v>
      </c>
      <c r="R1260" s="4">
        <v>216</v>
      </c>
      <c r="S1260" s="4" t="str" cm="1">
        <f t="array" ref="S1260">_xlfn.IFS($R1260&lt;=50,"Good",$R1260&lt;=100,"Moderate",$R1260&lt;=200,"Poor",$R1260&lt;=300,"Very Poor",$R1260&lt;=500,"Hazardous")</f>
        <v>Very Poor</v>
      </c>
      <c r="T1260" t="s">
        <v>28</v>
      </c>
      <c r="X1260" s="2"/>
      <c r="Y1260" s="2"/>
    </row>
    <row r="1261" spans="1:25" x14ac:dyDescent="0.3">
      <c r="A1261" s="2">
        <v>45543</v>
      </c>
      <c r="B1261" t="s">
        <v>24</v>
      </c>
      <c r="C1261" s="4">
        <v>77.3</v>
      </c>
      <c r="D1261" s="4">
        <v>165.5</v>
      </c>
      <c r="E1261" s="4">
        <v>73.7</v>
      </c>
      <c r="F1261" s="4">
        <v>0.96</v>
      </c>
      <c r="G1261" s="4">
        <v>17.2</v>
      </c>
      <c r="H1261" s="4">
        <v>1.47</v>
      </c>
      <c r="I1261" s="4">
        <v>19.899999999999999</v>
      </c>
      <c r="J1261" s="4">
        <v>100</v>
      </c>
      <c r="K1261" s="4">
        <v>3.62</v>
      </c>
      <c r="L1261" s="4">
        <v>128.83333333333329</v>
      </c>
      <c r="M1261" s="4">
        <v>165.5</v>
      </c>
      <c r="N1261" s="4">
        <v>92.125</v>
      </c>
      <c r="O1261" s="4">
        <v>2.4</v>
      </c>
      <c r="P1261" s="4">
        <v>43</v>
      </c>
      <c r="Q1261" s="4">
        <v>73.5</v>
      </c>
      <c r="R1261" s="4">
        <v>166</v>
      </c>
      <c r="S1261" s="4" t="str" cm="1">
        <f t="array" ref="S1261">_xlfn.IFS($R1261&lt;=50,"Good",$R1261&lt;=100,"Moderate",$R1261&lt;=200,"Poor",$R1261&lt;=300,"Very Poor",$R1261&lt;=500,"Hazardous")</f>
        <v>Poor</v>
      </c>
      <c r="T1261" t="s">
        <v>28</v>
      </c>
      <c r="X1261" s="2"/>
      <c r="Y1261" s="2"/>
    </row>
    <row r="1262" spans="1:25" x14ac:dyDescent="0.3">
      <c r="A1262" s="2">
        <v>45544</v>
      </c>
      <c r="B1262" t="s">
        <v>20</v>
      </c>
      <c r="C1262" s="4">
        <v>66.3</v>
      </c>
      <c r="D1262" s="4">
        <v>102.4</v>
      </c>
      <c r="E1262" s="4">
        <v>40.700000000000003</v>
      </c>
      <c r="F1262" s="4">
        <v>9.3699999999999992</v>
      </c>
      <c r="G1262" s="4">
        <v>49.2</v>
      </c>
      <c r="H1262" s="4">
        <v>1.06</v>
      </c>
      <c r="I1262" s="4">
        <v>23.1</v>
      </c>
      <c r="J1262" s="4">
        <v>84.2</v>
      </c>
      <c r="K1262" s="4">
        <v>4.16</v>
      </c>
      <c r="L1262" s="4">
        <v>110.5</v>
      </c>
      <c r="M1262" s="4">
        <v>102.4</v>
      </c>
      <c r="N1262" s="4">
        <v>50.875</v>
      </c>
      <c r="O1262" s="4">
        <v>23.425000000000001</v>
      </c>
      <c r="P1262" s="4">
        <v>123</v>
      </c>
      <c r="Q1262" s="4">
        <v>53.000000000000007</v>
      </c>
      <c r="R1262" s="4">
        <v>123</v>
      </c>
      <c r="S1262" s="4" t="str" cm="1">
        <f t="array" ref="S1262">_xlfn.IFS($R1262&lt;=50,"Good",$R1262&lt;=100,"Moderate",$R1262&lt;=200,"Poor",$R1262&lt;=300,"Very Poor",$R1262&lt;=500,"Hazardous")</f>
        <v>Poor</v>
      </c>
      <c r="T1262" t="s">
        <v>27</v>
      </c>
      <c r="X1262" s="2"/>
      <c r="Y1262" s="2"/>
    </row>
    <row r="1263" spans="1:25" x14ac:dyDescent="0.3">
      <c r="A1263" s="2">
        <v>45544</v>
      </c>
      <c r="B1263" t="s">
        <v>21</v>
      </c>
      <c r="C1263" s="4">
        <v>84.5</v>
      </c>
      <c r="D1263" s="4">
        <v>49.4</v>
      </c>
      <c r="E1263" s="4">
        <v>69.7</v>
      </c>
      <c r="F1263" s="4">
        <v>19.71</v>
      </c>
      <c r="G1263" s="4">
        <v>92.8</v>
      </c>
      <c r="H1263" s="4">
        <v>2.0499999999999998</v>
      </c>
      <c r="I1263" s="4">
        <v>35</v>
      </c>
      <c r="J1263" s="4">
        <v>61</v>
      </c>
      <c r="K1263" s="4">
        <v>3.25</v>
      </c>
      <c r="L1263" s="4">
        <v>140.83333333333329</v>
      </c>
      <c r="M1263" s="4">
        <v>49.4</v>
      </c>
      <c r="N1263" s="4">
        <v>87.125000000000014</v>
      </c>
      <c r="O1263" s="4">
        <v>49.274999999999999</v>
      </c>
      <c r="P1263" s="4">
        <v>232</v>
      </c>
      <c r="Q1263" s="4">
        <v>102.5</v>
      </c>
      <c r="R1263" s="4">
        <v>232</v>
      </c>
      <c r="S1263" s="4" t="str" cm="1">
        <f t="array" ref="S1263">_xlfn.IFS($R1263&lt;=50,"Good",$R1263&lt;=100,"Moderate",$R1263&lt;=200,"Poor",$R1263&lt;=300,"Very Poor",$R1263&lt;=500,"Hazardous")</f>
        <v>Very Poor</v>
      </c>
      <c r="T1263" t="s">
        <v>27</v>
      </c>
      <c r="X1263" s="2"/>
      <c r="Y1263" s="2"/>
    </row>
    <row r="1264" spans="1:25" x14ac:dyDescent="0.3">
      <c r="A1264" s="2">
        <v>45544</v>
      </c>
      <c r="B1264" t="s">
        <v>22</v>
      </c>
      <c r="C1264" s="4">
        <v>37.6</v>
      </c>
      <c r="D1264" s="4">
        <v>130.69999999999999</v>
      </c>
      <c r="E1264" s="4">
        <v>68</v>
      </c>
      <c r="F1264" s="4">
        <v>4.8</v>
      </c>
      <c r="G1264" s="4">
        <v>17.5</v>
      </c>
      <c r="H1264" s="4">
        <v>1.2</v>
      </c>
      <c r="I1264" s="4">
        <v>23.4</v>
      </c>
      <c r="J1264" s="4">
        <v>71.7</v>
      </c>
      <c r="K1264" s="4">
        <v>1.96</v>
      </c>
      <c r="L1264" s="4">
        <v>62.666666666666657</v>
      </c>
      <c r="M1264" s="4">
        <v>130.69999999999999</v>
      </c>
      <c r="N1264" s="4">
        <v>85</v>
      </c>
      <c r="O1264" s="4">
        <v>12</v>
      </c>
      <c r="P1264" s="4">
        <v>43.75</v>
      </c>
      <c r="Q1264" s="4">
        <v>60</v>
      </c>
      <c r="R1264" s="4">
        <v>131</v>
      </c>
      <c r="S1264" s="4" t="str" cm="1">
        <f t="array" ref="S1264">_xlfn.IFS($R1264&lt;=50,"Good",$R1264&lt;=100,"Moderate",$R1264&lt;=200,"Poor",$R1264&lt;=300,"Very Poor",$R1264&lt;=500,"Hazardous")</f>
        <v>Poor</v>
      </c>
      <c r="T1264" t="s">
        <v>28</v>
      </c>
      <c r="X1264" s="2"/>
      <c r="Y1264" s="2"/>
    </row>
    <row r="1265" spans="1:25" x14ac:dyDescent="0.3">
      <c r="A1265" s="2">
        <v>45544</v>
      </c>
      <c r="B1265" t="s">
        <v>23</v>
      </c>
      <c r="C1265" s="4">
        <v>111.6</v>
      </c>
      <c r="D1265" s="4">
        <v>42.6</v>
      </c>
      <c r="E1265" s="4">
        <v>70.099999999999994</v>
      </c>
      <c r="F1265" s="4">
        <v>4.18</v>
      </c>
      <c r="G1265" s="4">
        <v>1</v>
      </c>
      <c r="H1265" s="4">
        <v>1.34</v>
      </c>
      <c r="I1265" s="4">
        <v>23.2</v>
      </c>
      <c r="J1265" s="4">
        <v>40</v>
      </c>
      <c r="K1265" s="4">
        <v>0.48</v>
      </c>
      <c r="L1265" s="4">
        <v>186</v>
      </c>
      <c r="M1265" s="4">
        <v>42.6</v>
      </c>
      <c r="N1265" s="4">
        <v>87.625</v>
      </c>
      <c r="O1265" s="4">
        <v>10.45</v>
      </c>
      <c r="P1265" s="4">
        <v>2.5</v>
      </c>
      <c r="Q1265" s="4">
        <v>67</v>
      </c>
      <c r="R1265" s="4">
        <v>186</v>
      </c>
      <c r="S1265" s="4" t="str" cm="1">
        <f t="array" ref="S1265">_xlfn.IFS($R1265&lt;=50,"Good",$R1265&lt;=100,"Moderate",$R1265&lt;=200,"Poor",$R1265&lt;=300,"Very Poor",$R1265&lt;=500,"Hazardous")</f>
        <v>Poor</v>
      </c>
      <c r="T1265" t="s">
        <v>25</v>
      </c>
      <c r="X1265" s="2"/>
      <c r="Y1265" s="2"/>
    </row>
    <row r="1266" spans="1:25" x14ac:dyDescent="0.3">
      <c r="A1266" s="2">
        <v>45544</v>
      </c>
      <c r="B1266" t="s">
        <v>24</v>
      </c>
      <c r="C1266" s="4">
        <v>65.7</v>
      </c>
      <c r="D1266" s="4">
        <v>196.4</v>
      </c>
      <c r="E1266" s="4">
        <v>62.4</v>
      </c>
      <c r="F1266" s="4">
        <v>9.11</v>
      </c>
      <c r="G1266" s="4">
        <v>57.2</v>
      </c>
      <c r="H1266" s="4">
        <v>1.3</v>
      </c>
      <c r="I1266" s="4">
        <v>15</v>
      </c>
      <c r="J1266" s="4">
        <v>34.4</v>
      </c>
      <c r="K1266" s="4">
        <v>2.76</v>
      </c>
      <c r="L1266" s="4">
        <v>109.5</v>
      </c>
      <c r="M1266" s="4">
        <v>196.4</v>
      </c>
      <c r="N1266" s="4">
        <v>78</v>
      </c>
      <c r="O1266" s="4">
        <v>22.774999999999999</v>
      </c>
      <c r="P1266" s="4">
        <v>143</v>
      </c>
      <c r="Q1266" s="4">
        <v>65</v>
      </c>
      <c r="R1266" s="4">
        <v>196</v>
      </c>
      <c r="S1266" s="4" t="str" cm="1">
        <f t="array" ref="S1266">_xlfn.IFS($R1266&lt;=50,"Good",$R1266&lt;=100,"Moderate",$R1266&lt;=200,"Poor",$R1266&lt;=300,"Very Poor",$R1266&lt;=500,"Hazardous")</f>
        <v>Poor</v>
      </c>
      <c r="T1266" t="s">
        <v>28</v>
      </c>
      <c r="X1266" s="2"/>
      <c r="Y1266" s="2"/>
    </row>
    <row r="1267" spans="1:25" x14ac:dyDescent="0.3">
      <c r="A1267" s="2">
        <v>45545</v>
      </c>
      <c r="B1267" t="s">
        <v>20</v>
      </c>
      <c r="C1267" s="4">
        <v>63.5</v>
      </c>
      <c r="D1267" s="4">
        <v>196.7</v>
      </c>
      <c r="E1267" s="4">
        <v>69.2</v>
      </c>
      <c r="F1267" s="4">
        <v>12.68</v>
      </c>
      <c r="G1267" s="4">
        <v>37.9</v>
      </c>
      <c r="H1267" s="4">
        <v>0.43</v>
      </c>
      <c r="I1267" s="4">
        <v>27.9</v>
      </c>
      <c r="J1267" s="4">
        <v>69.5</v>
      </c>
      <c r="K1267" s="4">
        <v>0.2</v>
      </c>
      <c r="L1267" s="4">
        <v>105.8333333333333</v>
      </c>
      <c r="M1267" s="4">
        <v>196.7</v>
      </c>
      <c r="N1267" s="4">
        <v>86.500000000000014</v>
      </c>
      <c r="O1267" s="4">
        <v>31.7</v>
      </c>
      <c r="P1267" s="4">
        <v>94.75</v>
      </c>
      <c r="Q1267" s="4">
        <v>21.5</v>
      </c>
      <c r="R1267" s="4">
        <v>197</v>
      </c>
      <c r="S1267" s="4" t="str" cm="1">
        <f t="array" ref="S1267">_xlfn.IFS($R1267&lt;=50,"Good",$R1267&lt;=100,"Moderate",$R1267&lt;=200,"Poor",$R1267&lt;=300,"Very Poor",$R1267&lt;=500,"Hazardous")</f>
        <v>Poor</v>
      </c>
      <c r="T1267" t="s">
        <v>28</v>
      </c>
      <c r="X1267" s="2"/>
      <c r="Y1267" s="2"/>
    </row>
    <row r="1268" spans="1:25" x14ac:dyDescent="0.3">
      <c r="A1268" s="2">
        <v>45545</v>
      </c>
      <c r="B1268" t="s">
        <v>21</v>
      </c>
      <c r="C1268" s="4">
        <v>43.7</v>
      </c>
      <c r="D1268" s="4">
        <v>98.2</v>
      </c>
      <c r="E1268" s="4">
        <v>59.2</v>
      </c>
      <c r="F1268" s="4">
        <v>4.9800000000000004</v>
      </c>
      <c r="G1268" s="4">
        <v>48.8</v>
      </c>
      <c r="H1268" s="4">
        <v>1.34</v>
      </c>
      <c r="I1268" s="4">
        <v>23.9</v>
      </c>
      <c r="J1268" s="4">
        <v>47.1</v>
      </c>
      <c r="K1268" s="4">
        <v>1.73</v>
      </c>
      <c r="L1268" s="4">
        <v>72.833333333333329</v>
      </c>
      <c r="M1268" s="4">
        <v>98.2</v>
      </c>
      <c r="N1268" s="4">
        <v>74.000000000000014</v>
      </c>
      <c r="O1268" s="4">
        <v>12.45</v>
      </c>
      <c r="P1268" s="4">
        <v>122</v>
      </c>
      <c r="Q1268" s="4">
        <v>67</v>
      </c>
      <c r="R1268" s="4">
        <v>122</v>
      </c>
      <c r="S1268" s="4" t="str" cm="1">
        <f t="array" ref="S1268">_xlfn.IFS($R1268&lt;=50,"Good",$R1268&lt;=100,"Moderate",$R1268&lt;=200,"Poor",$R1268&lt;=300,"Very Poor",$R1268&lt;=500,"Hazardous")</f>
        <v>Poor</v>
      </c>
      <c r="T1268" t="s">
        <v>27</v>
      </c>
      <c r="X1268" s="2"/>
      <c r="Y1268" s="2"/>
    </row>
    <row r="1269" spans="1:25" x14ac:dyDescent="0.3">
      <c r="A1269" s="2">
        <v>45545</v>
      </c>
      <c r="B1269" t="s">
        <v>22</v>
      </c>
      <c r="C1269" s="4">
        <v>26.2</v>
      </c>
      <c r="D1269" s="4">
        <v>135.69999999999999</v>
      </c>
      <c r="E1269" s="4">
        <v>53.6</v>
      </c>
      <c r="F1269" s="4">
        <v>3.94</v>
      </c>
      <c r="G1269" s="4">
        <v>74.099999999999994</v>
      </c>
      <c r="H1269" s="4">
        <v>0.96</v>
      </c>
      <c r="I1269" s="4">
        <v>35.700000000000003</v>
      </c>
      <c r="J1269" s="4">
        <v>48.4</v>
      </c>
      <c r="K1269" s="4">
        <v>0.2</v>
      </c>
      <c r="L1269" s="4">
        <v>43.666666666666657</v>
      </c>
      <c r="M1269" s="4">
        <v>135.69999999999999</v>
      </c>
      <c r="N1269" s="4">
        <v>67</v>
      </c>
      <c r="O1269" s="4">
        <v>9.85</v>
      </c>
      <c r="P1269" s="4">
        <v>185.25</v>
      </c>
      <c r="Q1269" s="4">
        <v>48</v>
      </c>
      <c r="R1269" s="4">
        <v>185</v>
      </c>
      <c r="S1269" s="4" t="str" cm="1">
        <f t="array" ref="S1269">_xlfn.IFS($R1269&lt;=50,"Good",$R1269&lt;=100,"Moderate",$R1269&lt;=200,"Poor",$R1269&lt;=300,"Very Poor",$R1269&lt;=500,"Hazardous")</f>
        <v>Poor</v>
      </c>
      <c r="T1269" t="s">
        <v>27</v>
      </c>
      <c r="X1269" s="2"/>
      <c r="Y1269" s="2"/>
    </row>
    <row r="1270" spans="1:25" x14ac:dyDescent="0.3">
      <c r="A1270" s="2">
        <v>45545</v>
      </c>
      <c r="B1270" t="s">
        <v>23</v>
      </c>
      <c r="C1270" s="4">
        <v>72.099999999999994</v>
      </c>
      <c r="D1270" s="4">
        <v>134.9</v>
      </c>
      <c r="E1270" s="4">
        <v>45.7</v>
      </c>
      <c r="F1270" s="4">
        <v>4.79</v>
      </c>
      <c r="G1270" s="4">
        <v>39.1</v>
      </c>
      <c r="H1270" s="4">
        <v>0.89</v>
      </c>
      <c r="I1270" s="4">
        <v>22.9</v>
      </c>
      <c r="J1270" s="4">
        <v>75.099999999999994</v>
      </c>
      <c r="K1270" s="4">
        <v>2.72</v>
      </c>
      <c r="L1270" s="4">
        <v>120.1666666666667</v>
      </c>
      <c r="M1270" s="4">
        <v>134.9</v>
      </c>
      <c r="N1270" s="4">
        <v>57.125</v>
      </c>
      <c r="O1270" s="4">
        <v>11.975</v>
      </c>
      <c r="P1270" s="4">
        <v>97.75</v>
      </c>
      <c r="Q1270" s="4">
        <v>44.5</v>
      </c>
      <c r="R1270" s="4">
        <v>135</v>
      </c>
      <c r="S1270" s="4" t="str" cm="1">
        <f t="array" ref="S1270">_xlfn.IFS($R1270&lt;=50,"Good",$R1270&lt;=100,"Moderate",$R1270&lt;=200,"Poor",$R1270&lt;=300,"Very Poor",$R1270&lt;=500,"Hazardous")</f>
        <v>Poor</v>
      </c>
      <c r="T1270" t="s">
        <v>28</v>
      </c>
      <c r="X1270" s="2"/>
      <c r="Y1270" s="2"/>
    </row>
    <row r="1271" spans="1:25" x14ac:dyDescent="0.3">
      <c r="A1271" s="2">
        <v>45545</v>
      </c>
      <c r="B1271" t="s">
        <v>24</v>
      </c>
      <c r="C1271" s="4">
        <v>86.1</v>
      </c>
      <c r="D1271" s="4">
        <v>116.7</v>
      </c>
      <c r="E1271" s="4">
        <v>42</v>
      </c>
      <c r="F1271" s="4">
        <v>2.46</v>
      </c>
      <c r="G1271" s="4">
        <v>33.799999999999997</v>
      </c>
      <c r="H1271" s="4">
        <v>0.05</v>
      </c>
      <c r="I1271" s="4">
        <v>20.9</v>
      </c>
      <c r="J1271" s="4">
        <v>58.5</v>
      </c>
      <c r="K1271" s="4">
        <v>3.68</v>
      </c>
      <c r="L1271" s="4">
        <v>143.5</v>
      </c>
      <c r="M1271" s="4">
        <v>116.7</v>
      </c>
      <c r="N1271" s="4">
        <v>52.5</v>
      </c>
      <c r="O1271" s="4">
        <v>6.15</v>
      </c>
      <c r="P1271" s="4">
        <v>84.499999999999986</v>
      </c>
      <c r="Q1271" s="4">
        <v>2.5</v>
      </c>
      <c r="R1271" s="4">
        <v>144</v>
      </c>
      <c r="S1271" s="4" t="str" cm="1">
        <f t="array" ref="S1271">_xlfn.IFS($R1271&lt;=50,"Good",$R1271&lt;=100,"Moderate",$R1271&lt;=200,"Poor",$R1271&lt;=300,"Very Poor",$R1271&lt;=500,"Hazardous")</f>
        <v>Poor</v>
      </c>
      <c r="T1271" t="s">
        <v>25</v>
      </c>
      <c r="X1271" s="2"/>
      <c r="Y1271" s="2"/>
    </row>
    <row r="1272" spans="1:25" x14ac:dyDescent="0.3">
      <c r="A1272" s="2">
        <v>45546</v>
      </c>
      <c r="B1272" t="s">
        <v>20</v>
      </c>
      <c r="C1272" s="4">
        <v>59.7</v>
      </c>
      <c r="D1272" s="4">
        <v>162</v>
      </c>
      <c r="E1272" s="4">
        <v>2</v>
      </c>
      <c r="F1272" s="4">
        <v>8.8699999999999992</v>
      </c>
      <c r="G1272" s="4">
        <v>1</v>
      </c>
      <c r="H1272" s="4">
        <v>0.55000000000000004</v>
      </c>
      <c r="I1272" s="4">
        <v>23.7</v>
      </c>
      <c r="J1272" s="4">
        <v>83</v>
      </c>
      <c r="K1272" s="4">
        <v>2.95</v>
      </c>
      <c r="L1272" s="4">
        <v>99.5</v>
      </c>
      <c r="M1272" s="4">
        <v>162</v>
      </c>
      <c r="N1272" s="4">
        <v>2.5</v>
      </c>
      <c r="O1272" s="4">
        <v>22.175000000000001</v>
      </c>
      <c r="P1272" s="4">
        <v>2.5</v>
      </c>
      <c r="Q1272" s="4">
        <v>27.5</v>
      </c>
      <c r="R1272" s="4">
        <v>162</v>
      </c>
      <c r="S1272" s="4" t="str" cm="1">
        <f t="array" ref="S1272">_xlfn.IFS($R1272&lt;=50,"Good",$R1272&lt;=100,"Moderate",$R1272&lt;=200,"Poor",$R1272&lt;=300,"Very Poor",$R1272&lt;=500,"Hazardous")</f>
        <v>Poor</v>
      </c>
      <c r="T1272" t="s">
        <v>28</v>
      </c>
      <c r="X1272" s="2"/>
      <c r="Y1272" s="2"/>
    </row>
    <row r="1273" spans="1:25" x14ac:dyDescent="0.3">
      <c r="A1273" s="2">
        <v>45546</v>
      </c>
      <c r="B1273" t="s">
        <v>21</v>
      </c>
      <c r="C1273" s="4">
        <v>75.7</v>
      </c>
      <c r="D1273" s="4">
        <v>148.5</v>
      </c>
      <c r="E1273" s="4">
        <v>38.4</v>
      </c>
      <c r="F1273" s="4">
        <v>6.6</v>
      </c>
      <c r="G1273" s="4">
        <v>63.4</v>
      </c>
      <c r="H1273" s="4">
        <v>0.46</v>
      </c>
      <c r="I1273" s="4">
        <v>29.2</v>
      </c>
      <c r="J1273" s="4">
        <v>53</v>
      </c>
      <c r="K1273" s="4">
        <v>3.49</v>
      </c>
      <c r="L1273" s="4">
        <v>126.1666666666667</v>
      </c>
      <c r="M1273" s="4">
        <v>148.5</v>
      </c>
      <c r="N1273" s="4">
        <v>48</v>
      </c>
      <c r="O1273" s="4">
        <v>16.5</v>
      </c>
      <c r="P1273" s="4">
        <v>158.5</v>
      </c>
      <c r="Q1273" s="4">
        <v>23</v>
      </c>
      <c r="R1273" s="4">
        <v>158</v>
      </c>
      <c r="S1273" s="4" t="str" cm="1">
        <f t="array" ref="S1273">_xlfn.IFS($R1273&lt;=50,"Good",$R1273&lt;=100,"Moderate",$R1273&lt;=200,"Poor",$R1273&lt;=300,"Very Poor",$R1273&lt;=500,"Hazardous")</f>
        <v>Poor</v>
      </c>
      <c r="T1273" t="s">
        <v>27</v>
      </c>
      <c r="X1273" s="2"/>
      <c r="Y1273" s="2"/>
    </row>
    <row r="1274" spans="1:25" x14ac:dyDescent="0.3">
      <c r="A1274" s="2">
        <v>45546</v>
      </c>
      <c r="B1274" t="s">
        <v>22</v>
      </c>
      <c r="C1274" s="4">
        <v>84.4</v>
      </c>
      <c r="D1274" s="4">
        <v>18.600000000000001</v>
      </c>
      <c r="E1274" s="4">
        <v>31.7</v>
      </c>
      <c r="F1274" s="4">
        <v>3.54</v>
      </c>
      <c r="G1274" s="4">
        <v>1</v>
      </c>
      <c r="H1274" s="4">
        <v>0.55000000000000004</v>
      </c>
      <c r="I1274" s="4">
        <v>42.1</v>
      </c>
      <c r="J1274" s="4">
        <v>71</v>
      </c>
      <c r="K1274" s="4">
        <v>4.8</v>
      </c>
      <c r="L1274" s="4">
        <v>140.66666666666671</v>
      </c>
      <c r="M1274" s="4">
        <v>18.600000000000001</v>
      </c>
      <c r="N1274" s="4">
        <v>39.625</v>
      </c>
      <c r="O1274" s="4">
        <v>8.85</v>
      </c>
      <c r="P1274" s="4">
        <v>2.5</v>
      </c>
      <c r="Q1274" s="4">
        <v>27.5</v>
      </c>
      <c r="R1274" s="4">
        <v>141</v>
      </c>
      <c r="S1274" s="4" t="str" cm="1">
        <f t="array" ref="S1274">_xlfn.IFS($R1274&lt;=50,"Good",$R1274&lt;=100,"Moderate",$R1274&lt;=200,"Poor",$R1274&lt;=300,"Very Poor",$R1274&lt;=500,"Hazardous")</f>
        <v>Poor</v>
      </c>
      <c r="T1274" t="s">
        <v>25</v>
      </c>
      <c r="X1274" s="2"/>
      <c r="Y1274" s="2"/>
    </row>
    <row r="1275" spans="1:25" x14ac:dyDescent="0.3">
      <c r="A1275" s="2">
        <v>45546</v>
      </c>
      <c r="B1275" t="s">
        <v>23</v>
      </c>
      <c r="C1275" s="4">
        <v>84.9</v>
      </c>
      <c r="D1275" s="4">
        <v>75.5</v>
      </c>
      <c r="E1275" s="4">
        <v>37.4</v>
      </c>
      <c r="F1275" s="4">
        <v>10.94</v>
      </c>
      <c r="G1275" s="4">
        <v>50.9</v>
      </c>
      <c r="H1275" s="4">
        <v>0.85</v>
      </c>
      <c r="I1275" s="4">
        <v>14.4</v>
      </c>
      <c r="J1275" s="4">
        <v>100</v>
      </c>
      <c r="K1275" s="4">
        <v>2.33</v>
      </c>
      <c r="L1275" s="4">
        <v>141.5</v>
      </c>
      <c r="M1275" s="4">
        <v>75.5</v>
      </c>
      <c r="N1275" s="4">
        <v>46.75</v>
      </c>
      <c r="O1275" s="4">
        <v>27.35</v>
      </c>
      <c r="P1275" s="4">
        <v>127.25</v>
      </c>
      <c r="Q1275" s="4">
        <v>42.499999999999993</v>
      </c>
      <c r="R1275" s="4">
        <v>142</v>
      </c>
      <c r="S1275" s="4" t="str" cm="1">
        <f t="array" ref="S1275">_xlfn.IFS($R1275&lt;=50,"Good",$R1275&lt;=100,"Moderate",$R1275&lt;=200,"Poor",$R1275&lt;=300,"Very Poor",$R1275&lt;=500,"Hazardous")</f>
        <v>Poor</v>
      </c>
      <c r="T1275" t="s">
        <v>25</v>
      </c>
      <c r="X1275" s="2"/>
      <c r="Y1275" s="2"/>
    </row>
    <row r="1276" spans="1:25" x14ac:dyDescent="0.3">
      <c r="A1276" s="2">
        <v>45546</v>
      </c>
      <c r="B1276" t="s">
        <v>24</v>
      </c>
      <c r="C1276" s="4">
        <v>55.3</v>
      </c>
      <c r="D1276" s="4">
        <v>139.5</v>
      </c>
      <c r="E1276" s="4">
        <v>44.2</v>
      </c>
      <c r="F1276" s="4">
        <v>9.48</v>
      </c>
      <c r="G1276" s="4">
        <v>79.400000000000006</v>
      </c>
      <c r="H1276" s="4">
        <v>1.24</v>
      </c>
      <c r="I1276" s="4">
        <v>16.899999999999999</v>
      </c>
      <c r="J1276" s="4">
        <v>57.1</v>
      </c>
      <c r="K1276" s="4">
        <v>2.44</v>
      </c>
      <c r="L1276" s="4">
        <v>92.166666666666657</v>
      </c>
      <c r="M1276" s="4">
        <v>139.5</v>
      </c>
      <c r="N1276" s="4">
        <v>55.25</v>
      </c>
      <c r="O1276" s="4">
        <v>23.7</v>
      </c>
      <c r="P1276" s="4">
        <v>198.5</v>
      </c>
      <c r="Q1276" s="4">
        <v>62</v>
      </c>
      <c r="R1276" s="4">
        <v>198</v>
      </c>
      <c r="S1276" s="4" t="str" cm="1">
        <f t="array" ref="S1276">_xlfn.IFS($R1276&lt;=50,"Good",$R1276&lt;=100,"Moderate",$R1276&lt;=200,"Poor",$R1276&lt;=300,"Very Poor",$R1276&lt;=500,"Hazardous")</f>
        <v>Poor</v>
      </c>
      <c r="T1276" t="s">
        <v>27</v>
      </c>
      <c r="X1276" s="2"/>
      <c r="Y1276" s="2"/>
    </row>
    <row r="1277" spans="1:25" x14ac:dyDescent="0.3">
      <c r="A1277" s="2">
        <v>45547</v>
      </c>
      <c r="B1277" t="s">
        <v>20</v>
      </c>
      <c r="C1277" s="4">
        <v>118.1</v>
      </c>
      <c r="D1277" s="4">
        <v>218.8</v>
      </c>
      <c r="E1277" s="4">
        <v>54.2</v>
      </c>
      <c r="F1277" s="4">
        <v>1.85</v>
      </c>
      <c r="G1277" s="4">
        <v>10.8</v>
      </c>
      <c r="H1277" s="4">
        <v>1.39</v>
      </c>
      <c r="I1277" s="4">
        <v>27.4</v>
      </c>
      <c r="J1277" s="4">
        <v>53.3</v>
      </c>
      <c r="K1277" s="4">
        <v>1.92</v>
      </c>
      <c r="L1277" s="4">
        <v>196.83333333333329</v>
      </c>
      <c r="M1277" s="4">
        <v>218.8</v>
      </c>
      <c r="N1277" s="4">
        <v>67.75</v>
      </c>
      <c r="O1277" s="4">
        <v>4.6250000000000009</v>
      </c>
      <c r="P1277" s="4">
        <v>27</v>
      </c>
      <c r="Q1277" s="4">
        <v>69.499999999999986</v>
      </c>
      <c r="R1277" s="4">
        <v>219</v>
      </c>
      <c r="S1277" s="4" t="str" cm="1">
        <f t="array" ref="S1277">_xlfn.IFS($R1277&lt;=50,"Good",$R1277&lt;=100,"Moderate",$R1277&lt;=200,"Poor",$R1277&lt;=300,"Very Poor",$R1277&lt;=500,"Hazardous")</f>
        <v>Very Poor</v>
      </c>
      <c r="T1277" t="s">
        <v>28</v>
      </c>
      <c r="X1277" s="2"/>
      <c r="Y1277" s="2"/>
    </row>
    <row r="1278" spans="1:25" x14ac:dyDescent="0.3">
      <c r="A1278" s="2">
        <v>45547</v>
      </c>
      <c r="B1278" t="s">
        <v>21</v>
      </c>
      <c r="C1278" s="4">
        <v>52.8</v>
      </c>
      <c r="D1278" s="4">
        <v>148.19999999999999</v>
      </c>
      <c r="E1278" s="4">
        <v>2</v>
      </c>
      <c r="F1278" s="4">
        <v>3.12</v>
      </c>
      <c r="G1278" s="4">
        <v>30.4</v>
      </c>
      <c r="H1278" s="4">
        <v>2.41</v>
      </c>
      <c r="I1278" s="4">
        <v>19.3</v>
      </c>
      <c r="J1278" s="4">
        <v>63.2</v>
      </c>
      <c r="K1278" s="4">
        <v>2.77</v>
      </c>
      <c r="L1278" s="4">
        <v>88</v>
      </c>
      <c r="M1278" s="4">
        <v>148.19999999999999</v>
      </c>
      <c r="N1278" s="4">
        <v>2.5</v>
      </c>
      <c r="O1278" s="4">
        <v>7.8000000000000007</v>
      </c>
      <c r="P1278" s="4">
        <v>76</v>
      </c>
      <c r="Q1278" s="4">
        <v>120.5</v>
      </c>
      <c r="R1278" s="4">
        <v>148</v>
      </c>
      <c r="S1278" s="4" t="str" cm="1">
        <f t="array" ref="S1278">_xlfn.IFS($R1278&lt;=50,"Good",$R1278&lt;=100,"Moderate",$R1278&lt;=200,"Poor",$R1278&lt;=300,"Very Poor",$R1278&lt;=500,"Hazardous")</f>
        <v>Poor</v>
      </c>
      <c r="T1278" t="s">
        <v>28</v>
      </c>
      <c r="X1278" s="2"/>
      <c r="Y1278" s="2"/>
    </row>
    <row r="1279" spans="1:25" x14ac:dyDescent="0.3">
      <c r="A1279" s="2">
        <v>45547</v>
      </c>
      <c r="B1279" t="s">
        <v>22</v>
      </c>
      <c r="C1279" s="4">
        <v>94</v>
      </c>
      <c r="D1279" s="4">
        <v>186</v>
      </c>
      <c r="E1279" s="4">
        <v>41.7</v>
      </c>
      <c r="F1279" s="4">
        <v>5.34</v>
      </c>
      <c r="G1279" s="4">
        <v>22.2</v>
      </c>
      <c r="H1279" s="4">
        <v>1</v>
      </c>
      <c r="I1279" s="4">
        <v>22</v>
      </c>
      <c r="J1279" s="4">
        <v>70</v>
      </c>
      <c r="K1279" s="4">
        <v>3</v>
      </c>
      <c r="L1279" s="4">
        <v>156.66666666666671</v>
      </c>
      <c r="M1279" s="4">
        <v>186</v>
      </c>
      <c r="N1279" s="4">
        <v>52.125000000000007</v>
      </c>
      <c r="O1279" s="4">
        <v>13.35</v>
      </c>
      <c r="P1279" s="4">
        <v>55.5</v>
      </c>
      <c r="Q1279" s="4">
        <v>50</v>
      </c>
      <c r="R1279" s="4">
        <v>186</v>
      </c>
      <c r="S1279" s="4" t="str" cm="1">
        <f t="array" ref="S1279">_xlfn.IFS($R1279&lt;=50,"Good",$R1279&lt;=100,"Moderate",$R1279&lt;=200,"Poor",$R1279&lt;=300,"Very Poor",$R1279&lt;=500,"Hazardous")</f>
        <v>Poor</v>
      </c>
      <c r="T1279" t="s">
        <v>28</v>
      </c>
      <c r="X1279" s="2"/>
      <c r="Y1279" s="2"/>
    </row>
    <row r="1280" spans="1:25" x14ac:dyDescent="0.3">
      <c r="A1280" s="2">
        <v>45547</v>
      </c>
      <c r="B1280" t="s">
        <v>23</v>
      </c>
      <c r="C1280" s="4">
        <v>77.8</v>
      </c>
      <c r="D1280" s="4">
        <v>195.6</v>
      </c>
      <c r="E1280" s="4">
        <v>82.3</v>
      </c>
      <c r="F1280" s="4">
        <v>8.6199999999999992</v>
      </c>
      <c r="G1280" s="4">
        <v>67.5</v>
      </c>
      <c r="H1280" s="4">
        <v>0.99</v>
      </c>
      <c r="I1280" s="4">
        <v>33.299999999999997</v>
      </c>
      <c r="J1280" s="4">
        <v>79.099999999999994</v>
      </c>
      <c r="K1280" s="4">
        <v>3.71</v>
      </c>
      <c r="L1280" s="4">
        <v>129.66666666666671</v>
      </c>
      <c r="M1280" s="4">
        <v>195.6</v>
      </c>
      <c r="N1280" s="4">
        <v>102.875</v>
      </c>
      <c r="O1280" s="4">
        <v>21.55</v>
      </c>
      <c r="P1280" s="4">
        <v>168.75</v>
      </c>
      <c r="Q1280" s="4">
        <v>49.5</v>
      </c>
      <c r="R1280" s="4">
        <v>196</v>
      </c>
      <c r="S1280" s="4" t="str" cm="1">
        <f t="array" ref="S1280">_xlfn.IFS($R1280&lt;=50,"Good",$R1280&lt;=100,"Moderate",$R1280&lt;=200,"Poor",$R1280&lt;=300,"Very Poor",$R1280&lt;=500,"Hazardous")</f>
        <v>Poor</v>
      </c>
      <c r="T1280" t="s">
        <v>28</v>
      </c>
      <c r="X1280" s="2"/>
      <c r="Y1280" s="2"/>
    </row>
    <row r="1281" spans="1:25" x14ac:dyDescent="0.3">
      <c r="A1281" s="2">
        <v>45547</v>
      </c>
      <c r="B1281" t="s">
        <v>24</v>
      </c>
      <c r="C1281" s="4">
        <v>69.099999999999994</v>
      </c>
      <c r="D1281" s="4">
        <v>87.9</v>
      </c>
      <c r="E1281" s="4">
        <v>18.8</v>
      </c>
      <c r="F1281" s="4">
        <v>8.58</v>
      </c>
      <c r="G1281" s="4">
        <v>86.2</v>
      </c>
      <c r="H1281" s="4">
        <v>1.1200000000000001</v>
      </c>
      <c r="I1281" s="4">
        <v>30.5</v>
      </c>
      <c r="J1281" s="4">
        <v>75.2</v>
      </c>
      <c r="K1281" s="4">
        <v>2.66</v>
      </c>
      <c r="L1281" s="4">
        <v>115.1666666666667</v>
      </c>
      <c r="M1281" s="4">
        <v>87.9</v>
      </c>
      <c r="N1281" s="4">
        <v>23.5</v>
      </c>
      <c r="O1281" s="4">
        <v>21.45</v>
      </c>
      <c r="P1281" s="4">
        <v>215.5</v>
      </c>
      <c r="Q1281" s="4">
        <v>56.000000000000007</v>
      </c>
      <c r="R1281" s="4">
        <v>216</v>
      </c>
      <c r="S1281" s="4" t="str" cm="1">
        <f t="array" ref="S1281">_xlfn.IFS($R1281&lt;=50,"Good",$R1281&lt;=100,"Moderate",$R1281&lt;=200,"Poor",$R1281&lt;=300,"Very Poor",$R1281&lt;=500,"Hazardous")</f>
        <v>Very Poor</v>
      </c>
      <c r="T1281" t="s">
        <v>27</v>
      </c>
      <c r="X1281" s="2"/>
      <c r="Y1281" s="2"/>
    </row>
    <row r="1282" spans="1:25" x14ac:dyDescent="0.3">
      <c r="A1282" s="2">
        <v>45548</v>
      </c>
      <c r="B1282" t="s">
        <v>20</v>
      </c>
      <c r="C1282" s="4">
        <v>114.4</v>
      </c>
      <c r="D1282" s="4">
        <v>5</v>
      </c>
      <c r="E1282" s="4">
        <v>23.6</v>
      </c>
      <c r="F1282" s="4">
        <v>3.94</v>
      </c>
      <c r="G1282" s="4">
        <v>22.4</v>
      </c>
      <c r="H1282" s="4">
        <v>1.61</v>
      </c>
      <c r="I1282" s="4">
        <v>27</v>
      </c>
      <c r="J1282" s="4">
        <v>67.099999999999994</v>
      </c>
      <c r="K1282" s="4">
        <v>3.22</v>
      </c>
      <c r="L1282" s="4">
        <v>190.66666666666671</v>
      </c>
      <c r="M1282" s="4">
        <v>5</v>
      </c>
      <c r="N1282" s="4">
        <v>29.5</v>
      </c>
      <c r="O1282" s="4">
        <v>9.85</v>
      </c>
      <c r="P1282" s="4">
        <v>55.999999999999993</v>
      </c>
      <c r="Q1282" s="4">
        <v>80.5</v>
      </c>
      <c r="R1282" s="4">
        <v>191</v>
      </c>
      <c r="S1282" s="4" t="str" cm="1">
        <f t="array" ref="S1282">_xlfn.IFS($R1282&lt;=50,"Good",$R1282&lt;=100,"Moderate",$R1282&lt;=200,"Poor",$R1282&lt;=300,"Very Poor",$R1282&lt;=500,"Hazardous")</f>
        <v>Poor</v>
      </c>
      <c r="T1282" t="s">
        <v>25</v>
      </c>
      <c r="X1282" s="2"/>
      <c r="Y1282" s="2"/>
    </row>
    <row r="1283" spans="1:25" x14ac:dyDescent="0.3">
      <c r="A1283" s="2">
        <v>45548</v>
      </c>
      <c r="B1283" t="s">
        <v>21</v>
      </c>
      <c r="C1283" s="4">
        <v>39.4</v>
      </c>
      <c r="D1283" s="4">
        <v>58.6</v>
      </c>
      <c r="E1283" s="4">
        <v>66.2</v>
      </c>
      <c r="F1283" s="4">
        <v>6.06</v>
      </c>
      <c r="G1283" s="4">
        <v>1</v>
      </c>
      <c r="H1283" s="4">
        <v>2.23</v>
      </c>
      <c r="I1283" s="4">
        <v>34.799999999999997</v>
      </c>
      <c r="J1283" s="4">
        <v>88</v>
      </c>
      <c r="K1283" s="4">
        <v>2.72</v>
      </c>
      <c r="L1283" s="4">
        <v>65.666666666666671</v>
      </c>
      <c r="M1283" s="4">
        <v>58.6</v>
      </c>
      <c r="N1283" s="4">
        <v>82.75</v>
      </c>
      <c r="O1283" s="4">
        <v>15.15</v>
      </c>
      <c r="P1283" s="4">
        <v>2.5</v>
      </c>
      <c r="Q1283" s="4">
        <v>111.5</v>
      </c>
      <c r="R1283" s="4">
        <v>112</v>
      </c>
      <c r="S1283" s="4" t="str" cm="1">
        <f t="array" ref="S1283">_xlfn.IFS($R1283&lt;=50,"Good",$R1283&lt;=100,"Moderate",$R1283&lt;=200,"Poor",$R1283&lt;=300,"Very Poor",$R1283&lt;=500,"Hazardous")</f>
        <v>Poor</v>
      </c>
      <c r="T1283" t="s">
        <v>29</v>
      </c>
      <c r="X1283" s="2"/>
      <c r="Y1283" s="2"/>
    </row>
    <row r="1284" spans="1:25" x14ac:dyDescent="0.3">
      <c r="A1284" s="2">
        <v>45548</v>
      </c>
      <c r="B1284" t="s">
        <v>22</v>
      </c>
      <c r="C1284" s="4">
        <v>74.8</v>
      </c>
      <c r="D1284" s="4">
        <v>192.1</v>
      </c>
      <c r="E1284" s="4">
        <v>30.6</v>
      </c>
      <c r="F1284" s="4">
        <v>12.88</v>
      </c>
      <c r="G1284" s="4">
        <v>44.5</v>
      </c>
      <c r="H1284" s="4">
        <v>1.66</v>
      </c>
      <c r="I1284" s="4">
        <v>26.3</v>
      </c>
      <c r="J1284" s="4">
        <v>83.3</v>
      </c>
      <c r="K1284" s="4">
        <v>2.77</v>
      </c>
      <c r="L1284" s="4">
        <v>124.6666666666667</v>
      </c>
      <c r="M1284" s="4">
        <v>192.1</v>
      </c>
      <c r="N1284" s="4">
        <v>38.25</v>
      </c>
      <c r="O1284" s="4">
        <v>32.200000000000003</v>
      </c>
      <c r="P1284" s="4">
        <v>111.25</v>
      </c>
      <c r="Q1284" s="4">
        <v>82.999999999999986</v>
      </c>
      <c r="R1284" s="4">
        <v>192</v>
      </c>
      <c r="S1284" s="4" t="str" cm="1">
        <f t="array" ref="S1284">_xlfn.IFS($R1284&lt;=50,"Good",$R1284&lt;=100,"Moderate",$R1284&lt;=200,"Poor",$R1284&lt;=300,"Very Poor",$R1284&lt;=500,"Hazardous")</f>
        <v>Poor</v>
      </c>
      <c r="T1284" t="s">
        <v>28</v>
      </c>
      <c r="X1284" s="2"/>
      <c r="Y1284" s="2"/>
    </row>
    <row r="1285" spans="1:25" x14ac:dyDescent="0.3">
      <c r="A1285" s="2">
        <v>45548</v>
      </c>
      <c r="B1285" t="s">
        <v>23</v>
      </c>
      <c r="C1285" s="4">
        <v>15.5</v>
      </c>
      <c r="D1285" s="4">
        <v>207.1</v>
      </c>
      <c r="E1285" s="4">
        <v>26</v>
      </c>
      <c r="F1285" s="4">
        <v>14.27</v>
      </c>
      <c r="G1285" s="4">
        <v>37.700000000000003</v>
      </c>
      <c r="H1285" s="4">
        <v>1.91</v>
      </c>
      <c r="I1285" s="4">
        <v>32.9</v>
      </c>
      <c r="J1285" s="4">
        <v>67.7</v>
      </c>
      <c r="K1285" s="4">
        <v>3.11</v>
      </c>
      <c r="L1285" s="4">
        <v>25.833333333333329</v>
      </c>
      <c r="M1285" s="4">
        <v>207.1</v>
      </c>
      <c r="N1285" s="4">
        <v>32.5</v>
      </c>
      <c r="O1285" s="4">
        <v>35.674999999999997</v>
      </c>
      <c r="P1285" s="4">
        <v>94.25</v>
      </c>
      <c r="Q1285" s="4">
        <v>95.5</v>
      </c>
      <c r="R1285" s="4">
        <v>207</v>
      </c>
      <c r="S1285" s="4" t="str" cm="1">
        <f t="array" ref="S1285">_xlfn.IFS($R1285&lt;=50,"Good",$R1285&lt;=100,"Moderate",$R1285&lt;=200,"Poor",$R1285&lt;=300,"Very Poor",$R1285&lt;=500,"Hazardous")</f>
        <v>Very Poor</v>
      </c>
      <c r="T1285" t="s">
        <v>28</v>
      </c>
      <c r="X1285" s="2"/>
      <c r="Y1285" s="2"/>
    </row>
    <row r="1286" spans="1:25" x14ac:dyDescent="0.3">
      <c r="A1286" s="2">
        <v>45548</v>
      </c>
      <c r="B1286" t="s">
        <v>24</v>
      </c>
      <c r="C1286" s="4">
        <v>79.900000000000006</v>
      </c>
      <c r="D1286" s="4">
        <v>5</v>
      </c>
      <c r="E1286" s="4">
        <v>52.1</v>
      </c>
      <c r="F1286" s="4">
        <v>2.66</v>
      </c>
      <c r="G1286" s="4">
        <v>48.7</v>
      </c>
      <c r="H1286" s="4">
        <v>0.56999999999999995</v>
      </c>
      <c r="I1286" s="4">
        <v>16.7</v>
      </c>
      <c r="J1286" s="4">
        <v>88.9</v>
      </c>
      <c r="K1286" s="4">
        <v>4.28</v>
      </c>
      <c r="L1286" s="4">
        <v>133.16666666666671</v>
      </c>
      <c r="M1286" s="4">
        <v>5</v>
      </c>
      <c r="N1286" s="4">
        <v>65.125</v>
      </c>
      <c r="O1286" s="4">
        <v>6.65</v>
      </c>
      <c r="P1286" s="4">
        <v>121.75</v>
      </c>
      <c r="Q1286" s="4">
        <v>28.5</v>
      </c>
      <c r="R1286" s="4">
        <v>133</v>
      </c>
      <c r="S1286" s="4" t="str" cm="1">
        <f t="array" ref="S1286">_xlfn.IFS($R1286&lt;=50,"Good",$R1286&lt;=100,"Moderate",$R1286&lt;=200,"Poor",$R1286&lt;=300,"Very Poor",$R1286&lt;=500,"Hazardous")</f>
        <v>Poor</v>
      </c>
      <c r="T1286" t="s">
        <v>25</v>
      </c>
      <c r="X1286" s="2"/>
      <c r="Y1286" s="2"/>
    </row>
    <row r="1287" spans="1:25" x14ac:dyDescent="0.3">
      <c r="A1287" s="2">
        <v>45549</v>
      </c>
      <c r="B1287" t="s">
        <v>20</v>
      </c>
      <c r="C1287" s="4">
        <v>68.900000000000006</v>
      </c>
      <c r="D1287" s="4">
        <v>150.69999999999999</v>
      </c>
      <c r="E1287" s="4">
        <v>46</v>
      </c>
      <c r="F1287" s="4">
        <v>12.48</v>
      </c>
      <c r="G1287" s="4">
        <v>26.6</v>
      </c>
      <c r="H1287" s="4">
        <v>2.0699999999999998</v>
      </c>
      <c r="I1287" s="4">
        <v>23.2</v>
      </c>
      <c r="J1287" s="4">
        <v>52.4</v>
      </c>
      <c r="K1287" s="4">
        <v>2.5299999999999998</v>
      </c>
      <c r="L1287" s="4">
        <v>114.8333333333333</v>
      </c>
      <c r="M1287" s="4">
        <v>150.69999999999999</v>
      </c>
      <c r="N1287" s="4">
        <v>57.5</v>
      </c>
      <c r="O1287" s="4">
        <v>31.2</v>
      </c>
      <c r="P1287" s="4">
        <v>66.5</v>
      </c>
      <c r="Q1287" s="4">
        <v>103.5</v>
      </c>
      <c r="R1287" s="4">
        <v>151</v>
      </c>
      <c r="S1287" s="4" t="str" cm="1">
        <f t="array" ref="S1287">_xlfn.IFS($R1287&lt;=50,"Good",$R1287&lt;=100,"Moderate",$R1287&lt;=200,"Poor",$R1287&lt;=300,"Very Poor",$R1287&lt;=500,"Hazardous")</f>
        <v>Poor</v>
      </c>
      <c r="T1287" t="s">
        <v>28</v>
      </c>
      <c r="X1287" s="2"/>
      <c r="Y1287" s="2"/>
    </row>
    <row r="1288" spans="1:25" x14ac:dyDescent="0.3">
      <c r="A1288" s="2">
        <v>45549</v>
      </c>
      <c r="B1288" t="s">
        <v>21</v>
      </c>
      <c r="C1288" s="4">
        <v>52.8</v>
      </c>
      <c r="D1288" s="4">
        <v>174.7</v>
      </c>
      <c r="E1288" s="4">
        <v>42.8</v>
      </c>
      <c r="F1288" s="4">
        <v>12.93</v>
      </c>
      <c r="G1288" s="4">
        <v>88</v>
      </c>
      <c r="H1288" s="4">
        <v>0.96</v>
      </c>
      <c r="I1288" s="4">
        <v>24.1</v>
      </c>
      <c r="J1288" s="4">
        <v>68.3</v>
      </c>
      <c r="K1288" s="4">
        <v>1.98</v>
      </c>
      <c r="L1288" s="4">
        <v>88</v>
      </c>
      <c r="M1288" s="4">
        <v>174.7</v>
      </c>
      <c r="N1288" s="4">
        <v>53.5</v>
      </c>
      <c r="O1288" s="4">
        <v>32.325000000000003</v>
      </c>
      <c r="P1288" s="4">
        <v>220</v>
      </c>
      <c r="Q1288" s="4">
        <v>48</v>
      </c>
      <c r="R1288" s="4">
        <v>220</v>
      </c>
      <c r="S1288" s="4" t="str" cm="1">
        <f t="array" ref="S1288">_xlfn.IFS($R1288&lt;=50,"Good",$R1288&lt;=100,"Moderate",$R1288&lt;=200,"Poor",$R1288&lt;=300,"Very Poor",$R1288&lt;=500,"Hazardous")</f>
        <v>Very Poor</v>
      </c>
      <c r="T1288" t="s">
        <v>27</v>
      </c>
      <c r="X1288" s="2"/>
      <c r="Y1288" s="2"/>
    </row>
    <row r="1289" spans="1:25" x14ac:dyDescent="0.3">
      <c r="A1289" s="2">
        <v>45549</v>
      </c>
      <c r="B1289" t="s">
        <v>22</v>
      </c>
      <c r="C1289" s="4">
        <v>70.2</v>
      </c>
      <c r="D1289" s="4">
        <v>145.69999999999999</v>
      </c>
      <c r="E1289" s="4">
        <v>63.3</v>
      </c>
      <c r="F1289" s="4">
        <v>4.72</v>
      </c>
      <c r="G1289" s="4">
        <v>15.6</v>
      </c>
      <c r="H1289" s="4">
        <v>0.96</v>
      </c>
      <c r="I1289" s="4">
        <v>18.2</v>
      </c>
      <c r="J1289" s="4">
        <v>70.2</v>
      </c>
      <c r="K1289" s="4">
        <v>1.1100000000000001</v>
      </c>
      <c r="L1289" s="4">
        <v>117</v>
      </c>
      <c r="M1289" s="4">
        <v>145.69999999999999</v>
      </c>
      <c r="N1289" s="4">
        <v>79.125</v>
      </c>
      <c r="O1289" s="4">
        <v>11.8</v>
      </c>
      <c r="P1289" s="4">
        <v>39</v>
      </c>
      <c r="Q1289" s="4">
        <v>48</v>
      </c>
      <c r="R1289" s="4">
        <v>146</v>
      </c>
      <c r="S1289" s="4" t="str" cm="1">
        <f t="array" ref="S1289">_xlfn.IFS($R1289&lt;=50,"Good",$R1289&lt;=100,"Moderate",$R1289&lt;=200,"Poor",$R1289&lt;=300,"Very Poor",$R1289&lt;=500,"Hazardous")</f>
        <v>Poor</v>
      </c>
      <c r="T1289" t="s">
        <v>28</v>
      </c>
      <c r="X1289" s="2"/>
      <c r="Y1289" s="2"/>
    </row>
    <row r="1290" spans="1:25" x14ac:dyDescent="0.3">
      <c r="A1290" s="2">
        <v>45549</v>
      </c>
      <c r="B1290" t="s">
        <v>23</v>
      </c>
      <c r="C1290" s="4">
        <v>130</v>
      </c>
      <c r="D1290" s="4">
        <v>197.8</v>
      </c>
      <c r="E1290" s="4">
        <v>45.3</v>
      </c>
      <c r="F1290" s="4">
        <v>12.34</v>
      </c>
      <c r="G1290" s="4">
        <v>1</v>
      </c>
      <c r="H1290" s="4">
        <v>2.71</v>
      </c>
      <c r="I1290" s="4">
        <v>20.9</v>
      </c>
      <c r="J1290" s="4">
        <v>57.8</v>
      </c>
      <c r="K1290" s="4">
        <v>0.27</v>
      </c>
      <c r="L1290" s="4">
        <v>216.66666666666671</v>
      </c>
      <c r="M1290" s="4">
        <v>197.8</v>
      </c>
      <c r="N1290" s="4">
        <v>56.624999999999993</v>
      </c>
      <c r="O1290" s="4">
        <v>30.85</v>
      </c>
      <c r="P1290" s="4">
        <v>2.5</v>
      </c>
      <c r="Q1290" s="4">
        <v>135.5</v>
      </c>
      <c r="R1290" s="4">
        <v>217</v>
      </c>
      <c r="S1290" s="4" t="str" cm="1">
        <f t="array" ref="S1290">_xlfn.IFS($R1290&lt;=50,"Good",$R1290&lt;=100,"Moderate",$R1290&lt;=200,"Poor",$R1290&lt;=300,"Very Poor",$R1290&lt;=500,"Hazardous")</f>
        <v>Very Poor</v>
      </c>
      <c r="T1290" t="s">
        <v>25</v>
      </c>
      <c r="X1290" s="2"/>
      <c r="Y1290" s="2"/>
    </row>
    <row r="1291" spans="1:25" x14ac:dyDescent="0.3">
      <c r="A1291" s="2">
        <v>45549</v>
      </c>
      <c r="B1291" t="s">
        <v>24</v>
      </c>
      <c r="C1291" s="4">
        <v>82</v>
      </c>
      <c r="D1291" s="4">
        <v>59</v>
      </c>
      <c r="E1291" s="4">
        <v>51.7</v>
      </c>
      <c r="F1291" s="4">
        <v>5.81</v>
      </c>
      <c r="G1291" s="4">
        <v>14.4</v>
      </c>
      <c r="H1291" s="4">
        <v>0.79</v>
      </c>
      <c r="I1291" s="4">
        <v>26.6</v>
      </c>
      <c r="J1291" s="4">
        <v>36.9</v>
      </c>
      <c r="K1291" s="4">
        <v>2.1</v>
      </c>
      <c r="L1291" s="4">
        <v>136.66666666666671</v>
      </c>
      <c r="M1291" s="4">
        <v>59</v>
      </c>
      <c r="N1291" s="4">
        <v>64.625</v>
      </c>
      <c r="O1291" s="4">
        <v>14.525</v>
      </c>
      <c r="P1291" s="4">
        <v>36.000000000000007</v>
      </c>
      <c r="Q1291" s="4">
        <v>39.5</v>
      </c>
      <c r="R1291" s="4">
        <v>137</v>
      </c>
      <c r="S1291" s="4" t="str" cm="1">
        <f t="array" ref="S1291">_xlfn.IFS($R1291&lt;=50,"Good",$R1291&lt;=100,"Moderate",$R1291&lt;=200,"Poor",$R1291&lt;=300,"Very Poor",$R1291&lt;=500,"Hazardous")</f>
        <v>Poor</v>
      </c>
      <c r="T1291" t="s">
        <v>25</v>
      </c>
      <c r="X1291" s="2"/>
      <c r="Y1291" s="2"/>
    </row>
    <row r="1292" spans="1:25" x14ac:dyDescent="0.3">
      <c r="A1292" s="2">
        <v>45550</v>
      </c>
      <c r="B1292" t="s">
        <v>20</v>
      </c>
      <c r="C1292" s="4">
        <v>91.9</v>
      </c>
      <c r="D1292" s="4">
        <v>317.60000000000002</v>
      </c>
      <c r="E1292" s="4">
        <v>62.7</v>
      </c>
      <c r="F1292" s="4">
        <v>3.93</v>
      </c>
      <c r="G1292" s="4">
        <v>35.4</v>
      </c>
      <c r="H1292" s="4">
        <v>1.4</v>
      </c>
      <c r="I1292" s="4">
        <v>22.6</v>
      </c>
      <c r="J1292" s="4">
        <v>76.3</v>
      </c>
      <c r="K1292" s="4">
        <v>2.76</v>
      </c>
      <c r="L1292" s="4">
        <v>153.16666666666671</v>
      </c>
      <c r="M1292" s="4">
        <v>317.60000000000002</v>
      </c>
      <c r="N1292" s="4">
        <v>78.375</v>
      </c>
      <c r="O1292" s="4">
        <v>9.8250000000000011</v>
      </c>
      <c r="P1292" s="4">
        <v>88.5</v>
      </c>
      <c r="Q1292" s="4">
        <v>69.999999999999986</v>
      </c>
      <c r="R1292" s="4">
        <v>318</v>
      </c>
      <c r="S1292" s="4" t="str" cm="1">
        <f t="array" ref="S1292">_xlfn.IFS($R1292&lt;=50,"Good",$R1292&lt;=100,"Moderate",$R1292&lt;=200,"Poor",$R1292&lt;=300,"Very Poor",$R1292&lt;=500,"Hazardous")</f>
        <v>Hazardous</v>
      </c>
      <c r="T1292" t="s">
        <v>28</v>
      </c>
      <c r="X1292" s="2"/>
      <c r="Y1292" s="2"/>
    </row>
    <row r="1293" spans="1:25" x14ac:dyDescent="0.3">
      <c r="A1293" s="2">
        <v>45550</v>
      </c>
      <c r="B1293" t="s">
        <v>21</v>
      </c>
      <c r="C1293" s="4">
        <v>109</v>
      </c>
      <c r="D1293" s="4">
        <v>126.4</v>
      </c>
      <c r="E1293" s="4">
        <v>89.4</v>
      </c>
      <c r="F1293" s="4">
        <v>8.9600000000000009</v>
      </c>
      <c r="G1293" s="4">
        <v>19.7</v>
      </c>
      <c r="H1293" s="4">
        <v>3.13</v>
      </c>
      <c r="I1293" s="4">
        <v>12.2</v>
      </c>
      <c r="J1293" s="4">
        <v>46.7</v>
      </c>
      <c r="K1293" s="4">
        <v>1.75</v>
      </c>
      <c r="L1293" s="4">
        <v>181.66666666666671</v>
      </c>
      <c r="M1293" s="4">
        <v>126.4</v>
      </c>
      <c r="N1293" s="4">
        <v>111.75</v>
      </c>
      <c r="O1293" s="4">
        <v>22.4</v>
      </c>
      <c r="P1293" s="4">
        <v>49.249999999999993</v>
      </c>
      <c r="Q1293" s="4">
        <v>156.5</v>
      </c>
      <c r="R1293" s="4">
        <v>182</v>
      </c>
      <c r="S1293" s="4" t="str" cm="1">
        <f t="array" ref="S1293">_xlfn.IFS($R1293&lt;=50,"Good",$R1293&lt;=100,"Moderate",$R1293&lt;=200,"Poor",$R1293&lt;=300,"Very Poor",$R1293&lt;=500,"Hazardous")</f>
        <v>Poor</v>
      </c>
      <c r="T1293" t="s">
        <v>25</v>
      </c>
      <c r="X1293" s="2"/>
      <c r="Y1293" s="2"/>
    </row>
    <row r="1294" spans="1:25" x14ac:dyDescent="0.3">
      <c r="A1294" s="2">
        <v>45550</v>
      </c>
      <c r="B1294" t="s">
        <v>22</v>
      </c>
      <c r="C1294" s="4">
        <v>128.5</v>
      </c>
      <c r="D1294" s="4">
        <v>217</v>
      </c>
      <c r="E1294" s="4">
        <v>71.099999999999994</v>
      </c>
      <c r="F1294" s="4">
        <v>6.03</v>
      </c>
      <c r="G1294" s="4">
        <v>95.6</v>
      </c>
      <c r="H1294" s="4">
        <v>1.35</v>
      </c>
      <c r="I1294" s="4">
        <v>31.8</v>
      </c>
      <c r="J1294" s="4">
        <v>63.2</v>
      </c>
      <c r="K1294" s="4">
        <v>2.44</v>
      </c>
      <c r="L1294" s="4">
        <v>214.16666666666671</v>
      </c>
      <c r="M1294" s="4">
        <v>217</v>
      </c>
      <c r="N1294" s="4">
        <v>88.875</v>
      </c>
      <c r="O1294" s="4">
        <v>15.074999999999999</v>
      </c>
      <c r="P1294" s="4">
        <v>239</v>
      </c>
      <c r="Q1294" s="4">
        <v>67.5</v>
      </c>
      <c r="R1294" s="4">
        <v>239</v>
      </c>
      <c r="S1294" s="4" t="str" cm="1">
        <f t="array" ref="S1294">_xlfn.IFS($R1294&lt;=50,"Good",$R1294&lt;=100,"Moderate",$R1294&lt;=200,"Poor",$R1294&lt;=300,"Very Poor",$R1294&lt;=500,"Hazardous")</f>
        <v>Very Poor</v>
      </c>
      <c r="T1294" t="s">
        <v>27</v>
      </c>
      <c r="X1294" s="2"/>
      <c r="Y1294" s="2"/>
    </row>
    <row r="1295" spans="1:25" x14ac:dyDescent="0.3">
      <c r="A1295" s="2">
        <v>45550</v>
      </c>
      <c r="B1295" t="s">
        <v>23</v>
      </c>
      <c r="C1295" s="4">
        <v>52.4</v>
      </c>
      <c r="D1295" s="4">
        <v>107.4</v>
      </c>
      <c r="E1295" s="4">
        <v>57.2</v>
      </c>
      <c r="F1295" s="4">
        <v>9.84</v>
      </c>
      <c r="G1295" s="4">
        <v>39.200000000000003</v>
      </c>
      <c r="H1295" s="4">
        <v>2.11</v>
      </c>
      <c r="I1295" s="4">
        <v>4.2</v>
      </c>
      <c r="J1295" s="4">
        <v>69.2</v>
      </c>
      <c r="K1295" s="4">
        <v>3.36</v>
      </c>
      <c r="L1295" s="4">
        <v>87.333333333333329</v>
      </c>
      <c r="M1295" s="4">
        <v>107.4</v>
      </c>
      <c r="N1295" s="4">
        <v>71.500000000000014</v>
      </c>
      <c r="O1295" s="4">
        <v>24.6</v>
      </c>
      <c r="P1295" s="4">
        <v>98</v>
      </c>
      <c r="Q1295" s="4">
        <v>105.5</v>
      </c>
      <c r="R1295" s="4">
        <v>107</v>
      </c>
      <c r="S1295" s="4" t="str" cm="1">
        <f t="array" ref="S1295">_xlfn.IFS($R1295&lt;=50,"Good",$R1295&lt;=100,"Moderate",$R1295&lt;=200,"Poor",$R1295&lt;=300,"Very Poor",$R1295&lt;=500,"Hazardous")</f>
        <v>Poor</v>
      </c>
      <c r="T1295" t="s">
        <v>28</v>
      </c>
      <c r="X1295" s="2"/>
      <c r="Y1295" s="2"/>
    </row>
    <row r="1296" spans="1:25" x14ac:dyDescent="0.3">
      <c r="A1296" s="2">
        <v>45550</v>
      </c>
      <c r="B1296" t="s">
        <v>24</v>
      </c>
      <c r="C1296" s="4">
        <v>103.8</v>
      </c>
      <c r="D1296" s="4">
        <v>127.7</v>
      </c>
      <c r="E1296" s="4">
        <v>54.1</v>
      </c>
      <c r="F1296" s="4">
        <v>14.22</v>
      </c>
      <c r="G1296" s="4">
        <v>85</v>
      </c>
      <c r="H1296" s="4">
        <v>1.1200000000000001</v>
      </c>
      <c r="I1296" s="4">
        <v>26.9</v>
      </c>
      <c r="J1296" s="4">
        <v>90.2</v>
      </c>
      <c r="K1296" s="4">
        <v>0.45</v>
      </c>
      <c r="L1296" s="4">
        <v>173</v>
      </c>
      <c r="M1296" s="4">
        <v>127.7</v>
      </c>
      <c r="N1296" s="4">
        <v>67.625</v>
      </c>
      <c r="O1296" s="4">
        <v>35.549999999999997</v>
      </c>
      <c r="P1296" s="4">
        <v>212.5</v>
      </c>
      <c r="Q1296" s="4">
        <v>56.000000000000007</v>
      </c>
      <c r="R1296" s="4">
        <v>212</v>
      </c>
      <c r="S1296" s="4" t="str" cm="1">
        <f t="array" ref="S1296">_xlfn.IFS($R1296&lt;=50,"Good",$R1296&lt;=100,"Moderate",$R1296&lt;=200,"Poor",$R1296&lt;=300,"Very Poor",$R1296&lt;=500,"Hazardous")</f>
        <v>Very Poor</v>
      </c>
      <c r="T1296" t="s">
        <v>27</v>
      </c>
      <c r="X1296" s="2"/>
      <c r="Y1296" s="2"/>
    </row>
    <row r="1297" spans="1:25" x14ac:dyDescent="0.3">
      <c r="A1297" s="2">
        <v>45551</v>
      </c>
      <c r="B1297" t="s">
        <v>20</v>
      </c>
      <c r="C1297" s="4">
        <v>45.2</v>
      </c>
      <c r="D1297" s="4">
        <v>239.1</v>
      </c>
      <c r="E1297" s="4">
        <v>76.900000000000006</v>
      </c>
      <c r="F1297" s="4">
        <v>12.2</v>
      </c>
      <c r="G1297" s="4">
        <v>33.1</v>
      </c>
      <c r="H1297" s="4">
        <v>0.77</v>
      </c>
      <c r="I1297" s="4">
        <v>20.9</v>
      </c>
      <c r="J1297" s="4">
        <v>87.9</v>
      </c>
      <c r="K1297" s="4">
        <v>1.75</v>
      </c>
      <c r="L1297" s="4">
        <v>75.333333333333329</v>
      </c>
      <c r="M1297" s="4">
        <v>239.1</v>
      </c>
      <c r="N1297" s="4">
        <v>96.125</v>
      </c>
      <c r="O1297" s="4">
        <v>30.5</v>
      </c>
      <c r="P1297" s="4">
        <v>82.75</v>
      </c>
      <c r="Q1297" s="4">
        <v>38.5</v>
      </c>
      <c r="R1297" s="4">
        <v>239</v>
      </c>
      <c r="S1297" s="4" t="str" cm="1">
        <f t="array" ref="S1297">_xlfn.IFS($R1297&lt;=50,"Good",$R1297&lt;=100,"Moderate",$R1297&lt;=200,"Poor",$R1297&lt;=300,"Very Poor",$R1297&lt;=500,"Hazardous")</f>
        <v>Very Poor</v>
      </c>
      <c r="T1297" t="s">
        <v>28</v>
      </c>
      <c r="X1297" s="2"/>
      <c r="Y1297" s="2"/>
    </row>
    <row r="1298" spans="1:25" x14ac:dyDescent="0.3">
      <c r="A1298" s="2">
        <v>45551</v>
      </c>
      <c r="B1298" t="s">
        <v>21</v>
      </c>
      <c r="C1298" s="4">
        <v>78.8</v>
      </c>
      <c r="D1298" s="4">
        <v>93.5</v>
      </c>
      <c r="E1298" s="4">
        <v>77.3</v>
      </c>
      <c r="F1298" s="4">
        <v>6.63</v>
      </c>
      <c r="G1298" s="4">
        <v>47</v>
      </c>
      <c r="H1298" s="4">
        <v>0.24</v>
      </c>
      <c r="I1298" s="4">
        <v>13.7</v>
      </c>
      <c r="J1298" s="4">
        <v>60.1</v>
      </c>
      <c r="K1298" s="4">
        <v>0.91</v>
      </c>
      <c r="L1298" s="4">
        <v>131.33333333333329</v>
      </c>
      <c r="M1298" s="4">
        <v>93.5</v>
      </c>
      <c r="N1298" s="4">
        <v>96.625</v>
      </c>
      <c r="O1298" s="4">
        <v>16.574999999999999</v>
      </c>
      <c r="P1298" s="4">
        <v>117.5</v>
      </c>
      <c r="Q1298" s="4">
        <v>12</v>
      </c>
      <c r="R1298" s="4">
        <v>131</v>
      </c>
      <c r="S1298" s="4" t="str" cm="1">
        <f t="array" ref="S1298">_xlfn.IFS($R1298&lt;=50,"Good",$R1298&lt;=100,"Moderate",$R1298&lt;=200,"Poor",$R1298&lt;=300,"Very Poor",$R1298&lt;=500,"Hazardous")</f>
        <v>Poor</v>
      </c>
      <c r="T1298" t="s">
        <v>25</v>
      </c>
      <c r="X1298" s="2"/>
      <c r="Y1298" s="2"/>
    </row>
    <row r="1299" spans="1:25" x14ac:dyDescent="0.3">
      <c r="A1299" s="2">
        <v>45551</v>
      </c>
      <c r="B1299" t="s">
        <v>22</v>
      </c>
      <c r="C1299" s="4">
        <v>117</v>
      </c>
      <c r="D1299" s="4">
        <v>5</v>
      </c>
      <c r="E1299" s="4">
        <v>27.5</v>
      </c>
      <c r="F1299" s="4">
        <v>7.68</v>
      </c>
      <c r="G1299" s="4">
        <v>29.3</v>
      </c>
      <c r="H1299" s="4">
        <v>0.51</v>
      </c>
      <c r="I1299" s="4">
        <v>18.3</v>
      </c>
      <c r="J1299" s="4">
        <v>42.2</v>
      </c>
      <c r="K1299" s="4">
        <v>2.16</v>
      </c>
      <c r="L1299" s="4">
        <v>195</v>
      </c>
      <c r="M1299" s="4">
        <v>5</v>
      </c>
      <c r="N1299" s="4">
        <v>34.375</v>
      </c>
      <c r="O1299" s="4">
        <v>19.2</v>
      </c>
      <c r="P1299" s="4">
        <v>73.25</v>
      </c>
      <c r="Q1299" s="4">
        <v>25.5</v>
      </c>
      <c r="R1299" s="4">
        <v>195</v>
      </c>
      <c r="S1299" s="4" t="str" cm="1">
        <f t="array" ref="S1299">_xlfn.IFS($R1299&lt;=50,"Good",$R1299&lt;=100,"Moderate",$R1299&lt;=200,"Poor",$R1299&lt;=300,"Very Poor",$R1299&lt;=500,"Hazardous")</f>
        <v>Poor</v>
      </c>
      <c r="T1299" t="s">
        <v>25</v>
      </c>
      <c r="X1299" s="2"/>
      <c r="Y1299" s="2"/>
    </row>
    <row r="1300" spans="1:25" x14ac:dyDescent="0.3">
      <c r="A1300" s="2">
        <v>45551</v>
      </c>
      <c r="B1300" t="s">
        <v>23</v>
      </c>
      <c r="C1300" s="4">
        <v>118.6</v>
      </c>
      <c r="D1300" s="4">
        <v>124.7</v>
      </c>
      <c r="E1300" s="4">
        <v>68.7</v>
      </c>
      <c r="F1300" s="4">
        <v>10.53</v>
      </c>
      <c r="G1300" s="4">
        <v>67.8</v>
      </c>
      <c r="H1300" s="4">
        <v>0.05</v>
      </c>
      <c r="I1300" s="4">
        <v>22.9</v>
      </c>
      <c r="J1300" s="4">
        <v>83.5</v>
      </c>
      <c r="K1300" s="4">
        <v>1.81</v>
      </c>
      <c r="L1300" s="4">
        <v>197.66666666666671</v>
      </c>
      <c r="M1300" s="4">
        <v>124.7</v>
      </c>
      <c r="N1300" s="4">
        <v>85.875</v>
      </c>
      <c r="O1300" s="4">
        <v>26.324999999999999</v>
      </c>
      <c r="P1300" s="4">
        <v>169.5</v>
      </c>
      <c r="Q1300" s="4">
        <v>2.5</v>
      </c>
      <c r="R1300" s="4">
        <v>198</v>
      </c>
      <c r="S1300" s="4" t="str" cm="1">
        <f t="array" ref="S1300">_xlfn.IFS($R1300&lt;=50,"Good",$R1300&lt;=100,"Moderate",$R1300&lt;=200,"Poor",$R1300&lt;=300,"Very Poor",$R1300&lt;=500,"Hazardous")</f>
        <v>Poor</v>
      </c>
      <c r="T1300" t="s">
        <v>25</v>
      </c>
      <c r="X1300" s="2"/>
      <c r="Y1300" s="2"/>
    </row>
    <row r="1301" spans="1:25" x14ac:dyDescent="0.3">
      <c r="A1301" s="2">
        <v>45551</v>
      </c>
      <c r="B1301" t="s">
        <v>24</v>
      </c>
      <c r="C1301" s="4">
        <v>124.2</v>
      </c>
      <c r="D1301" s="4">
        <v>229.9</v>
      </c>
      <c r="E1301" s="4">
        <v>39.200000000000003</v>
      </c>
      <c r="F1301" s="4">
        <v>6.03</v>
      </c>
      <c r="G1301" s="4">
        <v>16.100000000000001</v>
      </c>
      <c r="H1301" s="4">
        <v>0.9</v>
      </c>
      <c r="I1301" s="4">
        <v>16.399999999999999</v>
      </c>
      <c r="J1301" s="4">
        <v>67.7</v>
      </c>
      <c r="K1301" s="4">
        <v>1.25</v>
      </c>
      <c r="L1301" s="4">
        <v>207</v>
      </c>
      <c r="M1301" s="4">
        <v>229.9</v>
      </c>
      <c r="N1301" s="4">
        <v>49</v>
      </c>
      <c r="O1301" s="4">
        <v>15.074999999999999</v>
      </c>
      <c r="P1301" s="4">
        <v>40.25</v>
      </c>
      <c r="Q1301" s="4">
        <v>45</v>
      </c>
      <c r="R1301" s="4">
        <v>230</v>
      </c>
      <c r="S1301" s="4" t="str" cm="1">
        <f t="array" ref="S1301">_xlfn.IFS($R1301&lt;=50,"Good",$R1301&lt;=100,"Moderate",$R1301&lt;=200,"Poor",$R1301&lt;=300,"Very Poor",$R1301&lt;=500,"Hazardous")</f>
        <v>Very Poor</v>
      </c>
      <c r="T1301" t="s">
        <v>28</v>
      </c>
      <c r="X1301" s="2"/>
      <c r="Y1301" s="2"/>
    </row>
    <row r="1302" spans="1:25" x14ac:dyDescent="0.3">
      <c r="A1302" s="2">
        <v>45552</v>
      </c>
      <c r="B1302" t="s">
        <v>20</v>
      </c>
      <c r="C1302" s="4">
        <v>89.8</v>
      </c>
      <c r="D1302" s="4">
        <v>181.3</v>
      </c>
      <c r="E1302" s="4">
        <v>13.5</v>
      </c>
      <c r="F1302" s="4">
        <v>18.11</v>
      </c>
      <c r="G1302" s="4">
        <v>60.8</v>
      </c>
      <c r="H1302" s="4">
        <v>1.9</v>
      </c>
      <c r="I1302" s="4">
        <v>19.7</v>
      </c>
      <c r="J1302" s="4">
        <v>71.2</v>
      </c>
      <c r="K1302" s="4">
        <v>3.85</v>
      </c>
      <c r="L1302" s="4">
        <v>149.66666666666671</v>
      </c>
      <c r="M1302" s="4">
        <v>181.3</v>
      </c>
      <c r="N1302" s="4">
        <v>16.875</v>
      </c>
      <c r="O1302" s="4">
        <v>45.274999999999999</v>
      </c>
      <c r="P1302" s="4">
        <v>152</v>
      </c>
      <c r="Q1302" s="4">
        <v>95</v>
      </c>
      <c r="R1302" s="4">
        <v>181</v>
      </c>
      <c r="S1302" s="4" t="str" cm="1">
        <f t="array" ref="S1302">_xlfn.IFS($R1302&lt;=50,"Good",$R1302&lt;=100,"Moderate",$R1302&lt;=200,"Poor",$R1302&lt;=300,"Very Poor",$R1302&lt;=500,"Hazardous")</f>
        <v>Poor</v>
      </c>
      <c r="T1302" t="s">
        <v>28</v>
      </c>
      <c r="X1302" s="2"/>
      <c r="Y1302" s="2"/>
    </row>
    <row r="1303" spans="1:25" x14ac:dyDescent="0.3">
      <c r="A1303" s="2">
        <v>45552</v>
      </c>
      <c r="B1303" t="s">
        <v>21</v>
      </c>
      <c r="C1303" s="4">
        <v>71.3</v>
      </c>
      <c r="D1303" s="4">
        <v>300.10000000000002</v>
      </c>
      <c r="E1303" s="4">
        <v>57.4</v>
      </c>
      <c r="F1303" s="4">
        <v>17.13</v>
      </c>
      <c r="G1303" s="4">
        <v>59.2</v>
      </c>
      <c r="H1303" s="4">
        <v>1.94</v>
      </c>
      <c r="I1303" s="4">
        <v>13.3</v>
      </c>
      <c r="J1303" s="4">
        <v>66.7</v>
      </c>
      <c r="K1303" s="4">
        <v>1.62</v>
      </c>
      <c r="L1303" s="4">
        <v>118.8333333333333</v>
      </c>
      <c r="M1303" s="4">
        <v>300.10000000000002</v>
      </c>
      <c r="N1303" s="4">
        <v>71.75</v>
      </c>
      <c r="O1303" s="4">
        <v>42.825000000000003</v>
      </c>
      <c r="P1303" s="4">
        <v>148</v>
      </c>
      <c r="Q1303" s="4">
        <v>97</v>
      </c>
      <c r="R1303" s="4">
        <v>300</v>
      </c>
      <c r="S1303" s="4" t="str" cm="1">
        <f t="array" ref="S1303">_xlfn.IFS($R1303&lt;=50,"Good",$R1303&lt;=100,"Moderate",$R1303&lt;=200,"Poor",$R1303&lt;=300,"Very Poor",$R1303&lt;=500,"Hazardous")</f>
        <v>Very Poor</v>
      </c>
      <c r="T1303" t="s">
        <v>28</v>
      </c>
      <c r="X1303" s="2"/>
      <c r="Y1303" s="2"/>
    </row>
    <row r="1304" spans="1:25" x14ac:dyDescent="0.3">
      <c r="A1304" s="2">
        <v>45552</v>
      </c>
      <c r="B1304" t="s">
        <v>22</v>
      </c>
      <c r="C1304" s="4">
        <v>32.9</v>
      </c>
      <c r="D1304" s="4">
        <v>213.4</v>
      </c>
      <c r="E1304" s="4">
        <v>38.700000000000003</v>
      </c>
      <c r="F1304" s="4">
        <v>2.83</v>
      </c>
      <c r="G1304" s="4">
        <v>29.5</v>
      </c>
      <c r="H1304" s="4">
        <v>0.4</v>
      </c>
      <c r="I1304" s="4">
        <v>35</v>
      </c>
      <c r="J1304" s="4">
        <v>47.5</v>
      </c>
      <c r="K1304" s="4">
        <v>3.14</v>
      </c>
      <c r="L1304" s="4">
        <v>54.833333333333329</v>
      </c>
      <c r="M1304" s="4">
        <v>213.4</v>
      </c>
      <c r="N1304" s="4">
        <v>48.375</v>
      </c>
      <c r="O1304" s="4">
        <v>7.0750000000000002</v>
      </c>
      <c r="P1304" s="4">
        <v>73.75</v>
      </c>
      <c r="Q1304" s="4">
        <v>20</v>
      </c>
      <c r="R1304" s="4">
        <v>213</v>
      </c>
      <c r="S1304" s="4" t="str" cm="1">
        <f t="array" ref="S1304">_xlfn.IFS($R1304&lt;=50,"Good",$R1304&lt;=100,"Moderate",$R1304&lt;=200,"Poor",$R1304&lt;=300,"Very Poor",$R1304&lt;=500,"Hazardous")</f>
        <v>Very Poor</v>
      </c>
      <c r="T1304" t="s">
        <v>28</v>
      </c>
      <c r="X1304" s="2"/>
      <c r="Y1304" s="2"/>
    </row>
    <row r="1305" spans="1:25" x14ac:dyDescent="0.3">
      <c r="A1305" s="2">
        <v>45552</v>
      </c>
      <c r="B1305" t="s">
        <v>23</v>
      </c>
      <c r="C1305" s="4">
        <v>100.7</v>
      </c>
      <c r="D1305" s="4">
        <v>90</v>
      </c>
      <c r="E1305" s="4">
        <v>55.6</v>
      </c>
      <c r="F1305" s="4">
        <v>2.85</v>
      </c>
      <c r="G1305" s="4">
        <v>101.1</v>
      </c>
      <c r="H1305" s="4">
        <v>1.76</v>
      </c>
      <c r="I1305" s="4">
        <v>23.7</v>
      </c>
      <c r="J1305" s="4">
        <v>46.1</v>
      </c>
      <c r="K1305" s="4">
        <v>2.36</v>
      </c>
      <c r="L1305" s="4">
        <v>167.83333333333329</v>
      </c>
      <c r="M1305" s="4">
        <v>90</v>
      </c>
      <c r="N1305" s="4">
        <v>69.5</v>
      </c>
      <c r="O1305" s="4">
        <v>7.125</v>
      </c>
      <c r="P1305" s="4">
        <v>252.75</v>
      </c>
      <c r="Q1305" s="4">
        <v>88</v>
      </c>
      <c r="R1305" s="4">
        <v>253</v>
      </c>
      <c r="S1305" s="4" t="str" cm="1">
        <f t="array" ref="S1305">_xlfn.IFS($R1305&lt;=50,"Good",$R1305&lt;=100,"Moderate",$R1305&lt;=200,"Poor",$R1305&lt;=300,"Very Poor",$R1305&lt;=500,"Hazardous")</f>
        <v>Very Poor</v>
      </c>
      <c r="T1305" t="s">
        <v>27</v>
      </c>
      <c r="X1305" s="2"/>
      <c r="Y1305" s="2"/>
    </row>
    <row r="1306" spans="1:25" x14ac:dyDescent="0.3">
      <c r="A1306" s="2">
        <v>45552</v>
      </c>
      <c r="B1306" t="s">
        <v>24</v>
      </c>
      <c r="C1306" s="4">
        <v>54.8</v>
      </c>
      <c r="D1306" s="4">
        <v>260.89999999999998</v>
      </c>
      <c r="E1306" s="4">
        <v>22.5</v>
      </c>
      <c r="F1306" s="4">
        <v>9.5399999999999991</v>
      </c>
      <c r="G1306" s="4">
        <v>43.5</v>
      </c>
      <c r="H1306" s="4">
        <v>1.24</v>
      </c>
      <c r="I1306" s="4">
        <v>24.2</v>
      </c>
      <c r="J1306" s="4">
        <v>57.9</v>
      </c>
      <c r="K1306" s="4">
        <v>4.05</v>
      </c>
      <c r="L1306" s="4">
        <v>91.333333333333329</v>
      </c>
      <c r="M1306" s="4">
        <v>260.89999999999998</v>
      </c>
      <c r="N1306" s="4">
        <v>28.125</v>
      </c>
      <c r="O1306" s="4">
        <v>23.85</v>
      </c>
      <c r="P1306" s="4">
        <v>108.75</v>
      </c>
      <c r="Q1306" s="4">
        <v>62</v>
      </c>
      <c r="R1306" s="4">
        <v>261</v>
      </c>
      <c r="S1306" s="4" t="str" cm="1">
        <f t="array" ref="S1306">_xlfn.IFS($R1306&lt;=50,"Good",$R1306&lt;=100,"Moderate",$R1306&lt;=200,"Poor",$R1306&lt;=300,"Very Poor",$R1306&lt;=500,"Hazardous")</f>
        <v>Very Poor</v>
      </c>
      <c r="T1306" t="s">
        <v>28</v>
      </c>
      <c r="X1306" s="2"/>
      <c r="Y1306" s="2"/>
    </row>
    <row r="1307" spans="1:25" x14ac:dyDescent="0.3">
      <c r="A1307" s="2">
        <v>45553</v>
      </c>
      <c r="B1307" t="s">
        <v>20</v>
      </c>
      <c r="C1307" s="4">
        <v>90</v>
      </c>
      <c r="D1307" s="4">
        <v>166.9</v>
      </c>
      <c r="E1307" s="4">
        <v>2</v>
      </c>
      <c r="F1307" s="4">
        <v>10.92</v>
      </c>
      <c r="G1307" s="4">
        <v>1</v>
      </c>
      <c r="H1307" s="4">
        <v>1.83</v>
      </c>
      <c r="I1307" s="4">
        <v>35.299999999999997</v>
      </c>
      <c r="J1307" s="4">
        <v>43.3</v>
      </c>
      <c r="K1307" s="4">
        <v>2.19</v>
      </c>
      <c r="L1307" s="4">
        <v>150</v>
      </c>
      <c r="M1307" s="4">
        <v>166.9</v>
      </c>
      <c r="N1307" s="4">
        <v>2.5</v>
      </c>
      <c r="O1307" s="4">
        <v>27.3</v>
      </c>
      <c r="P1307" s="4">
        <v>2.5</v>
      </c>
      <c r="Q1307" s="4">
        <v>91.5</v>
      </c>
      <c r="R1307" s="4">
        <v>167</v>
      </c>
      <c r="S1307" s="4" t="str" cm="1">
        <f t="array" ref="S1307">_xlfn.IFS($R1307&lt;=50,"Good",$R1307&lt;=100,"Moderate",$R1307&lt;=200,"Poor",$R1307&lt;=300,"Very Poor",$R1307&lt;=500,"Hazardous")</f>
        <v>Poor</v>
      </c>
      <c r="T1307" t="s">
        <v>28</v>
      </c>
      <c r="X1307" s="2"/>
      <c r="Y1307" s="2"/>
    </row>
    <row r="1308" spans="1:25" x14ac:dyDescent="0.3">
      <c r="A1308" s="2">
        <v>45553</v>
      </c>
      <c r="B1308" t="s">
        <v>21</v>
      </c>
      <c r="C1308" s="4">
        <v>52.5</v>
      </c>
      <c r="D1308" s="4">
        <v>242.7</v>
      </c>
      <c r="E1308" s="4">
        <v>58.6</v>
      </c>
      <c r="F1308" s="4">
        <v>20.8</v>
      </c>
      <c r="G1308" s="4">
        <v>62.9</v>
      </c>
      <c r="H1308" s="4">
        <v>1.68</v>
      </c>
      <c r="I1308" s="4">
        <v>25.5</v>
      </c>
      <c r="J1308" s="4">
        <v>74.7</v>
      </c>
      <c r="K1308" s="4">
        <v>0.41</v>
      </c>
      <c r="L1308" s="4">
        <v>87.5</v>
      </c>
      <c r="M1308" s="4">
        <v>242.7</v>
      </c>
      <c r="N1308" s="4">
        <v>73.25</v>
      </c>
      <c r="O1308" s="4">
        <v>52.000000000000007</v>
      </c>
      <c r="P1308" s="4">
        <v>157.25</v>
      </c>
      <c r="Q1308" s="4">
        <v>83.999999999999986</v>
      </c>
      <c r="R1308" s="4">
        <v>243</v>
      </c>
      <c r="S1308" s="4" t="str" cm="1">
        <f t="array" ref="S1308">_xlfn.IFS($R1308&lt;=50,"Good",$R1308&lt;=100,"Moderate",$R1308&lt;=200,"Poor",$R1308&lt;=300,"Very Poor",$R1308&lt;=500,"Hazardous")</f>
        <v>Very Poor</v>
      </c>
      <c r="T1308" t="s">
        <v>28</v>
      </c>
      <c r="X1308" s="2"/>
      <c r="Y1308" s="2"/>
    </row>
    <row r="1309" spans="1:25" x14ac:dyDescent="0.3">
      <c r="A1309" s="2">
        <v>45553</v>
      </c>
      <c r="B1309" t="s">
        <v>22</v>
      </c>
      <c r="C1309" s="4">
        <v>59.4</v>
      </c>
      <c r="D1309" s="4">
        <v>110</v>
      </c>
      <c r="E1309" s="4">
        <v>56.5</v>
      </c>
      <c r="F1309" s="4">
        <v>6.71</v>
      </c>
      <c r="G1309" s="4">
        <v>13.3</v>
      </c>
      <c r="H1309" s="4">
        <v>1.1399999999999999</v>
      </c>
      <c r="I1309" s="4">
        <v>17.399999999999999</v>
      </c>
      <c r="J1309" s="4">
        <v>25.3</v>
      </c>
      <c r="K1309" s="4">
        <v>3.37</v>
      </c>
      <c r="L1309" s="4">
        <v>98.999999999999986</v>
      </c>
      <c r="M1309" s="4">
        <v>110</v>
      </c>
      <c r="N1309" s="4">
        <v>70.625</v>
      </c>
      <c r="O1309" s="4">
        <v>16.774999999999999</v>
      </c>
      <c r="P1309" s="4">
        <v>33.25</v>
      </c>
      <c r="Q1309" s="4">
        <v>56.999999999999993</v>
      </c>
      <c r="R1309" s="4">
        <v>110</v>
      </c>
      <c r="S1309" s="4" t="str" cm="1">
        <f t="array" ref="S1309">_xlfn.IFS($R1309&lt;=50,"Good",$R1309&lt;=100,"Moderate",$R1309&lt;=200,"Poor",$R1309&lt;=300,"Very Poor",$R1309&lt;=500,"Hazardous")</f>
        <v>Poor</v>
      </c>
      <c r="T1309" t="s">
        <v>28</v>
      </c>
      <c r="X1309" s="2"/>
      <c r="Y1309" s="2"/>
    </row>
    <row r="1310" spans="1:25" x14ac:dyDescent="0.3">
      <c r="A1310" s="2">
        <v>45553</v>
      </c>
      <c r="B1310" t="s">
        <v>23</v>
      </c>
      <c r="C1310" s="4">
        <v>77.400000000000006</v>
      </c>
      <c r="D1310" s="4">
        <v>148</v>
      </c>
      <c r="E1310" s="4">
        <v>71.099999999999994</v>
      </c>
      <c r="F1310" s="4">
        <v>4.67</v>
      </c>
      <c r="G1310" s="4">
        <v>4.2</v>
      </c>
      <c r="H1310" s="4">
        <v>1.1599999999999999</v>
      </c>
      <c r="I1310" s="4">
        <v>22.6</v>
      </c>
      <c r="J1310" s="4">
        <v>44.8</v>
      </c>
      <c r="K1310" s="4">
        <v>2.4</v>
      </c>
      <c r="L1310" s="4">
        <v>129</v>
      </c>
      <c r="M1310" s="4">
        <v>148</v>
      </c>
      <c r="N1310" s="4">
        <v>88.875</v>
      </c>
      <c r="O1310" s="4">
        <v>11.675000000000001</v>
      </c>
      <c r="P1310" s="4">
        <v>10.5</v>
      </c>
      <c r="Q1310" s="4">
        <v>57.999999999999993</v>
      </c>
      <c r="R1310" s="4">
        <v>148</v>
      </c>
      <c r="S1310" s="4" t="str" cm="1">
        <f t="array" ref="S1310">_xlfn.IFS($R1310&lt;=50,"Good",$R1310&lt;=100,"Moderate",$R1310&lt;=200,"Poor",$R1310&lt;=300,"Very Poor",$R1310&lt;=500,"Hazardous")</f>
        <v>Poor</v>
      </c>
      <c r="T1310" t="s">
        <v>28</v>
      </c>
      <c r="X1310" s="2"/>
      <c r="Y1310" s="2"/>
    </row>
    <row r="1311" spans="1:25" x14ac:dyDescent="0.3">
      <c r="A1311" s="2">
        <v>45553</v>
      </c>
      <c r="B1311" t="s">
        <v>24</v>
      </c>
      <c r="C1311" s="4">
        <v>45.8</v>
      </c>
      <c r="D1311" s="4">
        <v>10.8</v>
      </c>
      <c r="E1311" s="4">
        <v>39.799999999999997</v>
      </c>
      <c r="F1311" s="4">
        <v>2.5499999999999998</v>
      </c>
      <c r="G1311" s="4">
        <v>50.4</v>
      </c>
      <c r="H1311" s="4">
        <v>0.89</v>
      </c>
      <c r="I1311" s="4">
        <v>32.799999999999997</v>
      </c>
      <c r="J1311" s="4">
        <v>88.9</v>
      </c>
      <c r="K1311" s="4">
        <v>3.82</v>
      </c>
      <c r="L1311" s="4">
        <v>76.333333333333329</v>
      </c>
      <c r="M1311" s="4">
        <v>10.8</v>
      </c>
      <c r="N1311" s="4">
        <v>49.749999999999993</v>
      </c>
      <c r="O1311" s="4">
        <v>6.375</v>
      </c>
      <c r="P1311" s="4">
        <v>126</v>
      </c>
      <c r="Q1311" s="4">
        <v>44.5</v>
      </c>
      <c r="R1311" s="4">
        <v>126</v>
      </c>
      <c r="S1311" s="4" t="str" cm="1">
        <f t="array" ref="S1311">_xlfn.IFS($R1311&lt;=50,"Good",$R1311&lt;=100,"Moderate",$R1311&lt;=200,"Poor",$R1311&lt;=300,"Very Poor",$R1311&lt;=500,"Hazardous")</f>
        <v>Poor</v>
      </c>
      <c r="T1311" t="s">
        <v>27</v>
      </c>
      <c r="X1311" s="2"/>
      <c r="Y1311" s="2"/>
    </row>
    <row r="1312" spans="1:25" x14ac:dyDescent="0.3">
      <c r="A1312" s="2">
        <v>45554</v>
      </c>
      <c r="B1312" t="s">
        <v>20</v>
      </c>
      <c r="C1312" s="4">
        <v>15.5</v>
      </c>
      <c r="D1312" s="4">
        <v>241.9</v>
      </c>
      <c r="E1312" s="4">
        <v>88</v>
      </c>
      <c r="F1312" s="4">
        <v>9.31</v>
      </c>
      <c r="G1312" s="4">
        <v>84</v>
      </c>
      <c r="H1312" s="4">
        <v>1</v>
      </c>
      <c r="I1312" s="4">
        <v>11.9</v>
      </c>
      <c r="J1312" s="4">
        <v>46.3</v>
      </c>
      <c r="K1312" s="4">
        <v>4.58</v>
      </c>
      <c r="L1312" s="4">
        <v>25.833333333333329</v>
      </c>
      <c r="M1312" s="4">
        <v>241.9</v>
      </c>
      <c r="N1312" s="4">
        <v>110</v>
      </c>
      <c r="O1312" s="4">
        <v>23.274999999999999</v>
      </c>
      <c r="P1312" s="4">
        <v>210</v>
      </c>
      <c r="Q1312" s="4">
        <v>50</v>
      </c>
      <c r="R1312" s="4">
        <v>242</v>
      </c>
      <c r="S1312" s="4" t="str" cm="1">
        <f t="array" ref="S1312">_xlfn.IFS($R1312&lt;=50,"Good",$R1312&lt;=100,"Moderate",$R1312&lt;=200,"Poor",$R1312&lt;=300,"Very Poor",$R1312&lt;=500,"Hazardous")</f>
        <v>Very Poor</v>
      </c>
      <c r="T1312" t="s">
        <v>28</v>
      </c>
      <c r="X1312" s="2"/>
      <c r="Y1312" s="2"/>
    </row>
    <row r="1313" spans="1:25" x14ac:dyDescent="0.3">
      <c r="A1313" s="2">
        <v>45554</v>
      </c>
      <c r="B1313" t="s">
        <v>21</v>
      </c>
      <c r="C1313" s="4">
        <v>19.100000000000001</v>
      </c>
      <c r="D1313" s="4">
        <v>150</v>
      </c>
      <c r="E1313" s="4">
        <v>57.1</v>
      </c>
      <c r="F1313" s="4">
        <v>6.79</v>
      </c>
      <c r="G1313" s="4">
        <v>36.1</v>
      </c>
      <c r="H1313" s="4">
        <v>1.55</v>
      </c>
      <c r="I1313" s="4">
        <v>21.1</v>
      </c>
      <c r="J1313" s="4">
        <v>34.4</v>
      </c>
      <c r="K1313" s="4">
        <v>2.76</v>
      </c>
      <c r="L1313" s="4">
        <v>31.833333333333339</v>
      </c>
      <c r="M1313" s="4">
        <v>150</v>
      </c>
      <c r="N1313" s="4">
        <v>71.375000000000014</v>
      </c>
      <c r="O1313" s="4">
        <v>16.975000000000001</v>
      </c>
      <c r="P1313" s="4">
        <v>90.25</v>
      </c>
      <c r="Q1313" s="4">
        <v>77.5</v>
      </c>
      <c r="R1313" s="4">
        <v>150</v>
      </c>
      <c r="S1313" s="4" t="str" cm="1">
        <f t="array" ref="S1313">_xlfn.IFS($R1313&lt;=50,"Good",$R1313&lt;=100,"Moderate",$R1313&lt;=200,"Poor",$R1313&lt;=300,"Very Poor",$R1313&lt;=500,"Hazardous")</f>
        <v>Poor</v>
      </c>
      <c r="T1313" t="s">
        <v>28</v>
      </c>
      <c r="X1313" s="2"/>
      <c r="Y1313" s="2"/>
    </row>
    <row r="1314" spans="1:25" x14ac:dyDescent="0.3">
      <c r="A1314" s="2">
        <v>45554</v>
      </c>
      <c r="B1314" t="s">
        <v>22</v>
      </c>
      <c r="C1314" s="4">
        <v>87.6</v>
      </c>
      <c r="D1314" s="4">
        <v>163.6</v>
      </c>
      <c r="E1314" s="4">
        <v>27.4</v>
      </c>
      <c r="F1314" s="4">
        <v>1.66</v>
      </c>
      <c r="G1314" s="4">
        <v>31.3</v>
      </c>
      <c r="H1314" s="4">
        <v>2.0299999999999998</v>
      </c>
      <c r="I1314" s="4">
        <v>29.5</v>
      </c>
      <c r="J1314" s="4">
        <v>72.7</v>
      </c>
      <c r="K1314" s="4">
        <v>3.57</v>
      </c>
      <c r="L1314" s="4">
        <v>146</v>
      </c>
      <c r="M1314" s="4">
        <v>163.6</v>
      </c>
      <c r="N1314" s="4">
        <v>34.249999999999993</v>
      </c>
      <c r="O1314" s="4">
        <v>4.1500000000000004</v>
      </c>
      <c r="P1314" s="4">
        <v>78.25</v>
      </c>
      <c r="Q1314" s="4">
        <v>101.5</v>
      </c>
      <c r="R1314" s="4">
        <v>164</v>
      </c>
      <c r="S1314" s="4" t="str" cm="1">
        <f t="array" ref="S1314">_xlfn.IFS($R1314&lt;=50,"Good",$R1314&lt;=100,"Moderate",$R1314&lt;=200,"Poor",$R1314&lt;=300,"Very Poor",$R1314&lt;=500,"Hazardous")</f>
        <v>Poor</v>
      </c>
      <c r="T1314" t="s">
        <v>28</v>
      </c>
      <c r="X1314" s="2"/>
      <c r="Y1314" s="2"/>
    </row>
    <row r="1315" spans="1:25" x14ac:dyDescent="0.3">
      <c r="A1315" s="2">
        <v>45554</v>
      </c>
      <c r="B1315" t="s">
        <v>23</v>
      </c>
      <c r="C1315" s="4">
        <v>72.599999999999994</v>
      </c>
      <c r="D1315" s="4">
        <v>127.2</v>
      </c>
      <c r="E1315" s="4">
        <v>58.2</v>
      </c>
      <c r="F1315" s="4">
        <v>5.27</v>
      </c>
      <c r="G1315" s="4">
        <v>4.5999999999999996</v>
      </c>
      <c r="H1315" s="4">
        <v>1.63</v>
      </c>
      <c r="I1315" s="4">
        <v>33.700000000000003</v>
      </c>
      <c r="J1315" s="4">
        <v>39.9</v>
      </c>
      <c r="K1315" s="4">
        <v>3.49</v>
      </c>
      <c r="L1315" s="4">
        <v>121</v>
      </c>
      <c r="M1315" s="4">
        <v>127.2</v>
      </c>
      <c r="N1315" s="4">
        <v>72.750000000000014</v>
      </c>
      <c r="O1315" s="4">
        <v>13.175000000000001</v>
      </c>
      <c r="P1315" s="4">
        <v>11.5</v>
      </c>
      <c r="Q1315" s="4">
        <v>81.499999999999986</v>
      </c>
      <c r="R1315" s="4">
        <v>127</v>
      </c>
      <c r="S1315" s="4" t="str" cm="1">
        <f t="array" ref="S1315">_xlfn.IFS($R1315&lt;=50,"Good",$R1315&lt;=100,"Moderate",$R1315&lt;=200,"Poor",$R1315&lt;=300,"Very Poor",$R1315&lt;=500,"Hazardous")</f>
        <v>Poor</v>
      </c>
      <c r="T1315" t="s">
        <v>28</v>
      </c>
      <c r="X1315" s="2"/>
      <c r="Y1315" s="2"/>
    </row>
    <row r="1316" spans="1:25" x14ac:dyDescent="0.3">
      <c r="A1316" s="2">
        <v>45554</v>
      </c>
      <c r="B1316" t="s">
        <v>24</v>
      </c>
      <c r="C1316" s="4">
        <v>121.5</v>
      </c>
      <c r="D1316" s="4">
        <v>131.9</v>
      </c>
      <c r="E1316" s="4">
        <v>31.5</v>
      </c>
      <c r="F1316" s="4">
        <v>9.48</v>
      </c>
      <c r="G1316" s="4">
        <v>28.9</v>
      </c>
      <c r="H1316" s="4">
        <v>0.91</v>
      </c>
      <c r="I1316" s="4">
        <v>28</v>
      </c>
      <c r="J1316" s="4">
        <v>31.1</v>
      </c>
      <c r="K1316" s="4">
        <v>1.27</v>
      </c>
      <c r="L1316" s="4">
        <v>202.5</v>
      </c>
      <c r="M1316" s="4">
        <v>131.9</v>
      </c>
      <c r="N1316" s="4">
        <v>39.375</v>
      </c>
      <c r="O1316" s="4">
        <v>23.7</v>
      </c>
      <c r="P1316" s="4">
        <v>72.25</v>
      </c>
      <c r="Q1316" s="4">
        <v>45.5</v>
      </c>
      <c r="R1316" s="4">
        <v>202</v>
      </c>
      <c r="S1316" s="4" t="str" cm="1">
        <f t="array" ref="S1316">_xlfn.IFS($R1316&lt;=50,"Good",$R1316&lt;=100,"Moderate",$R1316&lt;=200,"Poor",$R1316&lt;=300,"Very Poor",$R1316&lt;=500,"Hazardous")</f>
        <v>Very Poor</v>
      </c>
      <c r="T1316" t="s">
        <v>25</v>
      </c>
      <c r="X1316" s="2"/>
      <c r="Y1316" s="2"/>
    </row>
    <row r="1317" spans="1:25" x14ac:dyDescent="0.3">
      <c r="A1317" s="2">
        <v>45555</v>
      </c>
      <c r="B1317" t="s">
        <v>20</v>
      </c>
      <c r="C1317" s="4">
        <v>69.7</v>
      </c>
      <c r="D1317" s="4">
        <v>136.5</v>
      </c>
      <c r="E1317" s="4">
        <v>59.7</v>
      </c>
      <c r="F1317" s="4">
        <v>19.98</v>
      </c>
      <c r="G1317" s="4">
        <v>49</v>
      </c>
      <c r="H1317" s="4">
        <v>1.79</v>
      </c>
      <c r="I1317" s="4">
        <v>18.2</v>
      </c>
      <c r="J1317" s="4">
        <v>73.8</v>
      </c>
      <c r="K1317" s="4">
        <v>1.87</v>
      </c>
      <c r="L1317" s="4">
        <v>116.1666666666667</v>
      </c>
      <c r="M1317" s="4">
        <v>136.5</v>
      </c>
      <c r="N1317" s="4">
        <v>74.625</v>
      </c>
      <c r="O1317" s="4">
        <v>49.95</v>
      </c>
      <c r="P1317" s="4">
        <v>122.5</v>
      </c>
      <c r="Q1317" s="4">
        <v>89.5</v>
      </c>
      <c r="R1317" s="4">
        <v>136</v>
      </c>
      <c r="S1317" s="4" t="str" cm="1">
        <f t="array" ref="S1317">_xlfn.IFS($R1317&lt;=50,"Good",$R1317&lt;=100,"Moderate",$R1317&lt;=200,"Poor",$R1317&lt;=300,"Very Poor",$R1317&lt;=500,"Hazardous")</f>
        <v>Poor</v>
      </c>
      <c r="T1317" t="s">
        <v>28</v>
      </c>
      <c r="X1317" s="2"/>
      <c r="Y1317" s="2"/>
    </row>
    <row r="1318" spans="1:25" x14ac:dyDescent="0.3">
      <c r="A1318" s="2">
        <v>45555</v>
      </c>
      <c r="B1318" t="s">
        <v>21</v>
      </c>
      <c r="C1318" s="4">
        <v>77.7</v>
      </c>
      <c r="D1318" s="4">
        <v>141.80000000000001</v>
      </c>
      <c r="E1318" s="4">
        <v>82.1</v>
      </c>
      <c r="F1318" s="4">
        <v>1.81</v>
      </c>
      <c r="G1318" s="4">
        <v>1</v>
      </c>
      <c r="H1318" s="4">
        <v>1.34</v>
      </c>
      <c r="I1318" s="4">
        <v>28.3</v>
      </c>
      <c r="J1318" s="4">
        <v>62.7</v>
      </c>
      <c r="K1318" s="4">
        <v>3.98</v>
      </c>
      <c r="L1318" s="4">
        <v>129.5</v>
      </c>
      <c r="M1318" s="4">
        <v>141.80000000000001</v>
      </c>
      <c r="N1318" s="4">
        <v>102.625</v>
      </c>
      <c r="O1318" s="4">
        <v>4.5250000000000004</v>
      </c>
      <c r="P1318" s="4">
        <v>2.5</v>
      </c>
      <c r="Q1318" s="4">
        <v>67</v>
      </c>
      <c r="R1318" s="4">
        <v>142</v>
      </c>
      <c r="S1318" s="4" t="str" cm="1">
        <f t="array" ref="S1318">_xlfn.IFS($R1318&lt;=50,"Good",$R1318&lt;=100,"Moderate",$R1318&lt;=200,"Poor",$R1318&lt;=300,"Very Poor",$R1318&lt;=500,"Hazardous")</f>
        <v>Poor</v>
      </c>
      <c r="T1318" t="s">
        <v>28</v>
      </c>
      <c r="X1318" s="2"/>
      <c r="Y1318" s="2"/>
    </row>
    <row r="1319" spans="1:25" x14ac:dyDescent="0.3">
      <c r="A1319" s="2">
        <v>45555</v>
      </c>
      <c r="B1319" t="s">
        <v>22</v>
      </c>
      <c r="C1319" s="4">
        <v>69.5</v>
      </c>
      <c r="D1319" s="4">
        <v>81.900000000000006</v>
      </c>
      <c r="E1319" s="4">
        <v>2</v>
      </c>
      <c r="F1319" s="4">
        <v>6.47</v>
      </c>
      <c r="G1319" s="4">
        <v>62.4</v>
      </c>
      <c r="H1319" s="4">
        <v>0.92</v>
      </c>
      <c r="I1319" s="4">
        <v>25.2</v>
      </c>
      <c r="J1319" s="4">
        <v>67.599999999999994</v>
      </c>
      <c r="K1319" s="4">
        <v>1.28</v>
      </c>
      <c r="L1319" s="4">
        <v>115.8333333333333</v>
      </c>
      <c r="M1319" s="4">
        <v>81.900000000000006</v>
      </c>
      <c r="N1319" s="4">
        <v>2.5</v>
      </c>
      <c r="O1319" s="4">
        <v>16.175000000000001</v>
      </c>
      <c r="P1319" s="4">
        <v>156</v>
      </c>
      <c r="Q1319" s="4">
        <v>46</v>
      </c>
      <c r="R1319" s="4">
        <v>156</v>
      </c>
      <c r="S1319" s="4" t="str" cm="1">
        <f t="array" ref="S1319">_xlfn.IFS($R1319&lt;=50,"Good",$R1319&lt;=100,"Moderate",$R1319&lt;=200,"Poor",$R1319&lt;=300,"Very Poor",$R1319&lt;=500,"Hazardous")</f>
        <v>Poor</v>
      </c>
      <c r="T1319" t="s">
        <v>27</v>
      </c>
      <c r="X1319" s="2"/>
      <c r="Y1319" s="2"/>
    </row>
    <row r="1320" spans="1:25" x14ac:dyDescent="0.3">
      <c r="A1320" s="2">
        <v>45555</v>
      </c>
      <c r="B1320" t="s">
        <v>23</v>
      </c>
      <c r="C1320" s="4">
        <v>78.7</v>
      </c>
      <c r="D1320" s="4">
        <v>218.2</v>
      </c>
      <c r="E1320" s="4">
        <v>41.5</v>
      </c>
      <c r="F1320" s="4">
        <v>2.35</v>
      </c>
      <c r="G1320" s="4">
        <v>38.299999999999997</v>
      </c>
      <c r="H1320" s="4">
        <v>0.05</v>
      </c>
      <c r="I1320" s="4">
        <v>27.4</v>
      </c>
      <c r="J1320" s="4">
        <v>68.099999999999994</v>
      </c>
      <c r="K1320" s="4">
        <v>4.51</v>
      </c>
      <c r="L1320" s="4">
        <v>131.16666666666671</v>
      </c>
      <c r="M1320" s="4">
        <v>218.2</v>
      </c>
      <c r="N1320" s="4">
        <v>51.875</v>
      </c>
      <c r="O1320" s="4">
        <v>5.875</v>
      </c>
      <c r="P1320" s="4">
        <v>95.749999999999986</v>
      </c>
      <c r="Q1320" s="4">
        <v>2.5</v>
      </c>
      <c r="R1320" s="4">
        <v>218</v>
      </c>
      <c r="S1320" s="4" t="str" cm="1">
        <f t="array" ref="S1320">_xlfn.IFS($R1320&lt;=50,"Good",$R1320&lt;=100,"Moderate",$R1320&lt;=200,"Poor",$R1320&lt;=300,"Very Poor",$R1320&lt;=500,"Hazardous")</f>
        <v>Very Poor</v>
      </c>
      <c r="T1320" t="s">
        <v>28</v>
      </c>
      <c r="X1320" s="2"/>
      <c r="Y1320" s="2"/>
    </row>
    <row r="1321" spans="1:25" x14ac:dyDescent="0.3">
      <c r="A1321" s="2">
        <v>45555</v>
      </c>
      <c r="B1321" t="s">
        <v>24</v>
      </c>
      <c r="C1321" s="4">
        <v>59.6</v>
      </c>
      <c r="D1321" s="4">
        <v>159</v>
      </c>
      <c r="E1321" s="4">
        <v>30.6</v>
      </c>
      <c r="F1321" s="4">
        <v>6.84</v>
      </c>
      <c r="G1321" s="4">
        <v>2.1</v>
      </c>
      <c r="H1321" s="4">
        <v>1.19</v>
      </c>
      <c r="I1321" s="4">
        <v>22.9</v>
      </c>
      <c r="J1321" s="4">
        <v>65.400000000000006</v>
      </c>
      <c r="K1321" s="4">
        <v>2.25</v>
      </c>
      <c r="L1321" s="4">
        <v>99.333333333333329</v>
      </c>
      <c r="M1321" s="4">
        <v>159</v>
      </c>
      <c r="N1321" s="4">
        <v>38.25</v>
      </c>
      <c r="O1321" s="4">
        <v>17.100000000000001</v>
      </c>
      <c r="P1321" s="4">
        <v>5.25</v>
      </c>
      <c r="Q1321" s="4">
        <v>59.5</v>
      </c>
      <c r="R1321" s="4">
        <v>159</v>
      </c>
      <c r="S1321" s="4" t="str" cm="1">
        <f t="array" ref="S1321">_xlfn.IFS($R1321&lt;=50,"Good",$R1321&lt;=100,"Moderate",$R1321&lt;=200,"Poor",$R1321&lt;=300,"Very Poor",$R1321&lt;=500,"Hazardous")</f>
        <v>Poor</v>
      </c>
      <c r="T1321" t="s">
        <v>28</v>
      </c>
      <c r="X1321" s="2"/>
      <c r="Y1321" s="2"/>
    </row>
    <row r="1322" spans="1:25" x14ac:dyDescent="0.3">
      <c r="A1322" s="2">
        <v>45556</v>
      </c>
      <c r="B1322" t="s">
        <v>20</v>
      </c>
      <c r="C1322" s="4">
        <v>71.900000000000006</v>
      </c>
      <c r="D1322" s="4">
        <v>115</v>
      </c>
      <c r="E1322" s="4">
        <v>44.1</v>
      </c>
      <c r="F1322" s="4">
        <v>9.66</v>
      </c>
      <c r="G1322" s="4">
        <v>47.2</v>
      </c>
      <c r="H1322" s="4">
        <v>1.91</v>
      </c>
      <c r="I1322" s="4">
        <v>24.2</v>
      </c>
      <c r="J1322" s="4">
        <v>53.7</v>
      </c>
      <c r="K1322" s="4">
        <v>2.2799999999999998</v>
      </c>
      <c r="L1322" s="4">
        <v>119.8333333333333</v>
      </c>
      <c r="M1322" s="4">
        <v>115</v>
      </c>
      <c r="N1322" s="4">
        <v>55.125</v>
      </c>
      <c r="O1322" s="4">
        <v>24.15</v>
      </c>
      <c r="P1322" s="4">
        <v>118</v>
      </c>
      <c r="Q1322" s="4">
        <v>95.5</v>
      </c>
      <c r="R1322" s="4">
        <v>120</v>
      </c>
      <c r="S1322" s="4" t="str" cm="1">
        <f t="array" ref="S1322">_xlfn.IFS($R1322&lt;=50,"Good",$R1322&lt;=100,"Moderate",$R1322&lt;=200,"Poor",$R1322&lt;=300,"Very Poor",$R1322&lt;=500,"Hazardous")</f>
        <v>Poor</v>
      </c>
      <c r="T1322" t="s">
        <v>25</v>
      </c>
      <c r="X1322" s="2"/>
      <c r="Y1322" s="2"/>
    </row>
    <row r="1323" spans="1:25" x14ac:dyDescent="0.3">
      <c r="A1323" s="2">
        <v>45556</v>
      </c>
      <c r="B1323" t="s">
        <v>21</v>
      </c>
      <c r="C1323" s="4">
        <v>48.2</v>
      </c>
      <c r="D1323" s="4">
        <v>123</v>
      </c>
      <c r="E1323" s="4">
        <v>107</v>
      </c>
      <c r="F1323" s="4">
        <v>4.3</v>
      </c>
      <c r="G1323" s="4">
        <v>41.3</v>
      </c>
      <c r="H1323" s="4">
        <v>1.21</v>
      </c>
      <c r="I1323" s="4">
        <v>23.3</v>
      </c>
      <c r="J1323" s="4">
        <v>54</v>
      </c>
      <c r="K1323" s="4">
        <v>2.84</v>
      </c>
      <c r="L1323" s="4">
        <v>80.333333333333343</v>
      </c>
      <c r="M1323" s="4">
        <v>123</v>
      </c>
      <c r="N1323" s="4">
        <v>133.75</v>
      </c>
      <c r="O1323" s="4">
        <v>10.75</v>
      </c>
      <c r="P1323" s="4">
        <v>103.25</v>
      </c>
      <c r="Q1323" s="4">
        <v>60.5</v>
      </c>
      <c r="R1323" s="4">
        <v>134</v>
      </c>
      <c r="S1323" s="4" t="str" cm="1">
        <f t="array" ref="S1323">_xlfn.IFS($R1323&lt;=50,"Good",$R1323&lt;=100,"Moderate",$R1323&lt;=200,"Poor",$R1323&lt;=300,"Very Poor",$R1323&lt;=500,"Hazardous")</f>
        <v>Poor</v>
      </c>
      <c r="T1323" t="s">
        <v>26</v>
      </c>
      <c r="X1323" s="2"/>
      <c r="Y1323" s="2"/>
    </row>
    <row r="1324" spans="1:25" x14ac:dyDescent="0.3">
      <c r="A1324" s="2">
        <v>45556</v>
      </c>
      <c r="B1324" t="s">
        <v>22</v>
      </c>
      <c r="C1324" s="4">
        <v>8.3000000000000007</v>
      </c>
      <c r="D1324" s="4">
        <v>173.1</v>
      </c>
      <c r="E1324" s="4">
        <v>54.8</v>
      </c>
      <c r="F1324" s="4">
        <v>1.7</v>
      </c>
      <c r="G1324" s="4">
        <v>1</v>
      </c>
      <c r="H1324" s="4">
        <v>0.57999999999999996</v>
      </c>
      <c r="I1324" s="4">
        <v>23.3</v>
      </c>
      <c r="J1324" s="4">
        <v>100</v>
      </c>
      <c r="K1324" s="4">
        <v>3.15</v>
      </c>
      <c r="L1324" s="4">
        <v>13.83333333333333</v>
      </c>
      <c r="M1324" s="4">
        <v>173.1</v>
      </c>
      <c r="N1324" s="4">
        <v>68.499999999999986</v>
      </c>
      <c r="O1324" s="4">
        <v>4.25</v>
      </c>
      <c r="P1324" s="4">
        <v>2.5</v>
      </c>
      <c r="Q1324" s="4">
        <v>29</v>
      </c>
      <c r="R1324" s="4">
        <v>173</v>
      </c>
      <c r="S1324" s="4" t="str" cm="1">
        <f t="array" ref="S1324">_xlfn.IFS($R1324&lt;=50,"Good",$R1324&lt;=100,"Moderate",$R1324&lt;=200,"Poor",$R1324&lt;=300,"Very Poor",$R1324&lt;=500,"Hazardous")</f>
        <v>Poor</v>
      </c>
      <c r="T1324" t="s">
        <v>28</v>
      </c>
      <c r="X1324" s="2"/>
      <c r="Y1324" s="2"/>
    </row>
    <row r="1325" spans="1:25" x14ac:dyDescent="0.3">
      <c r="A1325" s="2">
        <v>45556</v>
      </c>
      <c r="B1325" t="s">
        <v>23</v>
      </c>
      <c r="C1325" s="4">
        <v>5.8</v>
      </c>
      <c r="D1325" s="4">
        <v>78.599999999999994</v>
      </c>
      <c r="E1325" s="4">
        <v>43.9</v>
      </c>
      <c r="F1325" s="4">
        <v>9.27</v>
      </c>
      <c r="G1325" s="4">
        <v>7.1</v>
      </c>
      <c r="H1325" s="4">
        <v>1.1200000000000001</v>
      </c>
      <c r="I1325" s="4">
        <v>20</v>
      </c>
      <c r="J1325" s="4">
        <v>40.1</v>
      </c>
      <c r="K1325" s="4">
        <v>2.81</v>
      </c>
      <c r="L1325" s="4">
        <v>9.6666666666666679</v>
      </c>
      <c r="M1325" s="4">
        <v>78.599999999999994</v>
      </c>
      <c r="N1325" s="4">
        <v>54.875</v>
      </c>
      <c r="O1325" s="4">
        <v>23.175000000000001</v>
      </c>
      <c r="P1325" s="4">
        <v>17.75</v>
      </c>
      <c r="Q1325" s="4">
        <v>56.000000000000007</v>
      </c>
      <c r="R1325" s="4">
        <v>79</v>
      </c>
      <c r="S1325" s="4" t="str" cm="1">
        <f t="array" ref="S1325">_xlfn.IFS($R1325&lt;=50,"Good",$R1325&lt;=100,"Moderate",$R1325&lt;=200,"Poor",$R1325&lt;=300,"Very Poor",$R1325&lt;=500,"Hazardous")</f>
        <v>Moderate</v>
      </c>
      <c r="T1325" t="s">
        <v>28</v>
      </c>
      <c r="X1325" s="2"/>
      <c r="Y1325" s="2"/>
    </row>
    <row r="1326" spans="1:25" x14ac:dyDescent="0.3">
      <c r="A1326" s="2">
        <v>45556</v>
      </c>
      <c r="B1326" t="s">
        <v>24</v>
      </c>
      <c r="C1326" s="4">
        <v>91.5</v>
      </c>
      <c r="D1326" s="4">
        <v>187.5</v>
      </c>
      <c r="E1326" s="4">
        <v>62.1</v>
      </c>
      <c r="F1326" s="4">
        <v>6.06</v>
      </c>
      <c r="G1326" s="4">
        <v>63.7</v>
      </c>
      <c r="H1326" s="4">
        <v>1.52</v>
      </c>
      <c r="I1326" s="4">
        <v>25.9</v>
      </c>
      <c r="J1326" s="4">
        <v>49</v>
      </c>
      <c r="K1326" s="4">
        <v>2.4</v>
      </c>
      <c r="L1326" s="4">
        <v>152.5</v>
      </c>
      <c r="M1326" s="4">
        <v>187.5</v>
      </c>
      <c r="N1326" s="4">
        <v>77.625</v>
      </c>
      <c r="O1326" s="4">
        <v>15.15</v>
      </c>
      <c r="P1326" s="4">
        <v>159.25</v>
      </c>
      <c r="Q1326" s="4">
        <v>76</v>
      </c>
      <c r="R1326" s="4">
        <v>188</v>
      </c>
      <c r="S1326" s="4" t="str" cm="1">
        <f t="array" ref="S1326">_xlfn.IFS($R1326&lt;=50,"Good",$R1326&lt;=100,"Moderate",$R1326&lt;=200,"Poor",$R1326&lt;=300,"Very Poor",$R1326&lt;=500,"Hazardous")</f>
        <v>Poor</v>
      </c>
      <c r="T1326" t="s">
        <v>28</v>
      </c>
      <c r="X1326" s="2"/>
      <c r="Y1326" s="2"/>
    </row>
    <row r="1327" spans="1:25" x14ac:dyDescent="0.3">
      <c r="A1327" s="2">
        <v>45557</v>
      </c>
      <c r="B1327" t="s">
        <v>20</v>
      </c>
      <c r="C1327" s="4">
        <v>71.5</v>
      </c>
      <c r="D1327" s="4">
        <v>306.39999999999998</v>
      </c>
      <c r="E1327" s="4">
        <v>58.7</v>
      </c>
      <c r="F1327" s="4">
        <v>5.69</v>
      </c>
      <c r="G1327" s="4">
        <v>22.1</v>
      </c>
      <c r="H1327" s="4">
        <v>1.04</v>
      </c>
      <c r="I1327" s="4">
        <v>40.200000000000003</v>
      </c>
      <c r="J1327" s="4">
        <v>52.8</v>
      </c>
      <c r="K1327" s="4">
        <v>3.59</v>
      </c>
      <c r="L1327" s="4">
        <v>119.1666666666667</v>
      </c>
      <c r="M1327" s="4">
        <v>306.39999999999998</v>
      </c>
      <c r="N1327" s="4">
        <v>73.375000000000014</v>
      </c>
      <c r="O1327" s="4">
        <v>14.225</v>
      </c>
      <c r="P1327" s="4">
        <v>55.25</v>
      </c>
      <c r="Q1327" s="4">
        <v>52.000000000000007</v>
      </c>
      <c r="R1327" s="4">
        <v>306</v>
      </c>
      <c r="S1327" s="4" t="str" cm="1">
        <f t="array" ref="S1327">_xlfn.IFS($R1327&lt;=50,"Good",$R1327&lt;=100,"Moderate",$R1327&lt;=200,"Poor",$R1327&lt;=300,"Very Poor",$R1327&lt;=500,"Hazardous")</f>
        <v>Hazardous</v>
      </c>
      <c r="T1327" t="s">
        <v>28</v>
      </c>
      <c r="X1327" s="2"/>
      <c r="Y1327" s="2"/>
    </row>
    <row r="1328" spans="1:25" x14ac:dyDescent="0.3">
      <c r="A1328" s="2">
        <v>45557</v>
      </c>
      <c r="B1328" t="s">
        <v>21</v>
      </c>
      <c r="C1328" s="4">
        <v>60.9</v>
      </c>
      <c r="D1328" s="4">
        <v>169.6</v>
      </c>
      <c r="E1328" s="4">
        <v>76</v>
      </c>
      <c r="F1328" s="4">
        <v>6.43</v>
      </c>
      <c r="G1328" s="4">
        <v>30</v>
      </c>
      <c r="H1328" s="4">
        <v>2.74</v>
      </c>
      <c r="I1328" s="4">
        <v>31.9</v>
      </c>
      <c r="J1328" s="4">
        <v>74.2</v>
      </c>
      <c r="K1328" s="4">
        <v>3.44</v>
      </c>
      <c r="L1328" s="4">
        <v>101.5</v>
      </c>
      <c r="M1328" s="4">
        <v>169.6</v>
      </c>
      <c r="N1328" s="4">
        <v>95</v>
      </c>
      <c r="O1328" s="4">
        <v>16.074999999999999</v>
      </c>
      <c r="P1328" s="4">
        <v>75</v>
      </c>
      <c r="Q1328" s="4">
        <v>137</v>
      </c>
      <c r="R1328" s="4">
        <v>170</v>
      </c>
      <c r="S1328" s="4" t="str" cm="1">
        <f t="array" ref="S1328">_xlfn.IFS($R1328&lt;=50,"Good",$R1328&lt;=100,"Moderate",$R1328&lt;=200,"Poor",$R1328&lt;=300,"Very Poor",$R1328&lt;=500,"Hazardous")</f>
        <v>Poor</v>
      </c>
      <c r="T1328" t="s">
        <v>28</v>
      </c>
      <c r="X1328" s="2"/>
      <c r="Y1328" s="2"/>
    </row>
    <row r="1329" spans="1:25" x14ac:dyDescent="0.3">
      <c r="A1329" s="2">
        <v>45557</v>
      </c>
      <c r="B1329" t="s">
        <v>22</v>
      </c>
      <c r="C1329" s="4">
        <v>70.099999999999994</v>
      </c>
      <c r="D1329" s="4">
        <v>229</v>
      </c>
      <c r="E1329" s="4">
        <v>43.6</v>
      </c>
      <c r="F1329" s="4">
        <v>10.34</v>
      </c>
      <c r="G1329" s="4">
        <v>3.5</v>
      </c>
      <c r="H1329" s="4">
        <v>0.67</v>
      </c>
      <c r="I1329" s="4">
        <v>16.600000000000001</v>
      </c>
      <c r="J1329" s="4">
        <v>82.9</v>
      </c>
      <c r="K1329" s="4">
        <v>0.2</v>
      </c>
      <c r="L1329" s="4">
        <v>116.8333333333333</v>
      </c>
      <c r="M1329" s="4">
        <v>229</v>
      </c>
      <c r="N1329" s="4">
        <v>54.5</v>
      </c>
      <c r="O1329" s="4">
        <v>25.85</v>
      </c>
      <c r="P1329" s="4">
        <v>8.75</v>
      </c>
      <c r="Q1329" s="4">
        <v>33.5</v>
      </c>
      <c r="R1329" s="4">
        <v>229</v>
      </c>
      <c r="S1329" s="4" t="str" cm="1">
        <f t="array" ref="S1329">_xlfn.IFS($R1329&lt;=50,"Good",$R1329&lt;=100,"Moderate",$R1329&lt;=200,"Poor",$R1329&lt;=300,"Very Poor",$R1329&lt;=500,"Hazardous")</f>
        <v>Very Poor</v>
      </c>
      <c r="T1329" t="s">
        <v>28</v>
      </c>
      <c r="X1329" s="2"/>
      <c r="Y1329" s="2"/>
    </row>
    <row r="1330" spans="1:25" x14ac:dyDescent="0.3">
      <c r="A1330" s="2">
        <v>45557</v>
      </c>
      <c r="B1330" t="s">
        <v>23</v>
      </c>
      <c r="C1330" s="4">
        <v>47.9</v>
      </c>
      <c r="D1330" s="4">
        <v>5</v>
      </c>
      <c r="E1330" s="4">
        <v>28.4</v>
      </c>
      <c r="F1330" s="4">
        <v>5.55</v>
      </c>
      <c r="G1330" s="4">
        <v>74.599999999999994</v>
      </c>
      <c r="H1330" s="4">
        <v>1.44</v>
      </c>
      <c r="I1330" s="4">
        <v>19.2</v>
      </c>
      <c r="J1330" s="4">
        <v>79.2</v>
      </c>
      <c r="K1330" s="4">
        <v>2.52</v>
      </c>
      <c r="L1330" s="4">
        <v>79.833333333333329</v>
      </c>
      <c r="M1330" s="4">
        <v>5</v>
      </c>
      <c r="N1330" s="4">
        <v>35.5</v>
      </c>
      <c r="O1330" s="4">
        <v>13.875</v>
      </c>
      <c r="P1330" s="4">
        <v>186.5</v>
      </c>
      <c r="Q1330" s="4">
        <v>72</v>
      </c>
      <c r="R1330" s="4">
        <v>186</v>
      </c>
      <c r="S1330" s="4" t="str" cm="1">
        <f t="array" ref="S1330">_xlfn.IFS($R1330&lt;=50,"Good",$R1330&lt;=100,"Moderate",$R1330&lt;=200,"Poor",$R1330&lt;=300,"Very Poor",$R1330&lt;=500,"Hazardous")</f>
        <v>Poor</v>
      </c>
      <c r="T1330" t="s">
        <v>27</v>
      </c>
      <c r="X1330" s="2"/>
      <c r="Y1330" s="2"/>
    </row>
    <row r="1331" spans="1:25" x14ac:dyDescent="0.3">
      <c r="A1331" s="2">
        <v>45557</v>
      </c>
      <c r="B1331" t="s">
        <v>24</v>
      </c>
      <c r="C1331" s="4">
        <v>67.2</v>
      </c>
      <c r="D1331" s="4">
        <v>52.6</v>
      </c>
      <c r="E1331" s="4">
        <v>27.7</v>
      </c>
      <c r="F1331" s="4">
        <v>4.26</v>
      </c>
      <c r="G1331" s="4">
        <v>45.3</v>
      </c>
      <c r="H1331" s="4">
        <v>1.37</v>
      </c>
      <c r="I1331" s="4">
        <v>35.799999999999997</v>
      </c>
      <c r="J1331" s="4">
        <v>66.900000000000006</v>
      </c>
      <c r="K1331" s="4">
        <v>0.2</v>
      </c>
      <c r="L1331" s="4">
        <v>112</v>
      </c>
      <c r="M1331" s="4">
        <v>52.6</v>
      </c>
      <c r="N1331" s="4">
        <v>34.624999999999993</v>
      </c>
      <c r="O1331" s="4">
        <v>10.65</v>
      </c>
      <c r="P1331" s="4">
        <v>113.25</v>
      </c>
      <c r="Q1331" s="4">
        <v>68.5</v>
      </c>
      <c r="R1331" s="4">
        <v>113</v>
      </c>
      <c r="S1331" s="4" t="str" cm="1">
        <f t="array" ref="S1331">_xlfn.IFS($R1331&lt;=50,"Good",$R1331&lt;=100,"Moderate",$R1331&lt;=200,"Poor",$R1331&lt;=300,"Very Poor",$R1331&lt;=500,"Hazardous")</f>
        <v>Poor</v>
      </c>
      <c r="T1331" t="s">
        <v>27</v>
      </c>
      <c r="X1331" s="2"/>
      <c r="Y1331" s="2"/>
    </row>
    <row r="1332" spans="1:25" x14ac:dyDescent="0.3">
      <c r="A1332" s="2">
        <v>45558</v>
      </c>
      <c r="B1332" t="s">
        <v>20</v>
      </c>
      <c r="C1332" s="4">
        <v>78.099999999999994</v>
      </c>
      <c r="D1332" s="4">
        <v>37.9</v>
      </c>
      <c r="E1332" s="4">
        <v>29.5</v>
      </c>
      <c r="F1332" s="4">
        <v>4.53</v>
      </c>
      <c r="G1332" s="4">
        <v>26.9</v>
      </c>
      <c r="H1332" s="4">
        <v>0.43</v>
      </c>
      <c r="I1332" s="4">
        <v>26.4</v>
      </c>
      <c r="J1332" s="4">
        <v>34.6</v>
      </c>
      <c r="K1332" s="4">
        <v>2.93</v>
      </c>
      <c r="L1332" s="4">
        <v>130.16666666666671</v>
      </c>
      <c r="M1332" s="4">
        <v>37.9</v>
      </c>
      <c r="N1332" s="4">
        <v>36.875</v>
      </c>
      <c r="O1332" s="4">
        <v>11.324999999999999</v>
      </c>
      <c r="P1332" s="4">
        <v>67.249999999999986</v>
      </c>
      <c r="Q1332" s="4">
        <v>21.5</v>
      </c>
      <c r="R1332" s="4">
        <v>130</v>
      </c>
      <c r="S1332" s="4" t="str" cm="1">
        <f t="array" ref="S1332">_xlfn.IFS($R1332&lt;=50,"Good",$R1332&lt;=100,"Moderate",$R1332&lt;=200,"Poor",$R1332&lt;=300,"Very Poor",$R1332&lt;=500,"Hazardous")</f>
        <v>Poor</v>
      </c>
      <c r="T1332" t="s">
        <v>25</v>
      </c>
      <c r="X1332" s="2"/>
      <c r="Y1332" s="2"/>
    </row>
    <row r="1333" spans="1:25" x14ac:dyDescent="0.3">
      <c r="A1333" s="2">
        <v>45558</v>
      </c>
      <c r="B1333" t="s">
        <v>21</v>
      </c>
      <c r="C1333" s="4">
        <v>158.9</v>
      </c>
      <c r="D1333" s="4">
        <v>50.3</v>
      </c>
      <c r="E1333" s="4">
        <v>49.1</v>
      </c>
      <c r="F1333" s="4">
        <v>0.5</v>
      </c>
      <c r="G1333" s="4">
        <v>40.6</v>
      </c>
      <c r="H1333" s="4">
        <v>1.98</v>
      </c>
      <c r="I1333" s="4">
        <v>30</v>
      </c>
      <c r="J1333" s="4">
        <v>61.4</v>
      </c>
      <c r="K1333" s="4">
        <v>3.57</v>
      </c>
      <c r="L1333" s="4">
        <v>264.83333333333343</v>
      </c>
      <c r="M1333" s="4">
        <v>50.3</v>
      </c>
      <c r="N1333" s="4">
        <v>61.375</v>
      </c>
      <c r="O1333" s="4">
        <v>1.25</v>
      </c>
      <c r="P1333" s="4">
        <v>101.5</v>
      </c>
      <c r="Q1333" s="4">
        <v>99</v>
      </c>
      <c r="R1333" s="4">
        <v>265</v>
      </c>
      <c r="S1333" s="4" t="str" cm="1">
        <f t="array" ref="S1333">_xlfn.IFS($R1333&lt;=50,"Good",$R1333&lt;=100,"Moderate",$R1333&lt;=200,"Poor",$R1333&lt;=300,"Very Poor",$R1333&lt;=500,"Hazardous")</f>
        <v>Very Poor</v>
      </c>
      <c r="T1333" t="s">
        <v>25</v>
      </c>
      <c r="X1333" s="2"/>
      <c r="Y1333" s="2"/>
    </row>
    <row r="1334" spans="1:25" x14ac:dyDescent="0.3">
      <c r="A1334" s="2">
        <v>45558</v>
      </c>
      <c r="B1334" t="s">
        <v>22</v>
      </c>
      <c r="C1334" s="4">
        <v>129.6</v>
      </c>
      <c r="D1334" s="4">
        <v>211.6</v>
      </c>
      <c r="E1334" s="4">
        <v>32.799999999999997</v>
      </c>
      <c r="F1334" s="4">
        <v>0.71</v>
      </c>
      <c r="G1334" s="4">
        <v>28.4</v>
      </c>
      <c r="H1334" s="4">
        <v>0.6</v>
      </c>
      <c r="I1334" s="4">
        <v>28.2</v>
      </c>
      <c r="J1334" s="4">
        <v>38.700000000000003</v>
      </c>
      <c r="K1334" s="4">
        <v>2.41</v>
      </c>
      <c r="L1334" s="4">
        <v>216</v>
      </c>
      <c r="M1334" s="4">
        <v>211.6</v>
      </c>
      <c r="N1334" s="4">
        <v>40.999999999999993</v>
      </c>
      <c r="O1334" s="4">
        <v>1.7749999999999999</v>
      </c>
      <c r="P1334" s="4">
        <v>71</v>
      </c>
      <c r="Q1334" s="4">
        <v>30</v>
      </c>
      <c r="R1334" s="4">
        <v>216</v>
      </c>
      <c r="S1334" s="4" t="str" cm="1">
        <f t="array" ref="S1334">_xlfn.IFS($R1334&lt;=50,"Good",$R1334&lt;=100,"Moderate",$R1334&lt;=200,"Poor",$R1334&lt;=300,"Very Poor",$R1334&lt;=500,"Hazardous")</f>
        <v>Very Poor</v>
      </c>
      <c r="T1334" t="s">
        <v>25</v>
      </c>
      <c r="X1334" s="2"/>
      <c r="Y1334" s="2"/>
    </row>
    <row r="1335" spans="1:25" x14ac:dyDescent="0.3">
      <c r="A1335" s="2">
        <v>45558</v>
      </c>
      <c r="B1335" t="s">
        <v>23</v>
      </c>
      <c r="C1335" s="4">
        <v>85.1</v>
      </c>
      <c r="D1335" s="4">
        <v>114</v>
      </c>
      <c r="E1335" s="4">
        <v>26.1</v>
      </c>
      <c r="F1335" s="4">
        <v>13.87</v>
      </c>
      <c r="G1335" s="4">
        <v>1</v>
      </c>
      <c r="H1335" s="4">
        <v>1</v>
      </c>
      <c r="I1335" s="4">
        <v>24.7</v>
      </c>
      <c r="J1335" s="4">
        <v>60.3</v>
      </c>
      <c r="K1335" s="4">
        <v>2.72</v>
      </c>
      <c r="L1335" s="4">
        <v>141.83333333333329</v>
      </c>
      <c r="M1335" s="4">
        <v>114</v>
      </c>
      <c r="N1335" s="4">
        <v>32.625</v>
      </c>
      <c r="O1335" s="4">
        <v>34.674999999999997</v>
      </c>
      <c r="P1335" s="4">
        <v>2.5</v>
      </c>
      <c r="Q1335" s="4">
        <v>50</v>
      </c>
      <c r="R1335" s="4">
        <v>142</v>
      </c>
      <c r="S1335" s="4" t="str" cm="1">
        <f t="array" ref="S1335">_xlfn.IFS($R1335&lt;=50,"Good",$R1335&lt;=100,"Moderate",$R1335&lt;=200,"Poor",$R1335&lt;=300,"Very Poor",$R1335&lt;=500,"Hazardous")</f>
        <v>Poor</v>
      </c>
      <c r="T1335" t="s">
        <v>25</v>
      </c>
      <c r="X1335" s="2"/>
      <c r="Y1335" s="2"/>
    </row>
    <row r="1336" spans="1:25" x14ac:dyDescent="0.3">
      <c r="A1336" s="2">
        <v>45558</v>
      </c>
      <c r="B1336" t="s">
        <v>24</v>
      </c>
      <c r="C1336" s="4">
        <v>86.1</v>
      </c>
      <c r="D1336" s="4">
        <v>129.69999999999999</v>
      </c>
      <c r="E1336" s="4">
        <v>41.4</v>
      </c>
      <c r="F1336" s="4">
        <v>6.56</v>
      </c>
      <c r="G1336" s="4">
        <v>27.2</v>
      </c>
      <c r="H1336" s="4">
        <v>1.84</v>
      </c>
      <c r="I1336" s="4">
        <v>20.5</v>
      </c>
      <c r="J1336" s="4">
        <v>75.2</v>
      </c>
      <c r="K1336" s="4">
        <v>3.02</v>
      </c>
      <c r="L1336" s="4">
        <v>143.5</v>
      </c>
      <c r="M1336" s="4">
        <v>129.69999999999999</v>
      </c>
      <c r="N1336" s="4">
        <v>51.75</v>
      </c>
      <c r="O1336" s="4">
        <v>16.399999999999999</v>
      </c>
      <c r="P1336" s="4">
        <v>68</v>
      </c>
      <c r="Q1336" s="4">
        <v>92</v>
      </c>
      <c r="R1336" s="4">
        <v>144</v>
      </c>
      <c r="S1336" s="4" t="str" cm="1">
        <f t="array" ref="S1336">_xlfn.IFS($R1336&lt;=50,"Good",$R1336&lt;=100,"Moderate",$R1336&lt;=200,"Poor",$R1336&lt;=300,"Very Poor",$R1336&lt;=500,"Hazardous")</f>
        <v>Poor</v>
      </c>
      <c r="T1336" t="s">
        <v>25</v>
      </c>
      <c r="X1336" s="2"/>
      <c r="Y1336" s="2"/>
    </row>
    <row r="1337" spans="1:25" x14ac:dyDescent="0.3">
      <c r="A1337" s="2">
        <v>45559</v>
      </c>
      <c r="B1337" t="s">
        <v>20</v>
      </c>
      <c r="C1337" s="4">
        <v>51</v>
      </c>
      <c r="D1337" s="4">
        <v>180.7</v>
      </c>
      <c r="E1337" s="4">
        <v>35</v>
      </c>
      <c r="F1337" s="4">
        <v>12.87</v>
      </c>
      <c r="G1337" s="4">
        <v>52.1</v>
      </c>
      <c r="H1337" s="4">
        <v>0.97</v>
      </c>
      <c r="I1337" s="4">
        <v>28.7</v>
      </c>
      <c r="J1337" s="4">
        <v>69.8</v>
      </c>
      <c r="K1337" s="4">
        <v>3.89</v>
      </c>
      <c r="L1337" s="4">
        <v>85</v>
      </c>
      <c r="M1337" s="4">
        <v>180.7</v>
      </c>
      <c r="N1337" s="4">
        <v>43.75</v>
      </c>
      <c r="O1337" s="4">
        <v>32.174999999999997</v>
      </c>
      <c r="P1337" s="4">
        <v>130.25</v>
      </c>
      <c r="Q1337" s="4">
        <v>48.5</v>
      </c>
      <c r="R1337" s="4">
        <v>181</v>
      </c>
      <c r="S1337" s="4" t="str" cm="1">
        <f t="array" ref="S1337">_xlfn.IFS($R1337&lt;=50,"Good",$R1337&lt;=100,"Moderate",$R1337&lt;=200,"Poor",$R1337&lt;=300,"Very Poor",$R1337&lt;=500,"Hazardous")</f>
        <v>Poor</v>
      </c>
      <c r="T1337" t="s">
        <v>28</v>
      </c>
      <c r="X1337" s="2"/>
      <c r="Y1337" s="2"/>
    </row>
    <row r="1338" spans="1:25" x14ac:dyDescent="0.3">
      <c r="A1338" s="2">
        <v>45559</v>
      </c>
      <c r="B1338" t="s">
        <v>21</v>
      </c>
      <c r="C1338" s="4">
        <v>111.2</v>
      </c>
      <c r="D1338" s="4">
        <v>186.8</v>
      </c>
      <c r="E1338" s="4">
        <v>28.1</v>
      </c>
      <c r="F1338" s="4">
        <v>25.3</v>
      </c>
      <c r="G1338" s="4">
        <v>6.1</v>
      </c>
      <c r="H1338" s="4">
        <v>2.21</v>
      </c>
      <c r="I1338" s="4">
        <v>28</v>
      </c>
      <c r="J1338" s="4">
        <v>38.9</v>
      </c>
      <c r="K1338" s="4">
        <v>2.35</v>
      </c>
      <c r="L1338" s="4">
        <v>185.33333333333329</v>
      </c>
      <c r="M1338" s="4">
        <v>186.8</v>
      </c>
      <c r="N1338" s="4">
        <v>35.125</v>
      </c>
      <c r="O1338" s="4">
        <v>63.25</v>
      </c>
      <c r="P1338" s="4">
        <v>15.25</v>
      </c>
      <c r="Q1338" s="4">
        <v>110.5</v>
      </c>
      <c r="R1338" s="4">
        <v>187</v>
      </c>
      <c r="S1338" s="4" t="str" cm="1">
        <f t="array" ref="S1338">_xlfn.IFS($R1338&lt;=50,"Good",$R1338&lt;=100,"Moderate",$R1338&lt;=200,"Poor",$R1338&lt;=300,"Very Poor",$R1338&lt;=500,"Hazardous")</f>
        <v>Poor</v>
      </c>
      <c r="T1338" t="s">
        <v>28</v>
      </c>
      <c r="X1338" s="2"/>
      <c r="Y1338" s="2"/>
    </row>
    <row r="1339" spans="1:25" x14ac:dyDescent="0.3">
      <c r="A1339" s="2">
        <v>45559</v>
      </c>
      <c r="B1339" t="s">
        <v>22</v>
      </c>
      <c r="C1339" s="4">
        <v>54.8</v>
      </c>
      <c r="D1339" s="4">
        <v>188.4</v>
      </c>
      <c r="E1339" s="4">
        <v>29.2</v>
      </c>
      <c r="F1339" s="4">
        <v>6.36</v>
      </c>
      <c r="G1339" s="4">
        <v>1</v>
      </c>
      <c r="H1339" s="4">
        <v>2.13</v>
      </c>
      <c r="I1339" s="4">
        <v>17.5</v>
      </c>
      <c r="J1339" s="4">
        <v>65.900000000000006</v>
      </c>
      <c r="K1339" s="4">
        <v>2.38</v>
      </c>
      <c r="L1339" s="4">
        <v>91.333333333333329</v>
      </c>
      <c r="M1339" s="4">
        <v>188.4</v>
      </c>
      <c r="N1339" s="4">
        <v>36.5</v>
      </c>
      <c r="O1339" s="4">
        <v>15.9</v>
      </c>
      <c r="P1339" s="4">
        <v>2.5</v>
      </c>
      <c r="Q1339" s="4">
        <v>106.5</v>
      </c>
      <c r="R1339" s="4">
        <v>188</v>
      </c>
      <c r="S1339" s="4" t="str" cm="1">
        <f t="array" ref="S1339">_xlfn.IFS($R1339&lt;=50,"Good",$R1339&lt;=100,"Moderate",$R1339&lt;=200,"Poor",$R1339&lt;=300,"Very Poor",$R1339&lt;=500,"Hazardous")</f>
        <v>Poor</v>
      </c>
      <c r="T1339" t="s">
        <v>28</v>
      </c>
      <c r="X1339" s="2"/>
      <c r="Y1339" s="2"/>
    </row>
    <row r="1340" spans="1:25" x14ac:dyDescent="0.3">
      <c r="A1340" s="2">
        <v>45559</v>
      </c>
      <c r="B1340" t="s">
        <v>23</v>
      </c>
      <c r="C1340" s="4">
        <v>57.1</v>
      </c>
      <c r="D1340" s="4">
        <v>168.6</v>
      </c>
      <c r="E1340" s="4">
        <v>78.400000000000006</v>
      </c>
      <c r="F1340" s="4">
        <v>9.26</v>
      </c>
      <c r="G1340" s="4">
        <v>56.4</v>
      </c>
      <c r="H1340" s="4">
        <v>1.4</v>
      </c>
      <c r="I1340" s="4">
        <v>32.1</v>
      </c>
      <c r="J1340" s="4">
        <v>51.7</v>
      </c>
      <c r="K1340" s="4">
        <v>3.79</v>
      </c>
      <c r="L1340" s="4">
        <v>95.166666666666657</v>
      </c>
      <c r="M1340" s="4">
        <v>168.6</v>
      </c>
      <c r="N1340" s="4">
        <v>98</v>
      </c>
      <c r="O1340" s="4">
        <v>23.15</v>
      </c>
      <c r="P1340" s="4">
        <v>141</v>
      </c>
      <c r="Q1340" s="4">
        <v>69.999999999999986</v>
      </c>
      <c r="R1340" s="4">
        <v>169</v>
      </c>
      <c r="S1340" s="4" t="str" cm="1">
        <f t="array" ref="S1340">_xlfn.IFS($R1340&lt;=50,"Good",$R1340&lt;=100,"Moderate",$R1340&lt;=200,"Poor",$R1340&lt;=300,"Very Poor",$R1340&lt;=500,"Hazardous")</f>
        <v>Poor</v>
      </c>
      <c r="T1340" t="s">
        <v>28</v>
      </c>
      <c r="X1340" s="2"/>
      <c r="Y1340" s="2"/>
    </row>
    <row r="1341" spans="1:25" x14ac:dyDescent="0.3">
      <c r="A1341" s="2">
        <v>45559</v>
      </c>
      <c r="B1341" t="s">
        <v>24</v>
      </c>
      <c r="C1341" s="4">
        <v>102.6</v>
      </c>
      <c r="D1341" s="4">
        <v>203.4</v>
      </c>
      <c r="E1341" s="4">
        <v>35</v>
      </c>
      <c r="F1341" s="4">
        <v>7.87</v>
      </c>
      <c r="G1341" s="4">
        <v>50.6</v>
      </c>
      <c r="H1341" s="4">
        <v>0.42</v>
      </c>
      <c r="I1341" s="4">
        <v>36.200000000000003</v>
      </c>
      <c r="J1341" s="4">
        <v>59.8</v>
      </c>
      <c r="K1341" s="4">
        <v>3.34</v>
      </c>
      <c r="L1341" s="4">
        <v>171</v>
      </c>
      <c r="M1341" s="4">
        <v>203.4</v>
      </c>
      <c r="N1341" s="4">
        <v>43.75</v>
      </c>
      <c r="O1341" s="4">
        <v>19.675000000000001</v>
      </c>
      <c r="P1341" s="4">
        <v>126.5</v>
      </c>
      <c r="Q1341" s="4">
        <v>21</v>
      </c>
      <c r="R1341" s="4">
        <v>203</v>
      </c>
      <c r="S1341" s="4" t="str" cm="1">
        <f t="array" ref="S1341">_xlfn.IFS($R1341&lt;=50,"Good",$R1341&lt;=100,"Moderate",$R1341&lt;=200,"Poor",$R1341&lt;=300,"Very Poor",$R1341&lt;=500,"Hazardous")</f>
        <v>Very Poor</v>
      </c>
      <c r="T1341" t="s">
        <v>28</v>
      </c>
      <c r="X1341" s="2"/>
      <c r="Y1341" s="2"/>
    </row>
    <row r="1342" spans="1:25" x14ac:dyDescent="0.3">
      <c r="A1342" s="2">
        <v>45560</v>
      </c>
      <c r="B1342" t="s">
        <v>20</v>
      </c>
      <c r="C1342" s="4">
        <v>49.1</v>
      </c>
      <c r="D1342" s="4">
        <v>46.4</v>
      </c>
      <c r="E1342" s="4">
        <v>37.9</v>
      </c>
      <c r="F1342" s="4">
        <v>10.46</v>
      </c>
      <c r="G1342" s="4">
        <v>65.400000000000006</v>
      </c>
      <c r="H1342" s="4">
        <v>1.49</v>
      </c>
      <c r="I1342" s="4">
        <v>27.4</v>
      </c>
      <c r="J1342" s="4">
        <v>53.9</v>
      </c>
      <c r="K1342" s="4">
        <v>3.1</v>
      </c>
      <c r="L1342" s="4">
        <v>81.833333333333343</v>
      </c>
      <c r="M1342" s="4">
        <v>46.4</v>
      </c>
      <c r="N1342" s="4">
        <v>47.375</v>
      </c>
      <c r="O1342" s="4">
        <v>26.15</v>
      </c>
      <c r="P1342" s="4">
        <v>163.5</v>
      </c>
      <c r="Q1342" s="4">
        <v>74.5</v>
      </c>
      <c r="R1342" s="4">
        <v>164</v>
      </c>
      <c r="S1342" s="4" t="str" cm="1">
        <f t="array" ref="S1342">_xlfn.IFS($R1342&lt;=50,"Good",$R1342&lt;=100,"Moderate",$R1342&lt;=200,"Poor",$R1342&lt;=300,"Very Poor",$R1342&lt;=500,"Hazardous")</f>
        <v>Poor</v>
      </c>
      <c r="T1342" t="s">
        <v>27</v>
      </c>
      <c r="X1342" s="2"/>
      <c r="Y1342" s="2"/>
    </row>
    <row r="1343" spans="1:25" x14ac:dyDescent="0.3">
      <c r="A1343" s="2">
        <v>45560</v>
      </c>
      <c r="B1343" t="s">
        <v>21</v>
      </c>
      <c r="C1343" s="4">
        <v>130.6</v>
      </c>
      <c r="D1343" s="4">
        <v>202.9</v>
      </c>
      <c r="E1343" s="4">
        <v>76.5</v>
      </c>
      <c r="F1343" s="4">
        <v>11.84</v>
      </c>
      <c r="G1343" s="4">
        <v>3</v>
      </c>
      <c r="H1343" s="4">
        <v>0.72</v>
      </c>
      <c r="I1343" s="4">
        <v>28.2</v>
      </c>
      <c r="J1343" s="4">
        <v>59.8</v>
      </c>
      <c r="K1343" s="4">
        <v>3.03</v>
      </c>
      <c r="L1343" s="4">
        <v>217.66666666666671</v>
      </c>
      <c r="M1343" s="4">
        <v>202.9</v>
      </c>
      <c r="N1343" s="4">
        <v>95.625</v>
      </c>
      <c r="O1343" s="4">
        <v>29.6</v>
      </c>
      <c r="P1343" s="4">
        <v>7.5</v>
      </c>
      <c r="Q1343" s="4">
        <v>36</v>
      </c>
      <c r="R1343" s="4">
        <v>218</v>
      </c>
      <c r="S1343" s="4" t="str" cm="1">
        <f t="array" ref="S1343">_xlfn.IFS($R1343&lt;=50,"Good",$R1343&lt;=100,"Moderate",$R1343&lt;=200,"Poor",$R1343&lt;=300,"Very Poor",$R1343&lt;=500,"Hazardous")</f>
        <v>Very Poor</v>
      </c>
      <c r="T1343" t="s">
        <v>25</v>
      </c>
      <c r="X1343" s="2"/>
      <c r="Y1343" s="2"/>
    </row>
    <row r="1344" spans="1:25" x14ac:dyDescent="0.3">
      <c r="A1344" s="2">
        <v>45560</v>
      </c>
      <c r="B1344" t="s">
        <v>22</v>
      </c>
      <c r="C1344" s="4">
        <v>104.8</v>
      </c>
      <c r="D1344" s="4">
        <v>155.4</v>
      </c>
      <c r="E1344" s="4">
        <v>66.7</v>
      </c>
      <c r="F1344" s="4">
        <v>8.0500000000000007</v>
      </c>
      <c r="G1344" s="4">
        <v>18.8</v>
      </c>
      <c r="H1344" s="4">
        <v>1.1100000000000001</v>
      </c>
      <c r="I1344" s="4">
        <v>19.399999999999999</v>
      </c>
      <c r="J1344" s="4">
        <v>88</v>
      </c>
      <c r="K1344" s="4">
        <v>3.45</v>
      </c>
      <c r="L1344" s="4">
        <v>174.66666666666671</v>
      </c>
      <c r="M1344" s="4">
        <v>155.4</v>
      </c>
      <c r="N1344" s="4">
        <v>83.375</v>
      </c>
      <c r="O1344" s="4">
        <v>20.125</v>
      </c>
      <c r="P1344" s="4">
        <v>47</v>
      </c>
      <c r="Q1344" s="4">
        <v>55.500000000000007</v>
      </c>
      <c r="R1344" s="4">
        <v>175</v>
      </c>
      <c r="S1344" s="4" t="str" cm="1">
        <f t="array" ref="S1344">_xlfn.IFS($R1344&lt;=50,"Good",$R1344&lt;=100,"Moderate",$R1344&lt;=200,"Poor",$R1344&lt;=300,"Very Poor",$R1344&lt;=500,"Hazardous")</f>
        <v>Poor</v>
      </c>
      <c r="T1344" t="s">
        <v>25</v>
      </c>
      <c r="X1344" s="2"/>
      <c r="Y1344" s="2"/>
    </row>
    <row r="1345" spans="1:25" x14ac:dyDescent="0.3">
      <c r="A1345" s="2">
        <v>45560</v>
      </c>
      <c r="B1345" t="s">
        <v>23</v>
      </c>
      <c r="C1345" s="4">
        <v>75.599999999999994</v>
      </c>
      <c r="D1345" s="4">
        <v>194.2</v>
      </c>
      <c r="E1345" s="4">
        <v>4.5999999999999996</v>
      </c>
      <c r="F1345" s="4">
        <v>10.94</v>
      </c>
      <c r="G1345" s="4">
        <v>7.2</v>
      </c>
      <c r="H1345" s="4">
        <v>1.2</v>
      </c>
      <c r="I1345" s="4">
        <v>22.8</v>
      </c>
      <c r="J1345" s="4">
        <v>71.900000000000006</v>
      </c>
      <c r="K1345" s="4">
        <v>2.77</v>
      </c>
      <c r="L1345" s="4">
        <v>126</v>
      </c>
      <c r="M1345" s="4">
        <v>194.2</v>
      </c>
      <c r="N1345" s="4">
        <v>5.75</v>
      </c>
      <c r="O1345" s="4">
        <v>27.35</v>
      </c>
      <c r="P1345" s="4">
        <v>18</v>
      </c>
      <c r="Q1345" s="4">
        <v>60</v>
      </c>
      <c r="R1345" s="4">
        <v>194</v>
      </c>
      <c r="S1345" s="4" t="str" cm="1">
        <f t="array" ref="S1345">_xlfn.IFS($R1345&lt;=50,"Good",$R1345&lt;=100,"Moderate",$R1345&lt;=200,"Poor",$R1345&lt;=300,"Very Poor",$R1345&lt;=500,"Hazardous")</f>
        <v>Poor</v>
      </c>
      <c r="T1345" t="s">
        <v>28</v>
      </c>
      <c r="X1345" s="2"/>
      <c r="Y1345" s="2"/>
    </row>
    <row r="1346" spans="1:25" x14ac:dyDescent="0.3">
      <c r="A1346" s="2">
        <v>45560</v>
      </c>
      <c r="B1346" t="s">
        <v>24</v>
      </c>
      <c r="C1346" s="4">
        <v>110.4</v>
      </c>
      <c r="D1346" s="4">
        <v>92.3</v>
      </c>
      <c r="E1346" s="4">
        <v>65.099999999999994</v>
      </c>
      <c r="F1346" s="4">
        <v>9.69</v>
      </c>
      <c r="G1346" s="4">
        <v>1</v>
      </c>
      <c r="H1346" s="4">
        <v>0.71</v>
      </c>
      <c r="I1346" s="4">
        <v>24</v>
      </c>
      <c r="J1346" s="4">
        <v>80</v>
      </c>
      <c r="K1346" s="4">
        <v>3.56</v>
      </c>
      <c r="L1346" s="4">
        <v>184</v>
      </c>
      <c r="M1346" s="4">
        <v>92.3</v>
      </c>
      <c r="N1346" s="4">
        <v>81.374999999999986</v>
      </c>
      <c r="O1346" s="4">
        <v>24.225000000000001</v>
      </c>
      <c r="P1346" s="4">
        <v>2.5</v>
      </c>
      <c r="Q1346" s="4">
        <v>35.5</v>
      </c>
      <c r="R1346" s="4">
        <v>184</v>
      </c>
      <c r="S1346" s="4" t="str" cm="1">
        <f t="array" ref="S1346">_xlfn.IFS($R1346&lt;=50,"Good",$R1346&lt;=100,"Moderate",$R1346&lt;=200,"Poor",$R1346&lt;=300,"Very Poor",$R1346&lt;=500,"Hazardous")</f>
        <v>Poor</v>
      </c>
      <c r="T1346" t="s">
        <v>25</v>
      </c>
      <c r="X1346" s="2"/>
      <c r="Y1346" s="2"/>
    </row>
    <row r="1347" spans="1:25" x14ac:dyDescent="0.3">
      <c r="A1347" s="2">
        <v>45561</v>
      </c>
      <c r="B1347" t="s">
        <v>20</v>
      </c>
      <c r="C1347" s="4">
        <v>28.7</v>
      </c>
      <c r="D1347" s="4">
        <v>128.30000000000001</v>
      </c>
      <c r="E1347" s="4">
        <v>98.2</v>
      </c>
      <c r="F1347" s="4">
        <v>9.84</v>
      </c>
      <c r="G1347" s="4">
        <v>36.6</v>
      </c>
      <c r="H1347" s="4">
        <v>1.72</v>
      </c>
      <c r="I1347" s="4">
        <v>30.3</v>
      </c>
      <c r="J1347" s="4">
        <v>51.8</v>
      </c>
      <c r="K1347" s="4">
        <v>3.1</v>
      </c>
      <c r="L1347" s="4">
        <v>47.833333333333329</v>
      </c>
      <c r="M1347" s="4">
        <v>128.30000000000001</v>
      </c>
      <c r="N1347" s="4">
        <v>122.75</v>
      </c>
      <c r="O1347" s="4">
        <v>24.6</v>
      </c>
      <c r="P1347" s="4">
        <v>91.5</v>
      </c>
      <c r="Q1347" s="4">
        <v>86</v>
      </c>
      <c r="R1347" s="4">
        <v>128</v>
      </c>
      <c r="S1347" s="4" t="str" cm="1">
        <f t="array" ref="S1347">_xlfn.IFS($R1347&lt;=50,"Good",$R1347&lt;=100,"Moderate",$R1347&lt;=200,"Poor",$R1347&lt;=300,"Very Poor",$R1347&lt;=500,"Hazardous")</f>
        <v>Poor</v>
      </c>
      <c r="T1347" t="s">
        <v>28</v>
      </c>
      <c r="X1347" s="2"/>
      <c r="Y1347" s="2"/>
    </row>
    <row r="1348" spans="1:25" x14ac:dyDescent="0.3">
      <c r="A1348" s="2">
        <v>45561</v>
      </c>
      <c r="B1348" t="s">
        <v>21</v>
      </c>
      <c r="C1348" s="4">
        <v>62.7</v>
      </c>
      <c r="D1348" s="4">
        <v>203.9</v>
      </c>
      <c r="E1348" s="4">
        <v>60.5</v>
      </c>
      <c r="F1348" s="4">
        <v>13.01</v>
      </c>
      <c r="G1348" s="4">
        <v>26.3</v>
      </c>
      <c r="H1348" s="4">
        <v>0.88</v>
      </c>
      <c r="I1348" s="4">
        <v>31.6</v>
      </c>
      <c r="J1348" s="4">
        <v>58.6</v>
      </c>
      <c r="K1348" s="4">
        <v>2.84</v>
      </c>
      <c r="L1348" s="4">
        <v>104.5</v>
      </c>
      <c r="M1348" s="4">
        <v>203.9</v>
      </c>
      <c r="N1348" s="4">
        <v>75.625</v>
      </c>
      <c r="O1348" s="4">
        <v>32.524999999999999</v>
      </c>
      <c r="P1348" s="4">
        <v>65.75</v>
      </c>
      <c r="Q1348" s="4">
        <v>44</v>
      </c>
      <c r="R1348" s="4">
        <v>204</v>
      </c>
      <c r="S1348" s="4" t="str" cm="1">
        <f t="array" ref="S1348">_xlfn.IFS($R1348&lt;=50,"Good",$R1348&lt;=100,"Moderate",$R1348&lt;=200,"Poor",$R1348&lt;=300,"Very Poor",$R1348&lt;=500,"Hazardous")</f>
        <v>Very Poor</v>
      </c>
      <c r="T1348" t="s">
        <v>28</v>
      </c>
      <c r="X1348" s="2"/>
      <c r="Y1348" s="2"/>
    </row>
    <row r="1349" spans="1:25" x14ac:dyDescent="0.3">
      <c r="A1349" s="2">
        <v>45561</v>
      </c>
      <c r="B1349" t="s">
        <v>22</v>
      </c>
      <c r="C1349" s="4">
        <v>48.3</v>
      </c>
      <c r="D1349" s="4">
        <v>165.2</v>
      </c>
      <c r="E1349" s="4">
        <v>31.2</v>
      </c>
      <c r="F1349" s="4">
        <v>6.96</v>
      </c>
      <c r="G1349" s="4">
        <v>56.7</v>
      </c>
      <c r="H1349" s="4">
        <v>1.81</v>
      </c>
      <c r="I1349" s="4">
        <v>21.3</v>
      </c>
      <c r="J1349" s="4">
        <v>95.3</v>
      </c>
      <c r="K1349" s="4">
        <v>2.88</v>
      </c>
      <c r="L1349" s="4">
        <v>80.5</v>
      </c>
      <c r="M1349" s="4">
        <v>165.2</v>
      </c>
      <c r="N1349" s="4">
        <v>39</v>
      </c>
      <c r="O1349" s="4">
        <v>17.399999999999999</v>
      </c>
      <c r="P1349" s="4">
        <v>141.75</v>
      </c>
      <c r="Q1349" s="4">
        <v>90.5</v>
      </c>
      <c r="R1349" s="4">
        <v>165</v>
      </c>
      <c r="S1349" s="4" t="str" cm="1">
        <f t="array" ref="S1349">_xlfn.IFS($R1349&lt;=50,"Good",$R1349&lt;=100,"Moderate",$R1349&lt;=200,"Poor",$R1349&lt;=300,"Very Poor",$R1349&lt;=500,"Hazardous")</f>
        <v>Poor</v>
      </c>
      <c r="T1349" t="s">
        <v>28</v>
      </c>
      <c r="X1349" s="2"/>
      <c r="Y1349" s="2"/>
    </row>
    <row r="1350" spans="1:25" x14ac:dyDescent="0.3">
      <c r="A1350" s="2">
        <v>45561</v>
      </c>
      <c r="B1350" t="s">
        <v>23</v>
      </c>
      <c r="C1350" s="4">
        <v>28.7</v>
      </c>
      <c r="D1350" s="4">
        <v>142.1</v>
      </c>
      <c r="E1350" s="4">
        <v>37.299999999999997</v>
      </c>
      <c r="F1350" s="4">
        <v>10.17</v>
      </c>
      <c r="G1350" s="4">
        <v>38.9</v>
      </c>
      <c r="H1350" s="4">
        <v>1.24</v>
      </c>
      <c r="I1350" s="4">
        <v>18.600000000000001</v>
      </c>
      <c r="J1350" s="4">
        <v>77.8</v>
      </c>
      <c r="K1350" s="4">
        <v>1.1100000000000001</v>
      </c>
      <c r="L1350" s="4">
        <v>47.833333333333329</v>
      </c>
      <c r="M1350" s="4">
        <v>142.1</v>
      </c>
      <c r="N1350" s="4">
        <v>46.625</v>
      </c>
      <c r="O1350" s="4">
        <v>25.425000000000001</v>
      </c>
      <c r="P1350" s="4">
        <v>97.25</v>
      </c>
      <c r="Q1350" s="4">
        <v>62</v>
      </c>
      <c r="R1350" s="4">
        <v>142</v>
      </c>
      <c r="S1350" s="4" t="str" cm="1">
        <f t="array" ref="S1350">_xlfn.IFS($R1350&lt;=50,"Good",$R1350&lt;=100,"Moderate",$R1350&lt;=200,"Poor",$R1350&lt;=300,"Very Poor",$R1350&lt;=500,"Hazardous")</f>
        <v>Poor</v>
      </c>
      <c r="T1350" t="s">
        <v>28</v>
      </c>
      <c r="X1350" s="2"/>
      <c r="Y1350" s="2"/>
    </row>
    <row r="1351" spans="1:25" x14ac:dyDescent="0.3">
      <c r="A1351" s="2">
        <v>45561</v>
      </c>
      <c r="B1351" t="s">
        <v>24</v>
      </c>
      <c r="C1351" s="4">
        <v>29.4</v>
      </c>
      <c r="D1351" s="4">
        <v>156.19999999999999</v>
      </c>
      <c r="E1351" s="4">
        <v>84.8</v>
      </c>
      <c r="F1351" s="4">
        <v>6.86</v>
      </c>
      <c r="G1351" s="4">
        <v>63.3</v>
      </c>
      <c r="H1351" s="4">
        <v>2.0299999999999998</v>
      </c>
      <c r="I1351" s="4">
        <v>30.7</v>
      </c>
      <c r="J1351" s="4">
        <v>54.4</v>
      </c>
      <c r="K1351" s="4">
        <v>1.69</v>
      </c>
      <c r="L1351" s="4">
        <v>48.999999999999993</v>
      </c>
      <c r="M1351" s="4">
        <v>156.19999999999999</v>
      </c>
      <c r="N1351" s="4">
        <v>106</v>
      </c>
      <c r="O1351" s="4">
        <v>17.149999999999999</v>
      </c>
      <c r="P1351" s="4">
        <v>158.25</v>
      </c>
      <c r="Q1351" s="4">
        <v>101.5</v>
      </c>
      <c r="R1351" s="4">
        <v>158</v>
      </c>
      <c r="S1351" s="4" t="str" cm="1">
        <f t="array" ref="S1351">_xlfn.IFS($R1351&lt;=50,"Good",$R1351&lt;=100,"Moderate",$R1351&lt;=200,"Poor",$R1351&lt;=300,"Very Poor",$R1351&lt;=500,"Hazardous")</f>
        <v>Poor</v>
      </c>
      <c r="T1351" t="s">
        <v>27</v>
      </c>
      <c r="X1351" s="2"/>
      <c r="Y1351" s="2"/>
    </row>
    <row r="1352" spans="1:25" x14ac:dyDescent="0.3">
      <c r="A1352" s="2">
        <v>45562</v>
      </c>
      <c r="B1352" t="s">
        <v>20</v>
      </c>
      <c r="C1352" s="4">
        <v>2</v>
      </c>
      <c r="D1352" s="4">
        <v>119.9</v>
      </c>
      <c r="E1352" s="4">
        <v>78.8</v>
      </c>
      <c r="F1352" s="4">
        <v>2.74</v>
      </c>
      <c r="G1352" s="4">
        <v>66.099999999999994</v>
      </c>
      <c r="H1352" s="4">
        <v>0.72</v>
      </c>
      <c r="I1352" s="4">
        <v>25.7</v>
      </c>
      <c r="J1352" s="4">
        <v>72.7</v>
      </c>
      <c r="K1352" s="4">
        <v>1.71</v>
      </c>
      <c r="L1352" s="4">
        <v>3.333333333333333</v>
      </c>
      <c r="M1352" s="4">
        <v>119.9</v>
      </c>
      <c r="N1352" s="4">
        <v>98.499999999999986</v>
      </c>
      <c r="O1352" s="4">
        <v>6.8500000000000014</v>
      </c>
      <c r="P1352" s="4">
        <v>165.25</v>
      </c>
      <c r="Q1352" s="4">
        <v>36</v>
      </c>
      <c r="R1352" s="4">
        <v>165</v>
      </c>
      <c r="S1352" s="4" t="str" cm="1">
        <f t="array" ref="S1352">_xlfn.IFS($R1352&lt;=50,"Good",$R1352&lt;=100,"Moderate",$R1352&lt;=200,"Poor",$R1352&lt;=300,"Very Poor",$R1352&lt;=500,"Hazardous")</f>
        <v>Poor</v>
      </c>
      <c r="T1352" t="s">
        <v>27</v>
      </c>
      <c r="X1352" s="2"/>
      <c r="Y1352" s="2"/>
    </row>
    <row r="1353" spans="1:25" x14ac:dyDescent="0.3">
      <c r="A1353" s="2">
        <v>45562</v>
      </c>
      <c r="B1353" t="s">
        <v>21</v>
      </c>
      <c r="C1353" s="4">
        <v>81.400000000000006</v>
      </c>
      <c r="D1353" s="4">
        <v>118.9</v>
      </c>
      <c r="E1353" s="4">
        <v>73.900000000000006</v>
      </c>
      <c r="F1353" s="4">
        <v>11.47</v>
      </c>
      <c r="G1353" s="4">
        <v>51.8</v>
      </c>
      <c r="H1353" s="4">
        <v>2.67</v>
      </c>
      <c r="I1353" s="4">
        <v>29.6</v>
      </c>
      <c r="J1353" s="4">
        <v>47.6</v>
      </c>
      <c r="K1353" s="4">
        <v>2.4</v>
      </c>
      <c r="L1353" s="4">
        <v>135.66666666666671</v>
      </c>
      <c r="M1353" s="4">
        <v>118.9</v>
      </c>
      <c r="N1353" s="4">
        <v>92.375000000000014</v>
      </c>
      <c r="O1353" s="4">
        <v>28.675000000000001</v>
      </c>
      <c r="P1353" s="4">
        <v>129.5</v>
      </c>
      <c r="Q1353" s="4">
        <v>133.5</v>
      </c>
      <c r="R1353" s="4">
        <v>136</v>
      </c>
      <c r="S1353" s="4" t="str" cm="1">
        <f t="array" ref="S1353">_xlfn.IFS($R1353&lt;=50,"Good",$R1353&lt;=100,"Moderate",$R1353&lt;=200,"Poor",$R1353&lt;=300,"Very Poor",$R1353&lt;=500,"Hazardous")</f>
        <v>Poor</v>
      </c>
      <c r="T1353" t="s">
        <v>25</v>
      </c>
      <c r="X1353" s="2"/>
      <c r="Y1353" s="2"/>
    </row>
    <row r="1354" spans="1:25" x14ac:dyDescent="0.3">
      <c r="A1354" s="2">
        <v>45562</v>
      </c>
      <c r="B1354" t="s">
        <v>22</v>
      </c>
      <c r="C1354" s="4">
        <v>54.8</v>
      </c>
      <c r="D1354" s="4">
        <v>118.6</v>
      </c>
      <c r="E1354" s="4">
        <v>90.7</v>
      </c>
      <c r="F1354" s="4">
        <v>9.36</v>
      </c>
      <c r="G1354" s="4">
        <v>1</v>
      </c>
      <c r="H1354" s="4">
        <v>0.83</v>
      </c>
      <c r="I1354" s="4">
        <v>11.5</v>
      </c>
      <c r="J1354" s="4">
        <v>54.1</v>
      </c>
      <c r="K1354" s="4">
        <v>0.2</v>
      </c>
      <c r="L1354" s="4">
        <v>91.333333333333329</v>
      </c>
      <c r="M1354" s="4">
        <v>118.6</v>
      </c>
      <c r="N1354" s="4">
        <v>113.375</v>
      </c>
      <c r="O1354" s="4">
        <v>23.4</v>
      </c>
      <c r="P1354" s="4">
        <v>2.5</v>
      </c>
      <c r="Q1354" s="4">
        <v>41.499999999999993</v>
      </c>
      <c r="R1354" s="4">
        <v>119</v>
      </c>
      <c r="S1354" s="4" t="str" cm="1">
        <f t="array" ref="S1354">_xlfn.IFS($R1354&lt;=50,"Good",$R1354&lt;=100,"Moderate",$R1354&lt;=200,"Poor",$R1354&lt;=300,"Very Poor",$R1354&lt;=500,"Hazardous")</f>
        <v>Poor</v>
      </c>
      <c r="T1354" t="s">
        <v>28</v>
      </c>
      <c r="X1354" s="2"/>
      <c r="Y1354" s="2"/>
    </row>
    <row r="1355" spans="1:25" x14ac:dyDescent="0.3">
      <c r="A1355" s="2">
        <v>45562</v>
      </c>
      <c r="B1355" t="s">
        <v>23</v>
      </c>
      <c r="C1355" s="4">
        <v>33.9</v>
      </c>
      <c r="D1355" s="4">
        <v>28.8</v>
      </c>
      <c r="E1355" s="4">
        <v>52.7</v>
      </c>
      <c r="F1355" s="4">
        <v>8</v>
      </c>
      <c r="G1355" s="4">
        <v>47.6</v>
      </c>
      <c r="H1355" s="4">
        <v>1.1399999999999999</v>
      </c>
      <c r="I1355" s="4">
        <v>15.2</v>
      </c>
      <c r="J1355" s="4">
        <v>69.2</v>
      </c>
      <c r="K1355" s="4">
        <v>4.8099999999999996</v>
      </c>
      <c r="L1355" s="4">
        <v>56.499999999999993</v>
      </c>
      <c r="M1355" s="4">
        <v>28.8</v>
      </c>
      <c r="N1355" s="4">
        <v>65.875</v>
      </c>
      <c r="O1355" s="4">
        <v>20</v>
      </c>
      <c r="P1355" s="4">
        <v>119</v>
      </c>
      <c r="Q1355" s="4">
        <v>56.999999999999993</v>
      </c>
      <c r="R1355" s="4">
        <v>119</v>
      </c>
      <c r="S1355" s="4" t="str" cm="1">
        <f t="array" ref="S1355">_xlfn.IFS($R1355&lt;=50,"Good",$R1355&lt;=100,"Moderate",$R1355&lt;=200,"Poor",$R1355&lt;=300,"Very Poor",$R1355&lt;=500,"Hazardous")</f>
        <v>Poor</v>
      </c>
      <c r="T1355" t="s">
        <v>27</v>
      </c>
      <c r="X1355" s="2"/>
      <c r="Y1355" s="2"/>
    </row>
    <row r="1356" spans="1:25" x14ac:dyDescent="0.3">
      <c r="A1356" s="2">
        <v>45562</v>
      </c>
      <c r="B1356" t="s">
        <v>24</v>
      </c>
      <c r="C1356" s="4">
        <v>79.5</v>
      </c>
      <c r="D1356" s="4">
        <v>103.9</v>
      </c>
      <c r="E1356" s="4">
        <v>18.100000000000001</v>
      </c>
      <c r="F1356" s="4">
        <v>3.81</v>
      </c>
      <c r="G1356" s="4">
        <v>56.5</v>
      </c>
      <c r="H1356" s="4">
        <v>2.0299999999999998</v>
      </c>
      <c r="I1356" s="4">
        <v>26.8</v>
      </c>
      <c r="J1356" s="4">
        <v>74.400000000000006</v>
      </c>
      <c r="K1356" s="4">
        <v>3.85</v>
      </c>
      <c r="L1356" s="4">
        <v>132.5</v>
      </c>
      <c r="M1356" s="4">
        <v>103.9</v>
      </c>
      <c r="N1356" s="4">
        <v>22.625</v>
      </c>
      <c r="O1356" s="4">
        <v>9.5250000000000004</v>
      </c>
      <c r="P1356" s="4">
        <v>141.25</v>
      </c>
      <c r="Q1356" s="4">
        <v>101.5</v>
      </c>
      <c r="R1356" s="4">
        <v>141</v>
      </c>
      <c r="S1356" s="4" t="str" cm="1">
        <f t="array" ref="S1356">_xlfn.IFS($R1356&lt;=50,"Good",$R1356&lt;=100,"Moderate",$R1356&lt;=200,"Poor",$R1356&lt;=300,"Very Poor",$R1356&lt;=500,"Hazardous")</f>
        <v>Poor</v>
      </c>
      <c r="T1356" t="s">
        <v>27</v>
      </c>
      <c r="X1356" s="2"/>
      <c r="Y1356" s="2"/>
    </row>
    <row r="1357" spans="1:25" x14ac:dyDescent="0.3">
      <c r="A1357" s="2">
        <v>45563</v>
      </c>
      <c r="B1357" t="s">
        <v>20</v>
      </c>
      <c r="C1357" s="4">
        <v>86.5</v>
      </c>
      <c r="D1357" s="4">
        <v>92.6</v>
      </c>
      <c r="E1357" s="4">
        <v>55.8</v>
      </c>
      <c r="F1357" s="4">
        <v>4.32</v>
      </c>
      <c r="G1357" s="4">
        <v>46.5</v>
      </c>
      <c r="H1357" s="4">
        <v>1.61</v>
      </c>
      <c r="I1357" s="4">
        <v>36.799999999999997</v>
      </c>
      <c r="J1357" s="4">
        <v>36.4</v>
      </c>
      <c r="K1357" s="4">
        <v>3.08</v>
      </c>
      <c r="L1357" s="4">
        <v>144.16666666666671</v>
      </c>
      <c r="M1357" s="4">
        <v>92.6</v>
      </c>
      <c r="N1357" s="4">
        <v>69.749999999999986</v>
      </c>
      <c r="O1357" s="4">
        <v>10.8</v>
      </c>
      <c r="P1357" s="4">
        <v>116.25</v>
      </c>
      <c r="Q1357" s="4">
        <v>80.5</v>
      </c>
      <c r="R1357" s="4">
        <v>144</v>
      </c>
      <c r="S1357" s="4" t="str" cm="1">
        <f t="array" ref="S1357">_xlfn.IFS($R1357&lt;=50,"Good",$R1357&lt;=100,"Moderate",$R1357&lt;=200,"Poor",$R1357&lt;=300,"Very Poor",$R1357&lt;=500,"Hazardous")</f>
        <v>Poor</v>
      </c>
      <c r="T1357" t="s">
        <v>25</v>
      </c>
      <c r="X1357" s="2"/>
      <c r="Y1357" s="2"/>
    </row>
    <row r="1358" spans="1:25" x14ac:dyDescent="0.3">
      <c r="A1358" s="2">
        <v>45563</v>
      </c>
      <c r="B1358" t="s">
        <v>21</v>
      </c>
      <c r="C1358" s="4">
        <v>130.5</v>
      </c>
      <c r="D1358" s="4">
        <v>206.9</v>
      </c>
      <c r="E1358" s="4">
        <v>77.099999999999994</v>
      </c>
      <c r="F1358" s="4">
        <v>13.67</v>
      </c>
      <c r="G1358" s="4">
        <v>90.6</v>
      </c>
      <c r="H1358" s="4">
        <v>0.68</v>
      </c>
      <c r="I1358" s="4">
        <v>15.3</v>
      </c>
      <c r="J1358" s="4">
        <v>59.9</v>
      </c>
      <c r="K1358" s="4">
        <v>0.2</v>
      </c>
      <c r="L1358" s="4">
        <v>217.5</v>
      </c>
      <c r="M1358" s="4">
        <v>206.9</v>
      </c>
      <c r="N1358" s="4">
        <v>96.374999999999986</v>
      </c>
      <c r="O1358" s="4">
        <v>34.174999999999997</v>
      </c>
      <c r="P1358" s="4">
        <v>226.5</v>
      </c>
      <c r="Q1358" s="4">
        <v>34</v>
      </c>
      <c r="R1358" s="4">
        <v>226</v>
      </c>
      <c r="S1358" s="4" t="str" cm="1">
        <f t="array" ref="S1358">_xlfn.IFS($R1358&lt;=50,"Good",$R1358&lt;=100,"Moderate",$R1358&lt;=200,"Poor",$R1358&lt;=300,"Very Poor",$R1358&lt;=500,"Hazardous")</f>
        <v>Very Poor</v>
      </c>
      <c r="T1358" t="s">
        <v>27</v>
      </c>
      <c r="X1358" s="2"/>
      <c r="Y1358" s="2"/>
    </row>
    <row r="1359" spans="1:25" x14ac:dyDescent="0.3">
      <c r="A1359" s="2">
        <v>45563</v>
      </c>
      <c r="B1359" t="s">
        <v>22</v>
      </c>
      <c r="C1359" s="4">
        <v>92.1</v>
      </c>
      <c r="D1359" s="4">
        <v>183.6</v>
      </c>
      <c r="E1359" s="4">
        <v>34.5</v>
      </c>
      <c r="F1359" s="4">
        <v>5.84</v>
      </c>
      <c r="G1359" s="4">
        <v>36.299999999999997</v>
      </c>
      <c r="H1359" s="4">
        <v>1.17</v>
      </c>
      <c r="I1359" s="4">
        <v>25.9</v>
      </c>
      <c r="J1359" s="4">
        <v>70</v>
      </c>
      <c r="K1359" s="4">
        <v>2.29</v>
      </c>
      <c r="L1359" s="4">
        <v>153.5</v>
      </c>
      <c r="M1359" s="4">
        <v>183.6</v>
      </c>
      <c r="N1359" s="4">
        <v>43.125</v>
      </c>
      <c r="O1359" s="4">
        <v>14.6</v>
      </c>
      <c r="P1359" s="4">
        <v>90.75</v>
      </c>
      <c r="Q1359" s="4">
        <v>58.5</v>
      </c>
      <c r="R1359" s="4">
        <v>184</v>
      </c>
      <c r="S1359" s="4" t="str" cm="1">
        <f t="array" ref="S1359">_xlfn.IFS($R1359&lt;=50,"Good",$R1359&lt;=100,"Moderate",$R1359&lt;=200,"Poor",$R1359&lt;=300,"Very Poor",$R1359&lt;=500,"Hazardous")</f>
        <v>Poor</v>
      </c>
      <c r="T1359" t="s">
        <v>28</v>
      </c>
      <c r="X1359" s="2"/>
      <c r="Y1359" s="2"/>
    </row>
    <row r="1360" spans="1:25" x14ac:dyDescent="0.3">
      <c r="A1360" s="2">
        <v>45563</v>
      </c>
      <c r="B1360" t="s">
        <v>23</v>
      </c>
      <c r="C1360" s="4">
        <v>88.3</v>
      </c>
      <c r="D1360" s="4">
        <v>146.80000000000001</v>
      </c>
      <c r="E1360" s="4">
        <v>32.9</v>
      </c>
      <c r="F1360" s="4">
        <v>14.68</v>
      </c>
      <c r="G1360" s="4">
        <v>6</v>
      </c>
      <c r="H1360" s="4">
        <v>1.1399999999999999</v>
      </c>
      <c r="I1360" s="4">
        <v>31.8</v>
      </c>
      <c r="J1360" s="4">
        <v>47</v>
      </c>
      <c r="K1360" s="4">
        <v>2.87</v>
      </c>
      <c r="L1360" s="4">
        <v>147.16666666666671</v>
      </c>
      <c r="M1360" s="4">
        <v>146.80000000000001</v>
      </c>
      <c r="N1360" s="4">
        <v>41.124999999999993</v>
      </c>
      <c r="O1360" s="4">
        <v>36.700000000000003</v>
      </c>
      <c r="P1360" s="4">
        <v>15</v>
      </c>
      <c r="Q1360" s="4">
        <v>56.999999999999993</v>
      </c>
      <c r="R1360" s="4">
        <v>147</v>
      </c>
      <c r="S1360" s="4" t="str" cm="1">
        <f t="array" ref="S1360">_xlfn.IFS($R1360&lt;=50,"Good",$R1360&lt;=100,"Moderate",$R1360&lt;=200,"Poor",$R1360&lt;=300,"Very Poor",$R1360&lt;=500,"Hazardous")</f>
        <v>Poor</v>
      </c>
      <c r="T1360" t="s">
        <v>25</v>
      </c>
      <c r="X1360" s="2"/>
      <c r="Y1360" s="2"/>
    </row>
    <row r="1361" spans="1:25" x14ac:dyDescent="0.3">
      <c r="A1361" s="2">
        <v>45563</v>
      </c>
      <c r="B1361" t="s">
        <v>24</v>
      </c>
      <c r="C1361" s="4">
        <v>83.9</v>
      </c>
      <c r="D1361" s="4">
        <v>75.2</v>
      </c>
      <c r="E1361" s="4">
        <v>47.9</v>
      </c>
      <c r="F1361" s="4">
        <v>7.94</v>
      </c>
      <c r="G1361" s="4">
        <v>28.8</v>
      </c>
      <c r="H1361" s="4">
        <v>2.84</v>
      </c>
      <c r="I1361" s="4">
        <v>19.7</v>
      </c>
      <c r="J1361" s="4">
        <v>78.099999999999994</v>
      </c>
      <c r="K1361" s="4">
        <v>2.5299999999999998</v>
      </c>
      <c r="L1361" s="4">
        <v>139.83333333333329</v>
      </c>
      <c r="M1361" s="4">
        <v>75.2</v>
      </c>
      <c r="N1361" s="4">
        <v>59.875</v>
      </c>
      <c r="O1361" s="4">
        <v>19.850000000000001</v>
      </c>
      <c r="P1361" s="4">
        <v>72.000000000000014</v>
      </c>
      <c r="Q1361" s="4">
        <v>142</v>
      </c>
      <c r="R1361" s="4">
        <v>142</v>
      </c>
      <c r="S1361" s="4" t="str" cm="1">
        <f t="array" ref="S1361">_xlfn.IFS($R1361&lt;=50,"Good",$R1361&lt;=100,"Moderate",$R1361&lt;=200,"Poor",$R1361&lt;=300,"Very Poor",$R1361&lt;=500,"Hazardous")</f>
        <v>Poor</v>
      </c>
      <c r="T1361" t="s">
        <v>29</v>
      </c>
      <c r="X1361" s="2"/>
      <c r="Y1361" s="2"/>
    </row>
    <row r="1362" spans="1:25" x14ac:dyDescent="0.3">
      <c r="A1362" s="2">
        <v>45564</v>
      </c>
      <c r="B1362" t="s">
        <v>20</v>
      </c>
      <c r="C1362" s="4">
        <v>31.5</v>
      </c>
      <c r="D1362" s="4">
        <v>145.1</v>
      </c>
      <c r="E1362" s="4">
        <v>66.7</v>
      </c>
      <c r="F1362" s="4">
        <v>14.49</v>
      </c>
      <c r="G1362" s="4">
        <v>90.9</v>
      </c>
      <c r="H1362" s="4">
        <v>3.41</v>
      </c>
      <c r="I1362" s="4">
        <v>26.8</v>
      </c>
      <c r="J1362" s="4">
        <v>48.1</v>
      </c>
      <c r="K1362" s="4">
        <v>3.04</v>
      </c>
      <c r="L1362" s="4">
        <v>52.5</v>
      </c>
      <c r="M1362" s="4">
        <v>145.1</v>
      </c>
      <c r="N1362" s="4">
        <v>83.375</v>
      </c>
      <c r="O1362" s="4">
        <v>36.225000000000001</v>
      </c>
      <c r="P1362" s="4">
        <v>227.25</v>
      </c>
      <c r="Q1362" s="4">
        <v>170.5</v>
      </c>
      <c r="R1362" s="4">
        <v>227</v>
      </c>
      <c r="S1362" s="4" t="str" cm="1">
        <f t="array" ref="S1362">_xlfn.IFS($R1362&lt;=50,"Good",$R1362&lt;=100,"Moderate",$R1362&lt;=200,"Poor",$R1362&lt;=300,"Very Poor",$R1362&lt;=500,"Hazardous")</f>
        <v>Very Poor</v>
      </c>
      <c r="T1362" t="s">
        <v>27</v>
      </c>
      <c r="X1362" s="2"/>
      <c r="Y1362" s="2"/>
    </row>
    <row r="1363" spans="1:25" x14ac:dyDescent="0.3">
      <c r="A1363" s="2">
        <v>45564</v>
      </c>
      <c r="B1363" t="s">
        <v>21</v>
      </c>
      <c r="C1363" s="4">
        <v>65</v>
      </c>
      <c r="D1363" s="4">
        <v>219.4</v>
      </c>
      <c r="E1363" s="4">
        <v>23.8</v>
      </c>
      <c r="F1363" s="4">
        <v>24.8</v>
      </c>
      <c r="G1363" s="4">
        <v>76.8</v>
      </c>
      <c r="H1363" s="4">
        <v>0.24</v>
      </c>
      <c r="I1363" s="4">
        <v>20</v>
      </c>
      <c r="J1363" s="4">
        <v>74.7</v>
      </c>
      <c r="K1363" s="4">
        <v>3.91</v>
      </c>
      <c r="L1363" s="4">
        <v>108.3333333333333</v>
      </c>
      <c r="M1363" s="4">
        <v>219.4</v>
      </c>
      <c r="N1363" s="4">
        <v>29.75</v>
      </c>
      <c r="O1363" s="4">
        <v>62</v>
      </c>
      <c r="P1363" s="4">
        <v>192</v>
      </c>
      <c r="Q1363" s="4">
        <v>12</v>
      </c>
      <c r="R1363" s="4">
        <v>219</v>
      </c>
      <c r="S1363" s="4" t="str" cm="1">
        <f t="array" ref="S1363">_xlfn.IFS($R1363&lt;=50,"Good",$R1363&lt;=100,"Moderate",$R1363&lt;=200,"Poor",$R1363&lt;=300,"Very Poor",$R1363&lt;=500,"Hazardous")</f>
        <v>Very Poor</v>
      </c>
      <c r="T1363" t="s">
        <v>28</v>
      </c>
      <c r="X1363" s="2"/>
      <c r="Y1363" s="2"/>
    </row>
    <row r="1364" spans="1:25" x14ac:dyDescent="0.3">
      <c r="A1364" s="2">
        <v>45564</v>
      </c>
      <c r="B1364" t="s">
        <v>22</v>
      </c>
      <c r="C1364" s="4">
        <v>20.7</v>
      </c>
      <c r="D1364" s="4">
        <v>154.6</v>
      </c>
      <c r="E1364" s="4">
        <v>5.8</v>
      </c>
      <c r="F1364" s="4">
        <v>7.18</v>
      </c>
      <c r="G1364" s="4">
        <v>64.400000000000006</v>
      </c>
      <c r="H1364" s="4">
        <v>0.83</v>
      </c>
      <c r="I1364" s="4">
        <v>14.5</v>
      </c>
      <c r="J1364" s="4">
        <v>62.6</v>
      </c>
      <c r="K1364" s="4">
        <v>1.77</v>
      </c>
      <c r="L1364" s="4">
        <v>34.499999999999993</v>
      </c>
      <c r="M1364" s="4">
        <v>154.6</v>
      </c>
      <c r="N1364" s="4">
        <v>7.2499999999999991</v>
      </c>
      <c r="O1364" s="4">
        <v>17.95</v>
      </c>
      <c r="P1364" s="4">
        <v>161</v>
      </c>
      <c r="Q1364" s="4">
        <v>41.499999999999993</v>
      </c>
      <c r="R1364" s="4">
        <v>161</v>
      </c>
      <c r="S1364" s="4" t="str" cm="1">
        <f t="array" ref="S1364">_xlfn.IFS($R1364&lt;=50,"Good",$R1364&lt;=100,"Moderate",$R1364&lt;=200,"Poor",$R1364&lt;=300,"Very Poor",$R1364&lt;=500,"Hazardous")</f>
        <v>Poor</v>
      </c>
      <c r="T1364" t="s">
        <v>27</v>
      </c>
      <c r="X1364" s="2"/>
      <c r="Y1364" s="2"/>
    </row>
    <row r="1365" spans="1:25" x14ac:dyDescent="0.3">
      <c r="A1365" s="2">
        <v>45564</v>
      </c>
      <c r="B1365" t="s">
        <v>23</v>
      </c>
      <c r="C1365" s="4">
        <v>78.900000000000006</v>
      </c>
      <c r="D1365" s="4">
        <v>66.900000000000006</v>
      </c>
      <c r="E1365" s="4">
        <v>29.5</v>
      </c>
      <c r="F1365" s="4">
        <v>0.5</v>
      </c>
      <c r="G1365" s="4">
        <v>44.2</v>
      </c>
      <c r="H1365" s="4">
        <v>1.1000000000000001</v>
      </c>
      <c r="I1365" s="4">
        <v>16.7</v>
      </c>
      <c r="J1365" s="4">
        <v>63.5</v>
      </c>
      <c r="K1365" s="4">
        <v>3.73</v>
      </c>
      <c r="L1365" s="4">
        <v>131.5</v>
      </c>
      <c r="M1365" s="4">
        <v>66.900000000000006</v>
      </c>
      <c r="N1365" s="4">
        <v>36.875</v>
      </c>
      <c r="O1365" s="4">
        <v>1.25</v>
      </c>
      <c r="P1365" s="4">
        <v>110.5</v>
      </c>
      <c r="Q1365" s="4">
        <v>55.000000000000007</v>
      </c>
      <c r="R1365" s="4">
        <v>132</v>
      </c>
      <c r="S1365" s="4" t="str" cm="1">
        <f t="array" ref="S1365">_xlfn.IFS($R1365&lt;=50,"Good",$R1365&lt;=100,"Moderate",$R1365&lt;=200,"Poor",$R1365&lt;=300,"Very Poor",$R1365&lt;=500,"Hazardous")</f>
        <v>Poor</v>
      </c>
      <c r="T1365" t="s">
        <v>25</v>
      </c>
      <c r="X1365" s="2"/>
      <c r="Y1365" s="2"/>
    </row>
    <row r="1366" spans="1:25" x14ac:dyDescent="0.3">
      <c r="A1366" s="2">
        <v>45564</v>
      </c>
      <c r="B1366" t="s">
        <v>24</v>
      </c>
      <c r="C1366" s="4">
        <v>58.9</v>
      </c>
      <c r="D1366" s="4">
        <v>149.69999999999999</v>
      </c>
      <c r="E1366" s="4">
        <v>55.5</v>
      </c>
      <c r="F1366" s="4">
        <v>2.1800000000000002</v>
      </c>
      <c r="G1366" s="4">
        <v>100.6</v>
      </c>
      <c r="H1366" s="4">
        <v>1.01</v>
      </c>
      <c r="I1366" s="4">
        <v>29.6</v>
      </c>
      <c r="J1366" s="4">
        <v>73.8</v>
      </c>
      <c r="K1366" s="4">
        <v>2.83</v>
      </c>
      <c r="L1366" s="4">
        <v>98.166666666666671</v>
      </c>
      <c r="M1366" s="4">
        <v>149.69999999999999</v>
      </c>
      <c r="N1366" s="4">
        <v>69.375</v>
      </c>
      <c r="O1366" s="4">
        <v>5.45</v>
      </c>
      <c r="P1366" s="4">
        <v>251.5</v>
      </c>
      <c r="Q1366" s="4">
        <v>50.5</v>
      </c>
      <c r="R1366" s="4">
        <v>252</v>
      </c>
      <c r="S1366" s="4" t="str" cm="1">
        <f t="array" ref="S1366">_xlfn.IFS($R1366&lt;=50,"Good",$R1366&lt;=100,"Moderate",$R1366&lt;=200,"Poor",$R1366&lt;=300,"Very Poor",$R1366&lt;=500,"Hazardous")</f>
        <v>Very Poor</v>
      </c>
      <c r="T1366" t="s">
        <v>27</v>
      </c>
      <c r="X1366" s="2"/>
      <c r="Y1366" s="2"/>
    </row>
    <row r="1367" spans="1:25" x14ac:dyDescent="0.3">
      <c r="A1367" s="2">
        <v>45565</v>
      </c>
      <c r="B1367" t="s">
        <v>20</v>
      </c>
      <c r="C1367" s="4">
        <v>89.9</v>
      </c>
      <c r="D1367" s="4">
        <v>155</v>
      </c>
      <c r="E1367" s="4">
        <v>19.100000000000001</v>
      </c>
      <c r="F1367" s="4">
        <v>7.29</v>
      </c>
      <c r="G1367" s="4">
        <v>28.4</v>
      </c>
      <c r="H1367" s="4">
        <v>1.06</v>
      </c>
      <c r="I1367" s="4">
        <v>15.9</v>
      </c>
      <c r="J1367" s="4">
        <v>80.3</v>
      </c>
      <c r="K1367" s="4">
        <v>4.42</v>
      </c>
      <c r="L1367" s="4">
        <v>149.83333333333329</v>
      </c>
      <c r="M1367" s="4">
        <v>155</v>
      </c>
      <c r="N1367" s="4">
        <v>23.875</v>
      </c>
      <c r="O1367" s="4">
        <v>18.225000000000001</v>
      </c>
      <c r="P1367" s="4">
        <v>71</v>
      </c>
      <c r="Q1367" s="4">
        <v>53.000000000000007</v>
      </c>
      <c r="R1367" s="4">
        <v>155</v>
      </c>
      <c r="S1367" s="4" t="str" cm="1">
        <f t="array" ref="S1367">_xlfn.IFS($R1367&lt;=50,"Good",$R1367&lt;=100,"Moderate",$R1367&lt;=200,"Poor",$R1367&lt;=300,"Very Poor",$R1367&lt;=500,"Hazardous")</f>
        <v>Poor</v>
      </c>
      <c r="T1367" t="s">
        <v>28</v>
      </c>
      <c r="X1367" s="2"/>
      <c r="Y1367" s="2"/>
    </row>
    <row r="1368" spans="1:25" x14ac:dyDescent="0.3">
      <c r="A1368" s="2">
        <v>45565</v>
      </c>
      <c r="B1368" t="s">
        <v>21</v>
      </c>
      <c r="C1368" s="4">
        <v>111.7</v>
      </c>
      <c r="D1368" s="4">
        <v>245.3</v>
      </c>
      <c r="E1368" s="4">
        <v>47.6</v>
      </c>
      <c r="F1368" s="4">
        <v>6.02</v>
      </c>
      <c r="G1368" s="4">
        <v>25.7</v>
      </c>
      <c r="H1368" s="4">
        <v>1.98</v>
      </c>
      <c r="I1368" s="4">
        <v>26.6</v>
      </c>
      <c r="J1368" s="4">
        <v>58.6</v>
      </c>
      <c r="K1368" s="4">
        <v>4.05</v>
      </c>
      <c r="L1368" s="4">
        <v>186.16666666666671</v>
      </c>
      <c r="M1368" s="4">
        <v>245.3</v>
      </c>
      <c r="N1368" s="4">
        <v>59.500000000000007</v>
      </c>
      <c r="O1368" s="4">
        <v>15.05</v>
      </c>
      <c r="P1368" s="4">
        <v>64.25</v>
      </c>
      <c r="Q1368" s="4">
        <v>99</v>
      </c>
      <c r="R1368" s="4">
        <v>245</v>
      </c>
      <c r="S1368" s="4" t="str" cm="1">
        <f t="array" ref="S1368">_xlfn.IFS($R1368&lt;=50,"Good",$R1368&lt;=100,"Moderate",$R1368&lt;=200,"Poor",$R1368&lt;=300,"Very Poor",$R1368&lt;=500,"Hazardous")</f>
        <v>Very Poor</v>
      </c>
      <c r="T1368" t="s">
        <v>28</v>
      </c>
      <c r="X1368" s="2"/>
      <c r="Y1368" s="2"/>
    </row>
    <row r="1369" spans="1:25" x14ac:dyDescent="0.3">
      <c r="A1369" s="2">
        <v>45565</v>
      </c>
      <c r="B1369" t="s">
        <v>22</v>
      </c>
      <c r="C1369" s="4">
        <v>68.5</v>
      </c>
      <c r="D1369" s="4">
        <v>66.2</v>
      </c>
      <c r="E1369" s="4">
        <v>29.8</v>
      </c>
      <c r="F1369" s="4">
        <v>10.84</v>
      </c>
      <c r="G1369" s="4">
        <v>62.7</v>
      </c>
      <c r="H1369" s="4">
        <v>1.45</v>
      </c>
      <c r="I1369" s="4">
        <v>38.299999999999997</v>
      </c>
      <c r="J1369" s="4">
        <v>89.4</v>
      </c>
      <c r="K1369" s="4">
        <v>3.03</v>
      </c>
      <c r="L1369" s="4">
        <v>114.1666666666667</v>
      </c>
      <c r="M1369" s="4">
        <v>66.2</v>
      </c>
      <c r="N1369" s="4">
        <v>37.25</v>
      </c>
      <c r="O1369" s="4">
        <v>27.1</v>
      </c>
      <c r="P1369" s="4">
        <v>156.75</v>
      </c>
      <c r="Q1369" s="4">
        <v>72.5</v>
      </c>
      <c r="R1369" s="4">
        <v>157</v>
      </c>
      <c r="S1369" s="4" t="str" cm="1">
        <f t="array" ref="S1369">_xlfn.IFS($R1369&lt;=50,"Good",$R1369&lt;=100,"Moderate",$R1369&lt;=200,"Poor",$R1369&lt;=300,"Very Poor",$R1369&lt;=500,"Hazardous")</f>
        <v>Poor</v>
      </c>
      <c r="T1369" t="s">
        <v>27</v>
      </c>
      <c r="X1369" s="2"/>
      <c r="Y1369" s="2"/>
    </row>
    <row r="1370" spans="1:25" x14ac:dyDescent="0.3">
      <c r="A1370" s="2">
        <v>45565</v>
      </c>
      <c r="B1370" t="s">
        <v>23</v>
      </c>
      <c r="C1370" s="4">
        <v>34.799999999999997</v>
      </c>
      <c r="D1370" s="4">
        <v>41.4</v>
      </c>
      <c r="E1370" s="4">
        <v>37.299999999999997</v>
      </c>
      <c r="F1370" s="4">
        <v>11.77</v>
      </c>
      <c r="G1370" s="4">
        <v>85.7</v>
      </c>
      <c r="H1370" s="4">
        <v>1.45</v>
      </c>
      <c r="I1370" s="4">
        <v>33.200000000000003</v>
      </c>
      <c r="J1370" s="4">
        <v>55.6</v>
      </c>
      <c r="K1370" s="4">
        <v>3.25</v>
      </c>
      <c r="L1370" s="4">
        <v>57.999999999999993</v>
      </c>
      <c r="M1370" s="4">
        <v>41.4</v>
      </c>
      <c r="N1370" s="4">
        <v>46.625</v>
      </c>
      <c r="O1370" s="4">
        <v>29.425000000000001</v>
      </c>
      <c r="P1370" s="4">
        <v>214.25</v>
      </c>
      <c r="Q1370" s="4">
        <v>72.5</v>
      </c>
      <c r="R1370" s="4">
        <v>214</v>
      </c>
      <c r="S1370" s="4" t="str" cm="1">
        <f t="array" ref="S1370">_xlfn.IFS($R1370&lt;=50,"Good",$R1370&lt;=100,"Moderate",$R1370&lt;=200,"Poor",$R1370&lt;=300,"Very Poor",$R1370&lt;=500,"Hazardous")</f>
        <v>Very Poor</v>
      </c>
      <c r="T1370" t="s">
        <v>27</v>
      </c>
      <c r="X1370" s="2"/>
      <c r="Y1370" s="2"/>
    </row>
    <row r="1371" spans="1:25" x14ac:dyDescent="0.3">
      <c r="A1371" s="2">
        <v>45565</v>
      </c>
      <c r="B1371" t="s">
        <v>24</v>
      </c>
      <c r="C1371" s="4">
        <v>93.2</v>
      </c>
      <c r="D1371" s="4">
        <v>5</v>
      </c>
      <c r="E1371" s="4">
        <v>40.4</v>
      </c>
      <c r="F1371" s="4">
        <v>14.02</v>
      </c>
      <c r="G1371" s="4">
        <v>51.5</v>
      </c>
      <c r="H1371" s="4">
        <v>0.53</v>
      </c>
      <c r="I1371" s="4">
        <v>8</v>
      </c>
      <c r="J1371" s="4">
        <v>53.4</v>
      </c>
      <c r="K1371" s="4">
        <v>2.91</v>
      </c>
      <c r="L1371" s="4">
        <v>155.33333333333329</v>
      </c>
      <c r="M1371" s="4">
        <v>5</v>
      </c>
      <c r="N1371" s="4">
        <v>50.499999999999993</v>
      </c>
      <c r="O1371" s="4">
        <v>35.049999999999997</v>
      </c>
      <c r="P1371" s="4">
        <v>128.75</v>
      </c>
      <c r="Q1371" s="4">
        <v>26.5</v>
      </c>
      <c r="R1371" s="4">
        <v>155</v>
      </c>
      <c r="S1371" s="4" t="str" cm="1">
        <f t="array" ref="S1371">_xlfn.IFS($R1371&lt;=50,"Good",$R1371&lt;=100,"Moderate",$R1371&lt;=200,"Poor",$R1371&lt;=300,"Very Poor",$R1371&lt;=500,"Hazardous")</f>
        <v>Poor</v>
      </c>
      <c r="T1371" t="s">
        <v>25</v>
      </c>
      <c r="X1371" s="2"/>
      <c r="Y1371" s="2"/>
    </row>
    <row r="1372" spans="1:25" x14ac:dyDescent="0.3">
      <c r="A1372" s="2">
        <v>45566</v>
      </c>
      <c r="B1372" t="s">
        <v>20</v>
      </c>
      <c r="C1372" s="4">
        <v>38.5</v>
      </c>
      <c r="D1372" s="4">
        <v>147.9</v>
      </c>
      <c r="E1372" s="4">
        <v>63.4</v>
      </c>
      <c r="F1372" s="4">
        <v>13.06</v>
      </c>
      <c r="G1372" s="4">
        <v>1</v>
      </c>
      <c r="H1372" s="4">
        <v>0.47</v>
      </c>
      <c r="I1372" s="4">
        <v>22.9</v>
      </c>
      <c r="J1372" s="4">
        <v>70.3</v>
      </c>
      <c r="K1372" s="4">
        <v>3.09</v>
      </c>
      <c r="L1372" s="4">
        <v>64.166666666666657</v>
      </c>
      <c r="M1372" s="4">
        <v>147.9</v>
      </c>
      <c r="N1372" s="4">
        <v>79.25</v>
      </c>
      <c r="O1372" s="4">
        <v>32.65</v>
      </c>
      <c r="P1372" s="4">
        <v>2.5</v>
      </c>
      <c r="Q1372" s="4">
        <v>23.5</v>
      </c>
      <c r="R1372" s="4">
        <v>148</v>
      </c>
      <c r="S1372" s="4" t="str" cm="1">
        <f t="array" ref="S1372">_xlfn.IFS($R1372&lt;=50,"Good",$R1372&lt;=100,"Moderate",$R1372&lt;=200,"Poor",$R1372&lt;=300,"Very Poor",$R1372&lt;=500,"Hazardous")</f>
        <v>Poor</v>
      </c>
      <c r="T1372" t="s">
        <v>28</v>
      </c>
      <c r="X1372" s="2"/>
      <c r="Y1372" s="2"/>
    </row>
    <row r="1373" spans="1:25" x14ac:dyDescent="0.3">
      <c r="A1373" s="2">
        <v>45566</v>
      </c>
      <c r="B1373" t="s">
        <v>21</v>
      </c>
      <c r="C1373" s="4">
        <v>92.7</v>
      </c>
      <c r="D1373" s="4">
        <v>121.2</v>
      </c>
      <c r="E1373" s="4">
        <v>48.1</v>
      </c>
      <c r="F1373" s="4">
        <v>5.45</v>
      </c>
      <c r="G1373" s="4">
        <v>74</v>
      </c>
      <c r="H1373" s="4">
        <v>0.81</v>
      </c>
      <c r="I1373" s="4">
        <v>31</v>
      </c>
      <c r="J1373" s="4">
        <v>63.7</v>
      </c>
      <c r="K1373" s="4">
        <v>2.4500000000000002</v>
      </c>
      <c r="L1373" s="4">
        <v>154.5</v>
      </c>
      <c r="M1373" s="4">
        <v>121.2</v>
      </c>
      <c r="N1373" s="4">
        <v>60.125000000000007</v>
      </c>
      <c r="O1373" s="4">
        <v>13.625</v>
      </c>
      <c r="P1373" s="4">
        <v>185</v>
      </c>
      <c r="Q1373" s="4">
        <v>40.5</v>
      </c>
      <c r="R1373" s="4">
        <v>185</v>
      </c>
      <c r="S1373" s="4" t="str" cm="1">
        <f t="array" ref="S1373">_xlfn.IFS($R1373&lt;=50,"Good",$R1373&lt;=100,"Moderate",$R1373&lt;=200,"Poor",$R1373&lt;=300,"Very Poor",$R1373&lt;=500,"Hazardous")</f>
        <v>Poor</v>
      </c>
      <c r="T1373" t="s">
        <v>27</v>
      </c>
      <c r="X1373" s="2"/>
      <c r="Y1373" s="2"/>
    </row>
    <row r="1374" spans="1:25" x14ac:dyDescent="0.3">
      <c r="A1374" s="2">
        <v>45566</v>
      </c>
      <c r="B1374" t="s">
        <v>22</v>
      </c>
      <c r="C1374" s="4">
        <v>38.299999999999997</v>
      </c>
      <c r="D1374" s="4">
        <v>36.700000000000003</v>
      </c>
      <c r="E1374" s="4">
        <v>30.4</v>
      </c>
      <c r="F1374" s="4">
        <v>6.03</v>
      </c>
      <c r="G1374" s="4">
        <v>1</v>
      </c>
      <c r="H1374" s="4">
        <v>1.03</v>
      </c>
      <c r="I1374" s="4">
        <v>31.5</v>
      </c>
      <c r="J1374" s="4">
        <v>70.2</v>
      </c>
      <c r="K1374" s="4">
        <v>1.9</v>
      </c>
      <c r="L1374" s="4">
        <v>63.833333333333329</v>
      </c>
      <c r="M1374" s="4">
        <v>36.700000000000003</v>
      </c>
      <c r="N1374" s="4">
        <v>38</v>
      </c>
      <c r="O1374" s="4">
        <v>15.074999999999999</v>
      </c>
      <c r="P1374" s="4">
        <v>2.5</v>
      </c>
      <c r="Q1374" s="4">
        <v>51.500000000000007</v>
      </c>
      <c r="R1374" s="4">
        <v>64</v>
      </c>
      <c r="S1374" s="4" t="str" cm="1">
        <f t="array" ref="S1374">_xlfn.IFS($R1374&lt;=50,"Good",$R1374&lt;=100,"Moderate",$R1374&lt;=200,"Poor",$R1374&lt;=300,"Very Poor",$R1374&lt;=500,"Hazardous")</f>
        <v>Moderate</v>
      </c>
      <c r="T1374" t="s">
        <v>25</v>
      </c>
      <c r="X1374" s="2"/>
      <c r="Y1374" s="2"/>
    </row>
    <row r="1375" spans="1:25" x14ac:dyDescent="0.3">
      <c r="A1375" s="2">
        <v>45566</v>
      </c>
      <c r="B1375" t="s">
        <v>23</v>
      </c>
      <c r="C1375" s="4">
        <v>61.4</v>
      </c>
      <c r="D1375" s="4">
        <v>86.6</v>
      </c>
      <c r="E1375" s="4">
        <v>48</v>
      </c>
      <c r="F1375" s="4">
        <v>15.7</v>
      </c>
      <c r="G1375" s="4">
        <v>64.2</v>
      </c>
      <c r="H1375" s="4">
        <v>1.51</v>
      </c>
      <c r="I1375" s="4">
        <v>21.5</v>
      </c>
      <c r="J1375" s="4">
        <v>73.5</v>
      </c>
      <c r="K1375" s="4">
        <v>0.48</v>
      </c>
      <c r="L1375" s="4">
        <v>102.3333333333333</v>
      </c>
      <c r="M1375" s="4">
        <v>86.6</v>
      </c>
      <c r="N1375" s="4">
        <v>60</v>
      </c>
      <c r="O1375" s="4">
        <v>39.25</v>
      </c>
      <c r="P1375" s="4">
        <v>160.5</v>
      </c>
      <c r="Q1375" s="4">
        <v>75.5</v>
      </c>
      <c r="R1375" s="4">
        <v>160</v>
      </c>
      <c r="S1375" s="4" t="str" cm="1">
        <f t="array" ref="S1375">_xlfn.IFS($R1375&lt;=50,"Good",$R1375&lt;=100,"Moderate",$R1375&lt;=200,"Poor",$R1375&lt;=300,"Very Poor",$R1375&lt;=500,"Hazardous")</f>
        <v>Poor</v>
      </c>
      <c r="T1375" t="s">
        <v>27</v>
      </c>
      <c r="X1375" s="2"/>
      <c r="Y1375" s="2"/>
    </row>
    <row r="1376" spans="1:25" x14ac:dyDescent="0.3">
      <c r="A1376" s="2">
        <v>45566</v>
      </c>
      <c r="B1376" t="s">
        <v>24</v>
      </c>
      <c r="C1376" s="4">
        <v>57.7</v>
      </c>
      <c r="D1376" s="4">
        <v>170.5</v>
      </c>
      <c r="E1376" s="4">
        <v>65.8</v>
      </c>
      <c r="F1376" s="4">
        <v>12.48</v>
      </c>
      <c r="G1376" s="4">
        <v>52.1</v>
      </c>
      <c r="H1376" s="4">
        <v>1.19</v>
      </c>
      <c r="I1376" s="4">
        <v>28.8</v>
      </c>
      <c r="J1376" s="4">
        <v>42.8</v>
      </c>
      <c r="K1376" s="4">
        <v>1.99</v>
      </c>
      <c r="L1376" s="4">
        <v>96.166666666666671</v>
      </c>
      <c r="M1376" s="4">
        <v>170.5</v>
      </c>
      <c r="N1376" s="4">
        <v>82.249999999999986</v>
      </c>
      <c r="O1376" s="4">
        <v>31.2</v>
      </c>
      <c r="P1376" s="4">
        <v>130.25</v>
      </c>
      <c r="Q1376" s="4">
        <v>59.5</v>
      </c>
      <c r="R1376" s="4">
        <v>170</v>
      </c>
      <c r="S1376" s="4" t="str" cm="1">
        <f t="array" ref="S1376">_xlfn.IFS($R1376&lt;=50,"Good",$R1376&lt;=100,"Moderate",$R1376&lt;=200,"Poor",$R1376&lt;=300,"Very Poor",$R1376&lt;=500,"Hazardous")</f>
        <v>Poor</v>
      </c>
      <c r="T1376" t="s">
        <v>28</v>
      </c>
      <c r="X1376" s="2"/>
      <c r="Y1376" s="2"/>
    </row>
    <row r="1377" spans="1:25" x14ac:dyDescent="0.3">
      <c r="A1377" s="2">
        <v>45567</v>
      </c>
      <c r="B1377" t="s">
        <v>20</v>
      </c>
      <c r="C1377" s="4">
        <v>71.099999999999994</v>
      </c>
      <c r="D1377" s="4">
        <v>150</v>
      </c>
      <c r="E1377" s="4">
        <v>9.8000000000000007</v>
      </c>
      <c r="F1377" s="4">
        <v>11.82</v>
      </c>
      <c r="G1377" s="4">
        <v>68.2</v>
      </c>
      <c r="H1377" s="4">
        <v>1.33</v>
      </c>
      <c r="I1377" s="4">
        <v>41.6</v>
      </c>
      <c r="J1377" s="4">
        <v>47.7</v>
      </c>
      <c r="K1377" s="4">
        <v>2.0699999999999998</v>
      </c>
      <c r="L1377" s="4">
        <v>118.5</v>
      </c>
      <c r="M1377" s="4">
        <v>150</v>
      </c>
      <c r="N1377" s="4">
        <v>12.25</v>
      </c>
      <c r="O1377" s="4">
        <v>29.55</v>
      </c>
      <c r="P1377" s="4">
        <v>170.5</v>
      </c>
      <c r="Q1377" s="4">
        <v>66.5</v>
      </c>
      <c r="R1377" s="4">
        <v>170</v>
      </c>
      <c r="S1377" s="4" t="str" cm="1">
        <f t="array" ref="S1377">_xlfn.IFS($R1377&lt;=50,"Good",$R1377&lt;=100,"Moderate",$R1377&lt;=200,"Poor",$R1377&lt;=300,"Very Poor",$R1377&lt;=500,"Hazardous")</f>
        <v>Poor</v>
      </c>
      <c r="T1377" t="s">
        <v>27</v>
      </c>
      <c r="X1377" s="2"/>
      <c r="Y1377" s="2"/>
    </row>
    <row r="1378" spans="1:25" x14ac:dyDescent="0.3">
      <c r="A1378" s="2">
        <v>45567</v>
      </c>
      <c r="B1378" t="s">
        <v>21</v>
      </c>
      <c r="C1378" s="4">
        <v>60.2</v>
      </c>
      <c r="D1378" s="4">
        <v>144.30000000000001</v>
      </c>
      <c r="E1378" s="4">
        <v>48</v>
      </c>
      <c r="F1378" s="4">
        <v>1.21</v>
      </c>
      <c r="G1378" s="4">
        <v>32.9</v>
      </c>
      <c r="H1378" s="4">
        <v>1.43</v>
      </c>
      <c r="I1378" s="4">
        <v>33.6</v>
      </c>
      <c r="J1378" s="4">
        <v>99.6</v>
      </c>
      <c r="K1378" s="4">
        <v>4.0999999999999996</v>
      </c>
      <c r="L1378" s="4">
        <v>100.3333333333333</v>
      </c>
      <c r="M1378" s="4">
        <v>144.30000000000001</v>
      </c>
      <c r="N1378" s="4">
        <v>60</v>
      </c>
      <c r="O1378" s="4">
        <v>3.0249999999999999</v>
      </c>
      <c r="P1378" s="4">
        <v>82.249999999999986</v>
      </c>
      <c r="Q1378" s="4">
        <v>71.5</v>
      </c>
      <c r="R1378" s="4">
        <v>144</v>
      </c>
      <c r="S1378" s="4" t="str" cm="1">
        <f t="array" ref="S1378">_xlfn.IFS($R1378&lt;=50,"Good",$R1378&lt;=100,"Moderate",$R1378&lt;=200,"Poor",$R1378&lt;=300,"Very Poor",$R1378&lt;=500,"Hazardous")</f>
        <v>Poor</v>
      </c>
      <c r="T1378" t="s">
        <v>28</v>
      </c>
      <c r="X1378" s="2"/>
      <c r="Y1378" s="2"/>
    </row>
    <row r="1379" spans="1:25" x14ac:dyDescent="0.3">
      <c r="A1379" s="2">
        <v>45567</v>
      </c>
      <c r="B1379" t="s">
        <v>22</v>
      </c>
      <c r="C1379" s="4">
        <v>34.9</v>
      </c>
      <c r="D1379" s="4">
        <v>74.3</v>
      </c>
      <c r="E1379" s="4">
        <v>39.700000000000003</v>
      </c>
      <c r="F1379" s="4">
        <v>16.079999999999998</v>
      </c>
      <c r="G1379" s="4">
        <v>34.1</v>
      </c>
      <c r="H1379" s="4">
        <v>0.38</v>
      </c>
      <c r="I1379" s="4">
        <v>21.5</v>
      </c>
      <c r="J1379" s="4">
        <v>73.599999999999994</v>
      </c>
      <c r="K1379" s="4">
        <v>3.33</v>
      </c>
      <c r="L1379" s="4">
        <v>58.166666666666657</v>
      </c>
      <c r="M1379" s="4">
        <v>74.3</v>
      </c>
      <c r="N1379" s="4">
        <v>49.625</v>
      </c>
      <c r="O1379" s="4">
        <v>40.200000000000003</v>
      </c>
      <c r="P1379" s="4">
        <v>85.25</v>
      </c>
      <c r="Q1379" s="4">
        <v>19</v>
      </c>
      <c r="R1379" s="4">
        <v>85</v>
      </c>
      <c r="S1379" s="4" t="str" cm="1">
        <f t="array" ref="S1379">_xlfn.IFS($R1379&lt;=50,"Good",$R1379&lt;=100,"Moderate",$R1379&lt;=200,"Poor",$R1379&lt;=300,"Very Poor",$R1379&lt;=500,"Hazardous")</f>
        <v>Moderate</v>
      </c>
      <c r="T1379" t="s">
        <v>27</v>
      </c>
      <c r="X1379" s="2"/>
      <c r="Y1379" s="2"/>
    </row>
    <row r="1380" spans="1:25" x14ac:dyDescent="0.3">
      <c r="A1380" s="2">
        <v>45567</v>
      </c>
      <c r="B1380" t="s">
        <v>23</v>
      </c>
      <c r="C1380" s="4">
        <v>54</v>
      </c>
      <c r="D1380" s="4">
        <v>161</v>
      </c>
      <c r="E1380" s="4">
        <v>2</v>
      </c>
      <c r="F1380" s="4">
        <v>8.52</v>
      </c>
      <c r="G1380" s="4">
        <v>61.5</v>
      </c>
      <c r="H1380" s="4">
        <v>0.7</v>
      </c>
      <c r="I1380" s="4">
        <v>19.100000000000001</v>
      </c>
      <c r="J1380" s="4">
        <v>26.4</v>
      </c>
      <c r="K1380" s="4">
        <v>4.41</v>
      </c>
      <c r="L1380" s="4">
        <v>90</v>
      </c>
      <c r="M1380" s="4">
        <v>161</v>
      </c>
      <c r="N1380" s="4">
        <v>2.5</v>
      </c>
      <c r="O1380" s="4">
        <v>21.3</v>
      </c>
      <c r="P1380" s="4">
        <v>153.75</v>
      </c>
      <c r="Q1380" s="4">
        <v>34.999999999999993</v>
      </c>
      <c r="R1380" s="4">
        <v>161</v>
      </c>
      <c r="S1380" s="4" t="str" cm="1">
        <f t="array" ref="S1380">_xlfn.IFS($R1380&lt;=50,"Good",$R1380&lt;=100,"Moderate",$R1380&lt;=200,"Poor",$R1380&lt;=300,"Very Poor",$R1380&lt;=500,"Hazardous")</f>
        <v>Poor</v>
      </c>
      <c r="T1380" t="s">
        <v>28</v>
      </c>
      <c r="X1380" s="2"/>
      <c r="Y1380" s="2"/>
    </row>
    <row r="1381" spans="1:25" x14ac:dyDescent="0.3">
      <c r="A1381" s="2">
        <v>45567</v>
      </c>
      <c r="B1381" t="s">
        <v>24</v>
      </c>
      <c r="C1381" s="4">
        <v>42.2</v>
      </c>
      <c r="D1381" s="4">
        <v>147.9</v>
      </c>
      <c r="E1381" s="4">
        <v>62.8</v>
      </c>
      <c r="F1381" s="4">
        <v>17.12</v>
      </c>
      <c r="G1381" s="4">
        <v>39.799999999999997</v>
      </c>
      <c r="H1381" s="4">
        <v>0.96</v>
      </c>
      <c r="I1381" s="4">
        <v>26.2</v>
      </c>
      <c r="J1381" s="4">
        <v>83.1</v>
      </c>
      <c r="K1381" s="4">
        <v>2.8</v>
      </c>
      <c r="L1381" s="4">
        <v>70.333333333333343</v>
      </c>
      <c r="M1381" s="4">
        <v>147.9</v>
      </c>
      <c r="N1381" s="4">
        <v>78.5</v>
      </c>
      <c r="O1381" s="4">
        <v>42.8</v>
      </c>
      <c r="P1381" s="4">
        <v>99.499999999999986</v>
      </c>
      <c r="Q1381" s="4">
        <v>48</v>
      </c>
      <c r="R1381" s="4">
        <v>148</v>
      </c>
      <c r="S1381" s="4" t="str" cm="1">
        <f t="array" ref="S1381">_xlfn.IFS($R1381&lt;=50,"Good",$R1381&lt;=100,"Moderate",$R1381&lt;=200,"Poor",$R1381&lt;=300,"Very Poor",$R1381&lt;=500,"Hazardous")</f>
        <v>Poor</v>
      </c>
      <c r="T1381" t="s">
        <v>28</v>
      </c>
      <c r="X1381" s="2"/>
      <c r="Y1381" s="2"/>
    </row>
    <row r="1382" spans="1:25" x14ac:dyDescent="0.3">
      <c r="A1382" s="2">
        <v>45568</v>
      </c>
      <c r="B1382" t="s">
        <v>20</v>
      </c>
      <c r="C1382" s="4">
        <v>36.1</v>
      </c>
      <c r="D1382" s="4">
        <v>31.7</v>
      </c>
      <c r="E1382" s="4">
        <v>23.7</v>
      </c>
      <c r="F1382" s="4">
        <v>14.17</v>
      </c>
      <c r="G1382" s="4">
        <v>36.799999999999997</v>
      </c>
      <c r="H1382" s="4">
        <v>0.96</v>
      </c>
      <c r="I1382" s="4">
        <v>20</v>
      </c>
      <c r="J1382" s="4">
        <v>61.5</v>
      </c>
      <c r="K1382" s="4">
        <v>2.21</v>
      </c>
      <c r="L1382" s="4">
        <v>60.166666666666657</v>
      </c>
      <c r="M1382" s="4">
        <v>31.7</v>
      </c>
      <c r="N1382" s="4">
        <v>29.625</v>
      </c>
      <c r="O1382" s="4">
        <v>35.424999999999997</v>
      </c>
      <c r="P1382" s="4">
        <v>92</v>
      </c>
      <c r="Q1382" s="4">
        <v>48</v>
      </c>
      <c r="R1382" s="4">
        <v>92</v>
      </c>
      <c r="S1382" s="4" t="str" cm="1">
        <f t="array" ref="S1382">_xlfn.IFS($R1382&lt;=50,"Good",$R1382&lt;=100,"Moderate",$R1382&lt;=200,"Poor",$R1382&lt;=300,"Very Poor",$R1382&lt;=500,"Hazardous")</f>
        <v>Moderate</v>
      </c>
      <c r="T1382" t="s">
        <v>27</v>
      </c>
      <c r="X1382" s="2"/>
      <c r="Y1382" s="2"/>
    </row>
    <row r="1383" spans="1:25" x14ac:dyDescent="0.3">
      <c r="A1383" s="2">
        <v>45568</v>
      </c>
      <c r="B1383" t="s">
        <v>21</v>
      </c>
      <c r="C1383" s="4">
        <v>64.8</v>
      </c>
      <c r="D1383" s="4">
        <v>251.2</v>
      </c>
      <c r="E1383" s="4">
        <v>94.7</v>
      </c>
      <c r="F1383" s="4">
        <v>0.5</v>
      </c>
      <c r="G1383" s="4">
        <v>60.2</v>
      </c>
      <c r="H1383" s="4">
        <v>0.92</v>
      </c>
      <c r="I1383" s="4">
        <v>23.3</v>
      </c>
      <c r="J1383" s="4">
        <v>65.599999999999994</v>
      </c>
      <c r="K1383" s="4">
        <v>2.2400000000000002</v>
      </c>
      <c r="L1383" s="4">
        <v>108</v>
      </c>
      <c r="M1383" s="4">
        <v>251.2</v>
      </c>
      <c r="N1383" s="4">
        <v>118.375</v>
      </c>
      <c r="O1383" s="4">
        <v>1.25</v>
      </c>
      <c r="P1383" s="4">
        <v>150.5</v>
      </c>
      <c r="Q1383" s="4">
        <v>46</v>
      </c>
      <c r="R1383" s="4">
        <v>251</v>
      </c>
      <c r="S1383" s="4" t="str" cm="1">
        <f t="array" ref="S1383">_xlfn.IFS($R1383&lt;=50,"Good",$R1383&lt;=100,"Moderate",$R1383&lt;=200,"Poor",$R1383&lt;=300,"Very Poor",$R1383&lt;=500,"Hazardous")</f>
        <v>Very Poor</v>
      </c>
      <c r="T1383" t="s">
        <v>28</v>
      </c>
      <c r="X1383" s="2"/>
      <c r="Y1383" s="2"/>
    </row>
    <row r="1384" spans="1:25" x14ac:dyDescent="0.3">
      <c r="A1384" s="2">
        <v>45568</v>
      </c>
      <c r="B1384" t="s">
        <v>22</v>
      </c>
      <c r="C1384" s="4">
        <v>63.6</v>
      </c>
      <c r="D1384" s="4">
        <v>152.4</v>
      </c>
      <c r="E1384" s="4">
        <v>48.3</v>
      </c>
      <c r="F1384" s="4">
        <v>4.53</v>
      </c>
      <c r="G1384" s="4">
        <v>23.1</v>
      </c>
      <c r="H1384" s="4">
        <v>0.32</v>
      </c>
      <c r="I1384" s="4">
        <v>19</v>
      </c>
      <c r="J1384" s="4">
        <v>95.3</v>
      </c>
      <c r="K1384" s="4">
        <v>1.55</v>
      </c>
      <c r="L1384" s="4">
        <v>106</v>
      </c>
      <c r="M1384" s="4">
        <v>152.4</v>
      </c>
      <c r="N1384" s="4">
        <v>60.375</v>
      </c>
      <c r="O1384" s="4">
        <v>11.324999999999999</v>
      </c>
      <c r="P1384" s="4">
        <v>57.75</v>
      </c>
      <c r="Q1384" s="4">
        <v>16</v>
      </c>
      <c r="R1384" s="4">
        <v>152</v>
      </c>
      <c r="S1384" s="4" t="str" cm="1">
        <f t="array" ref="S1384">_xlfn.IFS($R1384&lt;=50,"Good",$R1384&lt;=100,"Moderate",$R1384&lt;=200,"Poor",$R1384&lt;=300,"Very Poor",$R1384&lt;=500,"Hazardous")</f>
        <v>Poor</v>
      </c>
      <c r="T1384" t="s">
        <v>28</v>
      </c>
      <c r="X1384" s="2"/>
      <c r="Y1384" s="2"/>
    </row>
    <row r="1385" spans="1:25" x14ac:dyDescent="0.3">
      <c r="A1385" s="2">
        <v>45568</v>
      </c>
      <c r="B1385" t="s">
        <v>23</v>
      </c>
      <c r="C1385" s="4">
        <v>24.2</v>
      </c>
      <c r="D1385" s="4">
        <v>139.19999999999999</v>
      </c>
      <c r="E1385" s="4">
        <v>42.8</v>
      </c>
      <c r="F1385" s="4">
        <v>7.02</v>
      </c>
      <c r="G1385" s="4">
        <v>75.2</v>
      </c>
      <c r="H1385" s="4">
        <v>1.53</v>
      </c>
      <c r="I1385" s="4">
        <v>21.3</v>
      </c>
      <c r="J1385" s="4">
        <v>52.4</v>
      </c>
      <c r="K1385" s="4">
        <v>1.9</v>
      </c>
      <c r="L1385" s="4">
        <v>40.333333333333329</v>
      </c>
      <c r="M1385" s="4">
        <v>139.19999999999999</v>
      </c>
      <c r="N1385" s="4">
        <v>53.5</v>
      </c>
      <c r="O1385" s="4">
        <v>17.55</v>
      </c>
      <c r="P1385" s="4">
        <v>188</v>
      </c>
      <c r="Q1385" s="4">
        <v>76.5</v>
      </c>
      <c r="R1385" s="4">
        <v>188</v>
      </c>
      <c r="S1385" s="4" t="str" cm="1">
        <f t="array" ref="S1385">_xlfn.IFS($R1385&lt;=50,"Good",$R1385&lt;=100,"Moderate",$R1385&lt;=200,"Poor",$R1385&lt;=300,"Very Poor",$R1385&lt;=500,"Hazardous")</f>
        <v>Poor</v>
      </c>
      <c r="T1385" t="s">
        <v>27</v>
      </c>
      <c r="X1385" s="2"/>
      <c r="Y1385" s="2"/>
    </row>
    <row r="1386" spans="1:25" x14ac:dyDescent="0.3">
      <c r="A1386" s="2">
        <v>45568</v>
      </c>
      <c r="B1386" t="s">
        <v>24</v>
      </c>
      <c r="C1386" s="4">
        <v>94.9</v>
      </c>
      <c r="D1386" s="4">
        <v>111.7</v>
      </c>
      <c r="E1386" s="4">
        <v>10.1</v>
      </c>
      <c r="F1386" s="4">
        <v>8.5299999999999994</v>
      </c>
      <c r="G1386" s="4">
        <v>1.7</v>
      </c>
      <c r="H1386" s="4">
        <v>2.76</v>
      </c>
      <c r="I1386" s="4">
        <v>18.2</v>
      </c>
      <c r="J1386" s="4">
        <v>57.1</v>
      </c>
      <c r="K1386" s="4">
        <v>3.31</v>
      </c>
      <c r="L1386" s="4">
        <v>158.16666666666671</v>
      </c>
      <c r="M1386" s="4">
        <v>111.7</v>
      </c>
      <c r="N1386" s="4">
        <v>12.625</v>
      </c>
      <c r="O1386" s="4">
        <v>21.324999999999999</v>
      </c>
      <c r="P1386" s="4">
        <v>4.25</v>
      </c>
      <c r="Q1386" s="4">
        <v>138</v>
      </c>
      <c r="R1386" s="4">
        <v>158</v>
      </c>
      <c r="S1386" s="4" t="str" cm="1">
        <f t="array" ref="S1386">_xlfn.IFS($R1386&lt;=50,"Good",$R1386&lt;=100,"Moderate",$R1386&lt;=200,"Poor",$R1386&lt;=300,"Very Poor",$R1386&lt;=500,"Hazardous")</f>
        <v>Poor</v>
      </c>
      <c r="T1386" t="s">
        <v>25</v>
      </c>
      <c r="X1386" s="2"/>
      <c r="Y1386" s="2"/>
    </row>
    <row r="1387" spans="1:25" x14ac:dyDescent="0.3">
      <c r="A1387" s="2">
        <v>45569</v>
      </c>
      <c r="B1387" t="s">
        <v>20</v>
      </c>
      <c r="C1387" s="4">
        <v>59</v>
      </c>
      <c r="D1387" s="4">
        <v>118</v>
      </c>
      <c r="E1387" s="4">
        <v>61.5</v>
      </c>
      <c r="F1387" s="4">
        <v>17.98</v>
      </c>
      <c r="G1387" s="4">
        <v>68.099999999999994</v>
      </c>
      <c r="H1387" s="4">
        <v>2.4</v>
      </c>
      <c r="I1387" s="4">
        <v>17.7</v>
      </c>
      <c r="J1387" s="4">
        <v>65.7</v>
      </c>
      <c r="K1387" s="4">
        <v>2.69</v>
      </c>
      <c r="L1387" s="4">
        <v>98.333333333333329</v>
      </c>
      <c r="M1387" s="4">
        <v>118</v>
      </c>
      <c r="N1387" s="4">
        <v>76.875</v>
      </c>
      <c r="O1387" s="4">
        <v>44.95</v>
      </c>
      <c r="P1387" s="4">
        <v>170.25</v>
      </c>
      <c r="Q1387" s="4">
        <v>120</v>
      </c>
      <c r="R1387" s="4">
        <v>170</v>
      </c>
      <c r="S1387" s="4" t="str" cm="1">
        <f t="array" ref="S1387">_xlfn.IFS($R1387&lt;=50,"Good",$R1387&lt;=100,"Moderate",$R1387&lt;=200,"Poor",$R1387&lt;=300,"Very Poor",$R1387&lt;=500,"Hazardous")</f>
        <v>Poor</v>
      </c>
      <c r="T1387" t="s">
        <v>27</v>
      </c>
      <c r="X1387" s="2"/>
      <c r="Y1387" s="2"/>
    </row>
    <row r="1388" spans="1:25" x14ac:dyDescent="0.3">
      <c r="A1388" s="2">
        <v>45569</v>
      </c>
      <c r="B1388" t="s">
        <v>21</v>
      </c>
      <c r="C1388" s="4">
        <v>88.2</v>
      </c>
      <c r="D1388" s="4">
        <v>253.2</v>
      </c>
      <c r="E1388" s="4">
        <v>50.7</v>
      </c>
      <c r="F1388" s="4">
        <v>7.47</v>
      </c>
      <c r="G1388" s="4">
        <v>66.7</v>
      </c>
      <c r="H1388" s="4">
        <v>0.17</v>
      </c>
      <c r="I1388" s="4">
        <v>23.3</v>
      </c>
      <c r="J1388" s="4">
        <v>57.6</v>
      </c>
      <c r="K1388" s="4">
        <v>1.4</v>
      </c>
      <c r="L1388" s="4">
        <v>147</v>
      </c>
      <c r="M1388" s="4">
        <v>253.2</v>
      </c>
      <c r="N1388" s="4">
        <v>63.375</v>
      </c>
      <c r="O1388" s="4">
        <v>18.675000000000001</v>
      </c>
      <c r="P1388" s="4">
        <v>166.75</v>
      </c>
      <c r="Q1388" s="4">
        <v>8.5</v>
      </c>
      <c r="R1388" s="4">
        <v>253</v>
      </c>
      <c r="S1388" s="4" t="str" cm="1">
        <f t="array" ref="S1388">_xlfn.IFS($R1388&lt;=50,"Good",$R1388&lt;=100,"Moderate",$R1388&lt;=200,"Poor",$R1388&lt;=300,"Very Poor",$R1388&lt;=500,"Hazardous")</f>
        <v>Very Poor</v>
      </c>
      <c r="T1388" t="s">
        <v>28</v>
      </c>
      <c r="X1388" s="2"/>
      <c r="Y1388" s="2"/>
    </row>
    <row r="1389" spans="1:25" x14ac:dyDescent="0.3">
      <c r="A1389" s="2">
        <v>45569</v>
      </c>
      <c r="B1389" t="s">
        <v>22</v>
      </c>
      <c r="C1389" s="4">
        <v>87.1</v>
      </c>
      <c r="D1389" s="4">
        <v>53.5</v>
      </c>
      <c r="E1389" s="4">
        <v>40.200000000000003</v>
      </c>
      <c r="F1389" s="4">
        <v>8.99</v>
      </c>
      <c r="G1389" s="4">
        <v>70.099999999999994</v>
      </c>
      <c r="H1389" s="4">
        <v>1.1299999999999999</v>
      </c>
      <c r="I1389" s="4">
        <v>31.6</v>
      </c>
      <c r="J1389" s="4">
        <v>72.599999999999994</v>
      </c>
      <c r="K1389" s="4">
        <v>2.65</v>
      </c>
      <c r="L1389" s="4">
        <v>145.16666666666671</v>
      </c>
      <c r="M1389" s="4">
        <v>53.5</v>
      </c>
      <c r="N1389" s="4">
        <v>50.25</v>
      </c>
      <c r="O1389" s="4">
        <v>22.475000000000001</v>
      </c>
      <c r="P1389" s="4">
        <v>175.25</v>
      </c>
      <c r="Q1389" s="4">
        <v>56.499999999999993</v>
      </c>
      <c r="R1389" s="4">
        <v>175</v>
      </c>
      <c r="S1389" s="4" t="str" cm="1">
        <f t="array" ref="S1389">_xlfn.IFS($R1389&lt;=50,"Good",$R1389&lt;=100,"Moderate",$R1389&lt;=200,"Poor",$R1389&lt;=300,"Very Poor",$R1389&lt;=500,"Hazardous")</f>
        <v>Poor</v>
      </c>
      <c r="T1389" t="s">
        <v>27</v>
      </c>
      <c r="X1389" s="2"/>
      <c r="Y1389" s="2"/>
    </row>
    <row r="1390" spans="1:25" x14ac:dyDescent="0.3">
      <c r="A1390" s="2">
        <v>45569</v>
      </c>
      <c r="B1390" t="s">
        <v>23</v>
      </c>
      <c r="C1390" s="4">
        <v>27.3</v>
      </c>
      <c r="D1390" s="4">
        <v>33.9</v>
      </c>
      <c r="E1390" s="4">
        <v>47.1</v>
      </c>
      <c r="F1390" s="4">
        <v>5.29</v>
      </c>
      <c r="G1390" s="4">
        <v>63</v>
      </c>
      <c r="H1390" s="4">
        <v>1.65</v>
      </c>
      <c r="I1390" s="4">
        <v>23.7</v>
      </c>
      <c r="J1390" s="4">
        <v>39.200000000000003</v>
      </c>
      <c r="K1390" s="4">
        <v>3.11</v>
      </c>
      <c r="L1390" s="4">
        <v>45.5</v>
      </c>
      <c r="M1390" s="4">
        <v>33.9</v>
      </c>
      <c r="N1390" s="4">
        <v>58.875000000000007</v>
      </c>
      <c r="O1390" s="4">
        <v>13.225</v>
      </c>
      <c r="P1390" s="4">
        <v>157.5</v>
      </c>
      <c r="Q1390" s="4">
        <v>82.499999999999986</v>
      </c>
      <c r="R1390" s="4">
        <v>158</v>
      </c>
      <c r="S1390" s="4" t="str" cm="1">
        <f t="array" ref="S1390">_xlfn.IFS($R1390&lt;=50,"Good",$R1390&lt;=100,"Moderate",$R1390&lt;=200,"Poor",$R1390&lt;=300,"Very Poor",$R1390&lt;=500,"Hazardous")</f>
        <v>Poor</v>
      </c>
      <c r="T1390" t="s">
        <v>27</v>
      </c>
      <c r="X1390" s="2"/>
      <c r="Y1390" s="2"/>
    </row>
    <row r="1391" spans="1:25" x14ac:dyDescent="0.3">
      <c r="A1391" s="2">
        <v>45569</v>
      </c>
      <c r="B1391" t="s">
        <v>24</v>
      </c>
      <c r="C1391" s="4">
        <v>32.4</v>
      </c>
      <c r="D1391" s="4">
        <v>81.900000000000006</v>
      </c>
      <c r="E1391" s="4">
        <v>28</v>
      </c>
      <c r="F1391" s="4">
        <v>8.0399999999999991</v>
      </c>
      <c r="G1391" s="4">
        <v>76.2</v>
      </c>
      <c r="H1391" s="4">
        <v>1.32</v>
      </c>
      <c r="I1391" s="4">
        <v>21.9</v>
      </c>
      <c r="J1391" s="4">
        <v>32.5</v>
      </c>
      <c r="K1391" s="4">
        <v>3.66</v>
      </c>
      <c r="L1391" s="4">
        <v>54</v>
      </c>
      <c r="M1391" s="4">
        <v>81.900000000000006</v>
      </c>
      <c r="N1391" s="4">
        <v>35</v>
      </c>
      <c r="O1391" s="4">
        <v>20.100000000000001</v>
      </c>
      <c r="P1391" s="4">
        <v>190.5</v>
      </c>
      <c r="Q1391" s="4">
        <v>66</v>
      </c>
      <c r="R1391" s="4">
        <v>190</v>
      </c>
      <c r="S1391" s="4" t="str" cm="1">
        <f t="array" ref="S1391">_xlfn.IFS($R1391&lt;=50,"Good",$R1391&lt;=100,"Moderate",$R1391&lt;=200,"Poor",$R1391&lt;=300,"Very Poor",$R1391&lt;=500,"Hazardous")</f>
        <v>Poor</v>
      </c>
      <c r="T1391" t="s">
        <v>27</v>
      </c>
      <c r="X1391" s="2"/>
      <c r="Y1391" s="2"/>
    </row>
    <row r="1392" spans="1:25" x14ac:dyDescent="0.3">
      <c r="A1392" s="2">
        <v>45570</v>
      </c>
      <c r="B1392" t="s">
        <v>20</v>
      </c>
      <c r="C1392" s="4">
        <v>42.1</v>
      </c>
      <c r="D1392" s="4">
        <v>146.1</v>
      </c>
      <c r="E1392" s="4">
        <v>43.6</v>
      </c>
      <c r="F1392" s="4">
        <v>14.02</v>
      </c>
      <c r="G1392" s="4">
        <v>41.5</v>
      </c>
      <c r="H1392" s="4">
        <v>1.34</v>
      </c>
      <c r="I1392" s="4">
        <v>28.4</v>
      </c>
      <c r="J1392" s="4">
        <v>97.9</v>
      </c>
      <c r="K1392" s="4">
        <v>3.57</v>
      </c>
      <c r="L1392" s="4">
        <v>70.166666666666671</v>
      </c>
      <c r="M1392" s="4">
        <v>146.1</v>
      </c>
      <c r="N1392" s="4">
        <v>54.5</v>
      </c>
      <c r="O1392" s="4">
        <v>35.049999999999997</v>
      </c>
      <c r="P1392" s="4">
        <v>103.75</v>
      </c>
      <c r="Q1392" s="4">
        <v>67</v>
      </c>
      <c r="R1392" s="4">
        <v>146</v>
      </c>
      <c r="S1392" s="4" t="str" cm="1">
        <f t="array" ref="S1392">_xlfn.IFS($R1392&lt;=50,"Good",$R1392&lt;=100,"Moderate",$R1392&lt;=200,"Poor",$R1392&lt;=300,"Very Poor",$R1392&lt;=500,"Hazardous")</f>
        <v>Poor</v>
      </c>
      <c r="T1392" t="s">
        <v>28</v>
      </c>
      <c r="X1392" s="2"/>
      <c r="Y1392" s="2"/>
    </row>
    <row r="1393" spans="1:25" x14ac:dyDescent="0.3">
      <c r="A1393" s="2">
        <v>45570</v>
      </c>
      <c r="B1393" t="s">
        <v>21</v>
      </c>
      <c r="C1393" s="4">
        <v>71.7</v>
      </c>
      <c r="D1393" s="4">
        <v>150.19999999999999</v>
      </c>
      <c r="E1393" s="4">
        <v>43.1</v>
      </c>
      <c r="F1393" s="4">
        <v>4.0599999999999996</v>
      </c>
      <c r="G1393" s="4">
        <v>32.700000000000003</v>
      </c>
      <c r="H1393" s="4">
        <v>0.92</v>
      </c>
      <c r="I1393" s="4">
        <v>29.6</v>
      </c>
      <c r="J1393" s="4">
        <v>40.700000000000003</v>
      </c>
      <c r="K1393" s="4">
        <v>4.0999999999999996</v>
      </c>
      <c r="L1393" s="4">
        <v>119.5</v>
      </c>
      <c r="M1393" s="4">
        <v>150.19999999999999</v>
      </c>
      <c r="N1393" s="4">
        <v>53.875</v>
      </c>
      <c r="O1393" s="4">
        <v>10.15</v>
      </c>
      <c r="P1393" s="4">
        <v>81.75</v>
      </c>
      <c r="Q1393" s="4">
        <v>46</v>
      </c>
      <c r="R1393" s="4">
        <v>150</v>
      </c>
      <c r="S1393" s="4" t="str" cm="1">
        <f t="array" ref="S1393">_xlfn.IFS($R1393&lt;=50,"Good",$R1393&lt;=100,"Moderate",$R1393&lt;=200,"Poor",$R1393&lt;=300,"Very Poor",$R1393&lt;=500,"Hazardous")</f>
        <v>Poor</v>
      </c>
      <c r="T1393" t="s">
        <v>28</v>
      </c>
      <c r="X1393" s="2"/>
      <c r="Y1393" s="2"/>
    </row>
    <row r="1394" spans="1:25" x14ac:dyDescent="0.3">
      <c r="A1394" s="2">
        <v>45570</v>
      </c>
      <c r="B1394" t="s">
        <v>22</v>
      </c>
      <c r="C1394" s="4">
        <v>78.400000000000006</v>
      </c>
      <c r="D1394" s="4">
        <v>115.2</v>
      </c>
      <c r="E1394" s="4">
        <v>42.8</v>
      </c>
      <c r="F1394" s="4">
        <v>4.95</v>
      </c>
      <c r="G1394" s="4">
        <v>44.4</v>
      </c>
      <c r="H1394" s="4">
        <v>1.76</v>
      </c>
      <c r="I1394" s="4">
        <v>20.100000000000001</v>
      </c>
      <c r="J1394" s="4">
        <v>32.4</v>
      </c>
      <c r="K1394" s="4">
        <v>3.34</v>
      </c>
      <c r="L1394" s="4">
        <v>130.66666666666671</v>
      </c>
      <c r="M1394" s="4">
        <v>115.2</v>
      </c>
      <c r="N1394" s="4">
        <v>53.5</v>
      </c>
      <c r="O1394" s="4">
        <v>12.375</v>
      </c>
      <c r="P1394" s="4">
        <v>111</v>
      </c>
      <c r="Q1394" s="4">
        <v>88</v>
      </c>
      <c r="R1394" s="4">
        <v>131</v>
      </c>
      <c r="S1394" s="4" t="str" cm="1">
        <f t="array" ref="S1394">_xlfn.IFS($R1394&lt;=50,"Good",$R1394&lt;=100,"Moderate",$R1394&lt;=200,"Poor",$R1394&lt;=300,"Very Poor",$R1394&lt;=500,"Hazardous")</f>
        <v>Poor</v>
      </c>
      <c r="T1394" t="s">
        <v>25</v>
      </c>
      <c r="X1394" s="2"/>
      <c r="Y1394" s="2"/>
    </row>
    <row r="1395" spans="1:25" x14ac:dyDescent="0.3">
      <c r="A1395" s="2">
        <v>45570</v>
      </c>
      <c r="B1395" t="s">
        <v>23</v>
      </c>
      <c r="C1395" s="4">
        <v>69.7</v>
      </c>
      <c r="D1395" s="4">
        <v>52.8</v>
      </c>
      <c r="E1395" s="4">
        <v>30.3</v>
      </c>
      <c r="F1395" s="4">
        <v>3.7</v>
      </c>
      <c r="G1395" s="4">
        <v>21.9</v>
      </c>
      <c r="H1395" s="4">
        <v>1.01</v>
      </c>
      <c r="I1395" s="4">
        <v>23.1</v>
      </c>
      <c r="J1395" s="4">
        <v>48.3</v>
      </c>
      <c r="K1395" s="4">
        <v>1.59</v>
      </c>
      <c r="L1395" s="4">
        <v>116.1666666666667</v>
      </c>
      <c r="M1395" s="4">
        <v>52.8</v>
      </c>
      <c r="N1395" s="4">
        <v>37.875</v>
      </c>
      <c r="O1395" s="4">
        <v>9.2500000000000018</v>
      </c>
      <c r="P1395" s="4">
        <v>54.749999999999993</v>
      </c>
      <c r="Q1395" s="4">
        <v>50.5</v>
      </c>
      <c r="R1395" s="4">
        <v>116</v>
      </c>
      <c r="S1395" s="4" t="str" cm="1">
        <f t="array" ref="S1395">_xlfn.IFS($R1395&lt;=50,"Good",$R1395&lt;=100,"Moderate",$R1395&lt;=200,"Poor",$R1395&lt;=300,"Very Poor",$R1395&lt;=500,"Hazardous")</f>
        <v>Poor</v>
      </c>
      <c r="T1395" t="s">
        <v>25</v>
      </c>
      <c r="X1395" s="2"/>
      <c r="Y1395" s="2"/>
    </row>
    <row r="1396" spans="1:25" x14ac:dyDescent="0.3">
      <c r="A1396" s="2">
        <v>45570</v>
      </c>
      <c r="B1396" t="s">
        <v>24</v>
      </c>
      <c r="C1396" s="4">
        <v>58.5</v>
      </c>
      <c r="D1396" s="4">
        <v>143.1</v>
      </c>
      <c r="E1396" s="4">
        <v>42.5</v>
      </c>
      <c r="F1396" s="4">
        <v>15.17</v>
      </c>
      <c r="G1396" s="4">
        <v>58</v>
      </c>
      <c r="H1396" s="4">
        <v>0.27</v>
      </c>
      <c r="I1396" s="4">
        <v>28.7</v>
      </c>
      <c r="J1396" s="4">
        <v>70.900000000000006</v>
      </c>
      <c r="K1396" s="4">
        <v>2.48</v>
      </c>
      <c r="L1396" s="4">
        <v>97.5</v>
      </c>
      <c r="M1396" s="4">
        <v>143.1</v>
      </c>
      <c r="N1396" s="4">
        <v>53.125</v>
      </c>
      <c r="O1396" s="4">
        <v>37.924999999999997</v>
      </c>
      <c r="P1396" s="4">
        <v>145</v>
      </c>
      <c r="Q1396" s="4">
        <v>13.5</v>
      </c>
      <c r="R1396" s="4">
        <v>145</v>
      </c>
      <c r="S1396" s="4" t="str" cm="1">
        <f t="array" ref="S1396">_xlfn.IFS($R1396&lt;=50,"Good",$R1396&lt;=100,"Moderate",$R1396&lt;=200,"Poor",$R1396&lt;=300,"Very Poor",$R1396&lt;=500,"Hazardous")</f>
        <v>Poor</v>
      </c>
      <c r="T1396" t="s">
        <v>27</v>
      </c>
      <c r="X1396" s="2"/>
      <c r="Y1396" s="2"/>
    </row>
    <row r="1397" spans="1:25" x14ac:dyDescent="0.3">
      <c r="A1397" s="2">
        <v>45571</v>
      </c>
      <c r="B1397" t="s">
        <v>20</v>
      </c>
      <c r="C1397" s="4">
        <v>17.399999999999999</v>
      </c>
      <c r="D1397" s="4">
        <v>138.6</v>
      </c>
      <c r="E1397" s="4">
        <v>51.6</v>
      </c>
      <c r="F1397" s="4">
        <v>2.75</v>
      </c>
      <c r="G1397" s="4">
        <v>4.3</v>
      </c>
      <c r="H1397" s="4">
        <v>1.32</v>
      </c>
      <c r="I1397" s="4">
        <v>23.4</v>
      </c>
      <c r="J1397" s="4">
        <v>52.5</v>
      </c>
      <c r="K1397" s="4">
        <v>2.4</v>
      </c>
      <c r="L1397" s="4">
        <v>29</v>
      </c>
      <c r="M1397" s="4">
        <v>138.6</v>
      </c>
      <c r="N1397" s="4">
        <v>64.5</v>
      </c>
      <c r="O1397" s="4">
        <v>6.875</v>
      </c>
      <c r="P1397" s="4">
        <v>10.75</v>
      </c>
      <c r="Q1397" s="4">
        <v>66</v>
      </c>
      <c r="R1397" s="4">
        <v>139</v>
      </c>
      <c r="S1397" s="4" t="str" cm="1">
        <f t="array" ref="S1397">_xlfn.IFS($R1397&lt;=50,"Good",$R1397&lt;=100,"Moderate",$R1397&lt;=200,"Poor",$R1397&lt;=300,"Very Poor",$R1397&lt;=500,"Hazardous")</f>
        <v>Poor</v>
      </c>
      <c r="T1397" t="s">
        <v>28</v>
      </c>
      <c r="X1397" s="2"/>
      <c r="Y1397" s="2"/>
    </row>
    <row r="1398" spans="1:25" x14ac:dyDescent="0.3">
      <c r="A1398" s="2">
        <v>45571</v>
      </c>
      <c r="B1398" t="s">
        <v>21</v>
      </c>
      <c r="C1398" s="4">
        <v>33.6</v>
      </c>
      <c r="D1398" s="4">
        <v>117.4</v>
      </c>
      <c r="E1398" s="4">
        <v>69.599999999999994</v>
      </c>
      <c r="F1398" s="4">
        <v>7.81</v>
      </c>
      <c r="G1398" s="4">
        <v>1</v>
      </c>
      <c r="H1398" s="4">
        <v>1.1499999999999999</v>
      </c>
      <c r="I1398" s="4">
        <v>17.5</v>
      </c>
      <c r="J1398" s="4">
        <v>64.8</v>
      </c>
      <c r="K1398" s="4">
        <v>2.88</v>
      </c>
      <c r="L1398" s="4">
        <v>56</v>
      </c>
      <c r="M1398" s="4">
        <v>117.4</v>
      </c>
      <c r="N1398" s="4">
        <v>87</v>
      </c>
      <c r="O1398" s="4">
        <v>19.524999999999999</v>
      </c>
      <c r="P1398" s="4">
        <v>2.5</v>
      </c>
      <c r="Q1398" s="4">
        <v>57.499999999999993</v>
      </c>
      <c r="R1398" s="4">
        <v>117</v>
      </c>
      <c r="S1398" s="4" t="str" cm="1">
        <f t="array" ref="S1398">_xlfn.IFS($R1398&lt;=50,"Good",$R1398&lt;=100,"Moderate",$R1398&lt;=200,"Poor",$R1398&lt;=300,"Very Poor",$R1398&lt;=500,"Hazardous")</f>
        <v>Poor</v>
      </c>
      <c r="T1398" t="s">
        <v>28</v>
      </c>
      <c r="X1398" s="2"/>
      <c r="Y1398" s="2"/>
    </row>
    <row r="1399" spans="1:25" x14ac:dyDescent="0.3">
      <c r="A1399" s="2">
        <v>45571</v>
      </c>
      <c r="B1399" t="s">
        <v>22</v>
      </c>
      <c r="C1399" s="4">
        <v>9.6999999999999993</v>
      </c>
      <c r="D1399" s="4">
        <v>157.30000000000001</v>
      </c>
      <c r="E1399" s="4">
        <v>21.6</v>
      </c>
      <c r="F1399" s="4">
        <v>15.01</v>
      </c>
      <c r="G1399" s="4">
        <v>36.799999999999997</v>
      </c>
      <c r="H1399" s="4">
        <v>0.43</v>
      </c>
      <c r="I1399" s="4">
        <v>17</v>
      </c>
      <c r="J1399" s="4">
        <v>66.3</v>
      </c>
      <c r="K1399" s="4">
        <v>2.0299999999999998</v>
      </c>
      <c r="L1399" s="4">
        <v>16.166666666666661</v>
      </c>
      <c r="M1399" s="4">
        <v>157.30000000000001</v>
      </c>
      <c r="N1399" s="4">
        <v>27</v>
      </c>
      <c r="O1399" s="4">
        <v>37.525000000000013</v>
      </c>
      <c r="P1399" s="4">
        <v>92</v>
      </c>
      <c r="Q1399" s="4">
        <v>21.5</v>
      </c>
      <c r="R1399" s="4">
        <v>157</v>
      </c>
      <c r="S1399" s="4" t="str" cm="1">
        <f t="array" ref="S1399">_xlfn.IFS($R1399&lt;=50,"Good",$R1399&lt;=100,"Moderate",$R1399&lt;=200,"Poor",$R1399&lt;=300,"Very Poor",$R1399&lt;=500,"Hazardous")</f>
        <v>Poor</v>
      </c>
      <c r="T1399" t="s">
        <v>28</v>
      </c>
      <c r="X1399" s="2"/>
      <c r="Y1399" s="2"/>
    </row>
    <row r="1400" spans="1:25" x14ac:dyDescent="0.3">
      <c r="A1400" s="2">
        <v>45571</v>
      </c>
      <c r="B1400" t="s">
        <v>23</v>
      </c>
      <c r="C1400" s="4">
        <v>57.1</v>
      </c>
      <c r="D1400" s="4">
        <v>216.8</v>
      </c>
      <c r="E1400" s="4">
        <v>31</v>
      </c>
      <c r="F1400" s="4">
        <v>8.3000000000000007</v>
      </c>
      <c r="G1400" s="4">
        <v>75.5</v>
      </c>
      <c r="H1400" s="4">
        <v>1.36</v>
      </c>
      <c r="I1400" s="4">
        <v>13.8</v>
      </c>
      <c r="J1400" s="4">
        <v>69.099999999999994</v>
      </c>
      <c r="K1400" s="4">
        <v>1.1000000000000001</v>
      </c>
      <c r="L1400" s="4">
        <v>95.166666666666657</v>
      </c>
      <c r="M1400" s="4">
        <v>216.8</v>
      </c>
      <c r="N1400" s="4">
        <v>38.75</v>
      </c>
      <c r="O1400" s="4">
        <v>20.75</v>
      </c>
      <c r="P1400" s="4">
        <v>188.75</v>
      </c>
      <c r="Q1400" s="4">
        <v>68</v>
      </c>
      <c r="R1400" s="4">
        <v>217</v>
      </c>
      <c r="S1400" s="4" t="str" cm="1">
        <f t="array" ref="S1400">_xlfn.IFS($R1400&lt;=50,"Good",$R1400&lt;=100,"Moderate",$R1400&lt;=200,"Poor",$R1400&lt;=300,"Very Poor",$R1400&lt;=500,"Hazardous")</f>
        <v>Very Poor</v>
      </c>
      <c r="T1400" t="s">
        <v>28</v>
      </c>
      <c r="X1400" s="2"/>
      <c r="Y1400" s="2"/>
    </row>
    <row r="1401" spans="1:25" x14ac:dyDescent="0.3">
      <c r="A1401" s="2">
        <v>45571</v>
      </c>
      <c r="B1401" t="s">
        <v>24</v>
      </c>
      <c r="C1401" s="4">
        <v>112.4</v>
      </c>
      <c r="D1401" s="4">
        <v>77.7</v>
      </c>
      <c r="E1401" s="4">
        <v>114.8</v>
      </c>
      <c r="F1401" s="4">
        <v>16.87</v>
      </c>
      <c r="G1401" s="4">
        <v>22.1</v>
      </c>
      <c r="H1401" s="4">
        <v>1.33</v>
      </c>
      <c r="I1401" s="4">
        <v>30.3</v>
      </c>
      <c r="J1401" s="4">
        <v>74.099999999999994</v>
      </c>
      <c r="K1401" s="4">
        <v>3.53</v>
      </c>
      <c r="L1401" s="4">
        <v>187.33333333333329</v>
      </c>
      <c r="M1401" s="4">
        <v>77.7</v>
      </c>
      <c r="N1401" s="4">
        <v>143.5</v>
      </c>
      <c r="O1401" s="4">
        <v>42.174999999999997</v>
      </c>
      <c r="P1401" s="4">
        <v>55.25</v>
      </c>
      <c r="Q1401" s="4">
        <v>66.5</v>
      </c>
      <c r="R1401" s="4">
        <v>187</v>
      </c>
      <c r="S1401" s="4" t="str" cm="1">
        <f t="array" ref="S1401">_xlfn.IFS($R1401&lt;=50,"Good",$R1401&lt;=100,"Moderate",$R1401&lt;=200,"Poor",$R1401&lt;=300,"Very Poor",$R1401&lt;=500,"Hazardous")</f>
        <v>Poor</v>
      </c>
      <c r="T1401" t="s">
        <v>25</v>
      </c>
      <c r="X1401" s="2"/>
      <c r="Y1401" s="2"/>
    </row>
    <row r="1402" spans="1:25" x14ac:dyDescent="0.3">
      <c r="A1402" s="2">
        <v>45572</v>
      </c>
      <c r="B1402" t="s">
        <v>20</v>
      </c>
      <c r="C1402" s="4">
        <v>112.2</v>
      </c>
      <c r="D1402" s="4">
        <v>129.5</v>
      </c>
      <c r="E1402" s="4">
        <v>43.3</v>
      </c>
      <c r="F1402" s="4">
        <v>7.21</v>
      </c>
      <c r="G1402" s="4">
        <v>70.7</v>
      </c>
      <c r="H1402" s="4">
        <v>1.63</v>
      </c>
      <c r="I1402" s="4">
        <v>27</v>
      </c>
      <c r="J1402" s="4">
        <v>74.3</v>
      </c>
      <c r="K1402" s="4">
        <v>0.2</v>
      </c>
      <c r="L1402" s="4">
        <v>187</v>
      </c>
      <c r="M1402" s="4">
        <v>129.5</v>
      </c>
      <c r="N1402" s="4">
        <v>54.125</v>
      </c>
      <c r="O1402" s="4">
        <v>18.024999999999999</v>
      </c>
      <c r="P1402" s="4">
        <v>176.75</v>
      </c>
      <c r="Q1402" s="4">
        <v>81.499999999999986</v>
      </c>
      <c r="R1402" s="4">
        <v>187</v>
      </c>
      <c r="S1402" s="4" t="str" cm="1">
        <f t="array" ref="S1402">_xlfn.IFS($R1402&lt;=50,"Good",$R1402&lt;=100,"Moderate",$R1402&lt;=200,"Poor",$R1402&lt;=300,"Very Poor",$R1402&lt;=500,"Hazardous")</f>
        <v>Poor</v>
      </c>
      <c r="T1402" t="s">
        <v>25</v>
      </c>
      <c r="X1402" s="2"/>
      <c r="Y1402" s="2"/>
    </row>
    <row r="1403" spans="1:25" x14ac:dyDescent="0.3">
      <c r="A1403" s="2">
        <v>45572</v>
      </c>
      <c r="B1403" t="s">
        <v>21</v>
      </c>
      <c r="C1403" s="4">
        <v>86.6</v>
      </c>
      <c r="D1403" s="4">
        <v>166.4</v>
      </c>
      <c r="E1403" s="4">
        <v>98</v>
      </c>
      <c r="F1403" s="4">
        <v>0.5</v>
      </c>
      <c r="G1403" s="4">
        <v>98.7</v>
      </c>
      <c r="H1403" s="4">
        <v>1.56</v>
      </c>
      <c r="I1403" s="4">
        <v>28.4</v>
      </c>
      <c r="J1403" s="4">
        <v>90.2</v>
      </c>
      <c r="K1403" s="4">
        <v>3.17</v>
      </c>
      <c r="L1403" s="4">
        <v>144.33333333333329</v>
      </c>
      <c r="M1403" s="4">
        <v>166.4</v>
      </c>
      <c r="N1403" s="4">
        <v>122.5</v>
      </c>
      <c r="O1403" s="4">
        <v>1.25</v>
      </c>
      <c r="P1403" s="4">
        <v>246.75</v>
      </c>
      <c r="Q1403" s="4">
        <v>78</v>
      </c>
      <c r="R1403" s="4">
        <v>247</v>
      </c>
      <c r="S1403" s="4" t="str" cm="1">
        <f t="array" ref="S1403">_xlfn.IFS($R1403&lt;=50,"Good",$R1403&lt;=100,"Moderate",$R1403&lt;=200,"Poor",$R1403&lt;=300,"Very Poor",$R1403&lt;=500,"Hazardous")</f>
        <v>Very Poor</v>
      </c>
      <c r="T1403" t="s">
        <v>27</v>
      </c>
      <c r="X1403" s="2"/>
      <c r="Y1403" s="2"/>
    </row>
    <row r="1404" spans="1:25" x14ac:dyDescent="0.3">
      <c r="A1404" s="2">
        <v>45572</v>
      </c>
      <c r="B1404" t="s">
        <v>22</v>
      </c>
      <c r="C1404" s="4">
        <v>68.400000000000006</v>
      </c>
      <c r="D1404" s="4">
        <v>127.8</v>
      </c>
      <c r="E1404" s="4">
        <v>33.6</v>
      </c>
      <c r="F1404" s="4">
        <v>7.46</v>
      </c>
      <c r="G1404" s="4">
        <v>21</v>
      </c>
      <c r="H1404" s="4">
        <v>1.1100000000000001</v>
      </c>
      <c r="I1404" s="4">
        <v>8.6</v>
      </c>
      <c r="J1404" s="4">
        <v>67.7</v>
      </c>
      <c r="K1404" s="4">
        <v>2.35</v>
      </c>
      <c r="L1404" s="4">
        <v>114</v>
      </c>
      <c r="M1404" s="4">
        <v>127.8</v>
      </c>
      <c r="N1404" s="4">
        <v>42</v>
      </c>
      <c r="O1404" s="4">
        <v>18.649999999999999</v>
      </c>
      <c r="P1404" s="4">
        <v>52.5</v>
      </c>
      <c r="Q1404" s="4">
        <v>55.500000000000007</v>
      </c>
      <c r="R1404" s="4">
        <v>128</v>
      </c>
      <c r="S1404" s="4" t="str" cm="1">
        <f t="array" ref="S1404">_xlfn.IFS($R1404&lt;=50,"Good",$R1404&lt;=100,"Moderate",$R1404&lt;=200,"Poor",$R1404&lt;=300,"Very Poor",$R1404&lt;=500,"Hazardous")</f>
        <v>Poor</v>
      </c>
      <c r="T1404" t="s">
        <v>28</v>
      </c>
      <c r="X1404" s="2"/>
      <c r="Y1404" s="2"/>
    </row>
    <row r="1405" spans="1:25" x14ac:dyDescent="0.3">
      <c r="A1405" s="2">
        <v>45572</v>
      </c>
      <c r="B1405" t="s">
        <v>23</v>
      </c>
      <c r="C1405" s="4">
        <v>49.9</v>
      </c>
      <c r="D1405" s="4">
        <v>133.19999999999999</v>
      </c>
      <c r="E1405" s="4">
        <v>16.3</v>
      </c>
      <c r="F1405" s="4">
        <v>17.649999999999999</v>
      </c>
      <c r="G1405" s="4">
        <v>37.4</v>
      </c>
      <c r="H1405" s="4">
        <v>1.1100000000000001</v>
      </c>
      <c r="I1405" s="4">
        <v>18.2</v>
      </c>
      <c r="J1405" s="4">
        <v>60.4</v>
      </c>
      <c r="K1405" s="4">
        <v>4.16</v>
      </c>
      <c r="L1405" s="4">
        <v>83.166666666666671</v>
      </c>
      <c r="M1405" s="4">
        <v>133.19999999999999</v>
      </c>
      <c r="N1405" s="4">
        <v>20.375</v>
      </c>
      <c r="O1405" s="4">
        <v>44.125</v>
      </c>
      <c r="P1405" s="4">
        <v>93.5</v>
      </c>
      <c r="Q1405" s="4">
        <v>55.500000000000007</v>
      </c>
      <c r="R1405" s="4">
        <v>133</v>
      </c>
      <c r="S1405" s="4" t="str" cm="1">
        <f t="array" ref="S1405">_xlfn.IFS($R1405&lt;=50,"Good",$R1405&lt;=100,"Moderate",$R1405&lt;=200,"Poor",$R1405&lt;=300,"Very Poor",$R1405&lt;=500,"Hazardous")</f>
        <v>Poor</v>
      </c>
      <c r="T1405" t="s">
        <v>28</v>
      </c>
      <c r="X1405" s="2"/>
      <c r="Y1405" s="2"/>
    </row>
    <row r="1406" spans="1:25" x14ac:dyDescent="0.3">
      <c r="A1406" s="2">
        <v>45572</v>
      </c>
      <c r="B1406" t="s">
        <v>24</v>
      </c>
      <c r="C1406" s="4">
        <v>100.2</v>
      </c>
      <c r="D1406" s="4">
        <v>188.4</v>
      </c>
      <c r="E1406" s="4">
        <v>61.5</v>
      </c>
      <c r="F1406" s="4">
        <v>6.83</v>
      </c>
      <c r="G1406" s="4">
        <v>4.0999999999999996</v>
      </c>
      <c r="H1406" s="4">
        <v>1.19</v>
      </c>
      <c r="I1406" s="4">
        <v>23.3</v>
      </c>
      <c r="J1406" s="4">
        <v>78.900000000000006</v>
      </c>
      <c r="K1406" s="4">
        <v>3.37</v>
      </c>
      <c r="L1406" s="4">
        <v>167</v>
      </c>
      <c r="M1406" s="4">
        <v>188.4</v>
      </c>
      <c r="N1406" s="4">
        <v>76.875</v>
      </c>
      <c r="O1406" s="4">
        <v>17.074999999999999</v>
      </c>
      <c r="P1406" s="4">
        <v>10.25</v>
      </c>
      <c r="Q1406" s="4">
        <v>59.5</v>
      </c>
      <c r="R1406" s="4">
        <v>188</v>
      </c>
      <c r="S1406" s="4" t="str" cm="1">
        <f t="array" ref="S1406">_xlfn.IFS($R1406&lt;=50,"Good",$R1406&lt;=100,"Moderate",$R1406&lt;=200,"Poor",$R1406&lt;=300,"Very Poor",$R1406&lt;=500,"Hazardous")</f>
        <v>Poor</v>
      </c>
      <c r="T1406" t="s">
        <v>28</v>
      </c>
      <c r="X1406" s="2"/>
      <c r="Y1406" s="2"/>
    </row>
    <row r="1407" spans="1:25" x14ac:dyDescent="0.3">
      <c r="A1407" s="2">
        <v>45573</v>
      </c>
      <c r="B1407" t="s">
        <v>20</v>
      </c>
      <c r="C1407" s="4">
        <v>124.6</v>
      </c>
      <c r="D1407" s="4">
        <v>220.6</v>
      </c>
      <c r="E1407" s="4">
        <v>41.3</v>
      </c>
      <c r="F1407" s="4">
        <v>0.5</v>
      </c>
      <c r="G1407" s="4">
        <v>85.8</v>
      </c>
      <c r="H1407" s="4">
        <v>2.3199999999999998</v>
      </c>
      <c r="I1407" s="4">
        <v>15.4</v>
      </c>
      <c r="J1407" s="4">
        <v>87.2</v>
      </c>
      <c r="K1407" s="4">
        <v>2.96</v>
      </c>
      <c r="L1407" s="4">
        <v>207.66666666666671</v>
      </c>
      <c r="M1407" s="4">
        <v>220.6</v>
      </c>
      <c r="N1407" s="4">
        <v>51.625</v>
      </c>
      <c r="O1407" s="4">
        <v>1.25</v>
      </c>
      <c r="P1407" s="4">
        <v>214.5</v>
      </c>
      <c r="Q1407" s="4">
        <v>116</v>
      </c>
      <c r="R1407" s="4">
        <v>221</v>
      </c>
      <c r="S1407" s="4" t="str" cm="1">
        <f t="array" ref="S1407">_xlfn.IFS($R1407&lt;=50,"Good",$R1407&lt;=100,"Moderate",$R1407&lt;=200,"Poor",$R1407&lt;=300,"Very Poor",$R1407&lt;=500,"Hazardous")</f>
        <v>Very Poor</v>
      </c>
      <c r="T1407" t="s">
        <v>28</v>
      </c>
      <c r="X1407" s="2"/>
      <c r="Y1407" s="2"/>
    </row>
    <row r="1408" spans="1:25" x14ac:dyDescent="0.3">
      <c r="A1408" s="2">
        <v>45573</v>
      </c>
      <c r="B1408" t="s">
        <v>21</v>
      </c>
      <c r="C1408" s="4">
        <v>81</v>
      </c>
      <c r="D1408" s="4">
        <v>271.10000000000002</v>
      </c>
      <c r="E1408" s="4">
        <v>89.9</v>
      </c>
      <c r="F1408" s="4">
        <v>14.07</v>
      </c>
      <c r="G1408" s="4">
        <v>64.8</v>
      </c>
      <c r="H1408" s="4">
        <v>1.96</v>
      </c>
      <c r="I1408" s="4">
        <v>22.2</v>
      </c>
      <c r="J1408" s="4">
        <v>59</v>
      </c>
      <c r="K1408" s="4">
        <v>1.42</v>
      </c>
      <c r="L1408" s="4">
        <v>135</v>
      </c>
      <c r="M1408" s="4">
        <v>271.10000000000002</v>
      </c>
      <c r="N1408" s="4">
        <v>112.375</v>
      </c>
      <c r="O1408" s="4">
        <v>35.174999999999997</v>
      </c>
      <c r="P1408" s="4">
        <v>162</v>
      </c>
      <c r="Q1408" s="4">
        <v>98</v>
      </c>
      <c r="R1408" s="4">
        <v>271</v>
      </c>
      <c r="S1408" s="4" t="str" cm="1">
        <f t="array" ref="S1408">_xlfn.IFS($R1408&lt;=50,"Good",$R1408&lt;=100,"Moderate",$R1408&lt;=200,"Poor",$R1408&lt;=300,"Very Poor",$R1408&lt;=500,"Hazardous")</f>
        <v>Very Poor</v>
      </c>
      <c r="T1408" t="s">
        <v>28</v>
      </c>
      <c r="X1408" s="2"/>
      <c r="Y1408" s="2"/>
    </row>
    <row r="1409" spans="1:25" x14ac:dyDescent="0.3">
      <c r="A1409" s="2">
        <v>45573</v>
      </c>
      <c r="B1409" t="s">
        <v>22</v>
      </c>
      <c r="C1409" s="4">
        <v>47.5</v>
      </c>
      <c r="D1409" s="4">
        <v>93.1</v>
      </c>
      <c r="E1409" s="4">
        <v>30.7</v>
      </c>
      <c r="F1409" s="4">
        <v>8.25</v>
      </c>
      <c r="G1409" s="4">
        <v>30.3</v>
      </c>
      <c r="H1409" s="4">
        <v>1.43</v>
      </c>
      <c r="I1409" s="4">
        <v>13.6</v>
      </c>
      <c r="J1409" s="4">
        <v>58</v>
      </c>
      <c r="K1409" s="4">
        <v>2.66</v>
      </c>
      <c r="L1409" s="4">
        <v>79.166666666666657</v>
      </c>
      <c r="M1409" s="4">
        <v>93.1</v>
      </c>
      <c r="N1409" s="4">
        <v>38.375</v>
      </c>
      <c r="O1409" s="4">
        <v>20.625</v>
      </c>
      <c r="P1409" s="4">
        <v>75.75</v>
      </c>
      <c r="Q1409" s="4">
        <v>71.5</v>
      </c>
      <c r="R1409" s="4">
        <v>93</v>
      </c>
      <c r="S1409" s="4" t="str" cm="1">
        <f t="array" ref="S1409">_xlfn.IFS($R1409&lt;=50,"Good",$R1409&lt;=100,"Moderate",$R1409&lt;=200,"Poor",$R1409&lt;=300,"Very Poor",$R1409&lt;=500,"Hazardous")</f>
        <v>Moderate</v>
      </c>
      <c r="T1409" t="s">
        <v>28</v>
      </c>
      <c r="X1409" s="2"/>
      <c r="Y1409" s="2"/>
    </row>
    <row r="1410" spans="1:25" x14ac:dyDescent="0.3">
      <c r="A1410" s="2">
        <v>45573</v>
      </c>
      <c r="B1410" t="s">
        <v>23</v>
      </c>
      <c r="C1410" s="4">
        <v>50.7</v>
      </c>
      <c r="D1410" s="4">
        <v>109.7</v>
      </c>
      <c r="E1410" s="4">
        <v>13.3</v>
      </c>
      <c r="F1410" s="4">
        <v>9.7799999999999994</v>
      </c>
      <c r="G1410" s="4">
        <v>56.2</v>
      </c>
      <c r="H1410" s="4">
        <v>1.5</v>
      </c>
      <c r="I1410" s="4">
        <v>32.299999999999997</v>
      </c>
      <c r="J1410" s="4">
        <v>63.6</v>
      </c>
      <c r="K1410" s="4">
        <v>3.07</v>
      </c>
      <c r="L1410" s="4">
        <v>84.5</v>
      </c>
      <c r="M1410" s="4">
        <v>109.7</v>
      </c>
      <c r="N1410" s="4">
        <v>16.625</v>
      </c>
      <c r="O1410" s="4">
        <v>24.45</v>
      </c>
      <c r="P1410" s="4">
        <v>140.5</v>
      </c>
      <c r="Q1410" s="4">
        <v>75</v>
      </c>
      <c r="R1410" s="4">
        <v>140</v>
      </c>
      <c r="S1410" s="4" t="str" cm="1">
        <f t="array" ref="S1410">_xlfn.IFS($R1410&lt;=50,"Good",$R1410&lt;=100,"Moderate",$R1410&lt;=200,"Poor",$R1410&lt;=300,"Very Poor",$R1410&lt;=500,"Hazardous")</f>
        <v>Poor</v>
      </c>
      <c r="T1410" t="s">
        <v>27</v>
      </c>
      <c r="X1410" s="2"/>
      <c r="Y1410" s="2"/>
    </row>
    <row r="1411" spans="1:25" x14ac:dyDescent="0.3">
      <c r="A1411" s="2">
        <v>45573</v>
      </c>
      <c r="B1411" t="s">
        <v>24</v>
      </c>
      <c r="C1411" s="4">
        <v>71.2</v>
      </c>
      <c r="D1411" s="4">
        <v>177.4</v>
      </c>
      <c r="E1411" s="4">
        <v>14.8</v>
      </c>
      <c r="F1411" s="4">
        <v>3.89</v>
      </c>
      <c r="G1411" s="4">
        <v>87.6</v>
      </c>
      <c r="H1411" s="4">
        <v>0.05</v>
      </c>
      <c r="I1411" s="4">
        <v>24</v>
      </c>
      <c r="J1411" s="4">
        <v>81.099999999999994</v>
      </c>
      <c r="K1411" s="4">
        <v>2.89</v>
      </c>
      <c r="L1411" s="4">
        <v>118.6666666666667</v>
      </c>
      <c r="M1411" s="4">
        <v>177.4</v>
      </c>
      <c r="N1411" s="4">
        <v>18.5</v>
      </c>
      <c r="O1411" s="4">
        <v>9.7250000000000014</v>
      </c>
      <c r="P1411" s="4">
        <v>219</v>
      </c>
      <c r="Q1411" s="4">
        <v>2.5</v>
      </c>
      <c r="R1411" s="4">
        <v>219</v>
      </c>
      <c r="S1411" s="4" t="str" cm="1">
        <f t="array" ref="S1411">_xlfn.IFS($R1411&lt;=50,"Good",$R1411&lt;=100,"Moderate",$R1411&lt;=200,"Poor",$R1411&lt;=300,"Very Poor",$R1411&lt;=500,"Hazardous")</f>
        <v>Very Poor</v>
      </c>
      <c r="T1411" t="s">
        <v>27</v>
      </c>
      <c r="X1411" s="2"/>
      <c r="Y1411" s="2"/>
    </row>
    <row r="1412" spans="1:25" x14ac:dyDescent="0.3">
      <c r="A1412" s="2">
        <v>45574</v>
      </c>
      <c r="B1412" t="s">
        <v>20</v>
      </c>
      <c r="C1412" s="4">
        <v>55</v>
      </c>
      <c r="D1412" s="4">
        <v>146.9</v>
      </c>
      <c r="E1412" s="4">
        <v>43.6</v>
      </c>
      <c r="F1412" s="4">
        <v>9.3800000000000008</v>
      </c>
      <c r="G1412" s="4">
        <v>26.4</v>
      </c>
      <c r="H1412" s="4">
        <v>2.14</v>
      </c>
      <c r="I1412" s="4">
        <v>35</v>
      </c>
      <c r="J1412" s="4">
        <v>57.6</v>
      </c>
      <c r="K1412" s="4">
        <v>0.84</v>
      </c>
      <c r="L1412" s="4">
        <v>91.666666666666657</v>
      </c>
      <c r="M1412" s="4">
        <v>146.9</v>
      </c>
      <c r="N1412" s="4">
        <v>54.5</v>
      </c>
      <c r="O1412" s="4">
        <v>23.45</v>
      </c>
      <c r="P1412" s="4">
        <v>66</v>
      </c>
      <c r="Q1412" s="4">
        <v>107</v>
      </c>
      <c r="R1412" s="4">
        <v>147</v>
      </c>
      <c r="S1412" s="4" t="str" cm="1">
        <f t="array" ref="S1412">_xlfn.IFS($R1412&lt;=50,"Good",$R1412&lt;=100,"Moderate",$R1412&lt;=200,"Poor",$R1412&lt;=300,"Very Poor",$R1412&lt;=500,"Hazardous")</f>
        <v>Poor</v>
      </c>
      <c r="T1412" t="s">
        <v>28</v>
      </c>
      <c r="X1412" s="2"/>
      <c r="Y1412" s="2"/>
    </row>
    <row r="1413" spans="1:25" x14ac:dyDescent="0.3">
      <c r="A1413" s="2">
        <v>45574</v>
      </c>
      <c r="B1413" t="s">
        <v>21</v>
      </c>
      <c r="C1413" s="4">
        <v>55.4</v>
      </c>
      <c r="D1413" s="4">
        <v>136.19999999999999</v>
      </c>
      <c r="E1413" s="4">
        <v>68.900000000000006</v>
      </c>
      <c r="F1413" s="4">
        <v>3.7</v>
      </c>
      <c r="G1413" s="4">
        <v>26</v>
      </c>
      <c r="H1413" s="4">
        <v>1.88</v>
      </c>
      <c r="I1413" s="4">
        <v>31.6</v>
      </c>
      <c r="J1413" s="4">
        <v>48.8</v>
      </c>
      <c r="K1413" s="4">
        <v>0.9</v>
      </c>
      <c r="L1413" s="4">
        <v>92.333333333333343</v>
      </c>
      <c r="M1413" s="4">
        <v>136.19999999999999</v>
      </c>
      <c r="N1413" s="4">
        <v>86.125</v>
      </c>
      <c r="O1413" s="4">
        <v>9.2500000000000018</v>
      </c>
      <c r="P1413" s="4">
        <v>65</v>
      </c>
      <c r="Q1413" s="4">
        <v>94</v>
      </c>
      <c r="R1413" s="4">
        <v>136</v>
      </c>
      <c r="S1413" s="4" t="str" cm="1">
        <f t="array" ref="S1413">_xlfn.IFS($R1413&lt;=50,"Good",$R1413&lt;=100,"Moderate",$R1413&lt;=200,"Poor",$R1413&lt;=300,"Very Poor",$R1413&lt;=500,"Hazardous")</f>
        <v>Poor</v>
      </c>
      <c r="T1413" t="s">
        <v>28</v>
      </c>
      <c r="X1413" s="2"/>
      <c r="Y1413" s="2"/>
    </row>
    <row r="1414" spans="1:25" x14ac:dyDescent="0.3">
      <c r="A1414" s="2">
        <v>45574</v>
      </c>
      <c r="B1414" t="s">
        <v>22</v>
      </c>
      <c r="C1414" s="4">
        <v>150.6</v>
      </c>
      <c r="D1414" s="4">
        <v>158.6</v>
      </c>
      <c r="E1414" s="4">
        <v>37.700000000000003</v>
      </c>
      <c r="F1414" s="4">
        <v>11.73</v>
      </c>
      <c r="G1414" s="4">
        <v>35</v>
      </c>
      <c r="H1414" s="4">
        <v>1.63</v>
      </c>
      <c r="I1414" s="4">
        <v>26.1</v>
      </c>
      <c r="J1414" s="4">
        <v>61.6</v>
      </c>
      <c r="K1414" s="4">
        <v>2.36</v>
      </c>
      <c r="L1414" s="4">
        <v>251</v>
      </c>
      <c r="M1414" s="4">
        <v>158.6</v>
      </c>
      <c r="N1414" s="4">
        <v>47.125</v>
      </c>
      <c r="O1414" s="4">
        <v>29.324999999999999</v>
      </c>
      <c r="P1414" s="4">
        <v>87.5</v>
      </c>
      <c r="Q1414" s="4">
        <v>81.499999999999986</v>
      </c>
      <c r="R1414" s="4">
        <v>251</v>
      </c>
      <c r="S1414" s="4" t="str" cm="1">
        <f t="array" ref="S1414">_xlfn.IFS($R1414&lt;=50,"Good",$R1414&lt;=100,"Moderate",$R1414&lt;=200,"Poor",$R1414&lt;=300,"Very Poor",$R1414&lt;=500,"Hazardous")</f>
        <v>Very Poor</v>
      </c>
      <c r="T1414" t="s">
        <v>25</v>
      </c>
      <c r="X1414" s="2"/>
      <c r="Y1414" s="2"/>
    </row>
    <row r="1415" spans="1:25" x14ac:dyDescent="0.3">
      <c r="A1415" s="2">
        <v>45574</v>
      </c>
      <c r="B1415" t="s">
        <v>23</v>
      </c>
      <c r="C1415" s="4">
        <v>16.600000000000001</v>
      </c>
      <c r="D1415" s="4">
        <v>236.3</v>
      </c>
      <c r="E1415" s="4">
        <v>26.2</v>
      </c>
      <c r="F1415" s="4">
        <v>1.2</v>
      </c>
      <c r="G1415" s="4">
        <v>34.700000000000003</v>
      </c>
      <c r="H1415" s="4">
        <v>0.62</v>
      </c>
      <c r="I1415" s="4">
        <v>24.6</v>
      </c>
      <c r="J1415" s="4">
        <v>72.400000000000006</v>
      </c>
      <c r="K1415" s="4">
        <v>3.69</v>
      </c>
      <c r="L1415" s="4">
        <v>27.666666666666671</v>
      </c>
      <c r="M1415" s="4">
        <v>236.3</v>
      </c>
      <c r="N1415" s="4">
        <v>32.75</v>
      </c>
      <c r="O1415" s="4">
        <v>3</v>
      </c>
      <c r="P1415" s="4">
        <v>86.750000000000014</v>
      </c>
      <c r="Q1415" s="4">
        <v>31</v>
      </c>
      <c r="R1415" s="4">
        <v>236</v>
      </c>
      <c r="S1415" s="4" t="str" cm="1">
        <f t="array" ref="S1415">_xlfn.IFS($R1415&lt;=50,"Good",$R1415&lt;=100,"Moderate",$R1415&lt;=200,"Poor",$R1415&lt;=300,"Very Poor",$R1415&lt;=500,"Hazardous")</f>
        <v>Very Poor</v>
      </c>
      <c r="T1415" t="s">
        <v>28</v>
      </c>
      <c r="X1415" s="2"/>
      <c r="Y1415" s="2"/>
    </row>
    <row r="1416" spans="1:25" x14ac:dyDescent="0.3">
      <c r="A1416" s="2">
        <v>45574</v>
      </c>
      <c r="B1416" t="s">
        <v>24</v>
      </c>
      <c r="C1416" s="4">
        <v>92.9</v>
      </c>
      <c r="D1416" s="4">
        <v>111.8</v>
      </c>
      <c r="E1416" s="4">
        <v>50.6</v>
      </c>
      <c r="F1416" s="4">
        <v>11.04</v>
      </c>
      <c r="G1416" s="4">
        <v>1</v>
      </c>
      <c r="H1416" s="4">
        <v>1.7</v>
      </c>
      <c r="I1416" s="4">
        <v>14.8</v>
      </c>
      <c r="J1416" s="4">
        <v>96.7</v>
      </c>
      <c r="K1416" s="4">
        <v>2.5099999999999998</v>
      </c>
      <c r="L1416" s="4">
        <v>154.83333333333329</v>
      </c>
      <c r="M1416" s="4">
        <v>111.8</v>
      </c>
      <c r="N1416" s="4">
        <v>63.25</v>
      </c>
      <c r="O1416" s="4">
        <v>27.6</v>
      </c>
      <c r="P1416" s="4">
        <v>2.5</v>
      </c>
      <c r="Q1416" s="4">
        <v>84.999999999999986</v>
      </c>
      <c r="R1416" s="4">
        <v>155</v>
      </c>
      <c r="S1416" s="4" t="str" cm="1">
        <f t="array" ref="S1416">_xlfn.IFS($R1416&lt;=50,"Good",$R1416&lt;=100,"Moderate",$R1416&lt;=200,"Poor",$R1416&lt;=300,"Very Poor",$R1416&lt;=500,"Hazardous")</f>
        <v>Poor</v>
      </c>
      <c r="T1416" t="s">
        <v>25</v>
      </c>
      <c r="X1416" s="2"/>
      <c r="Y1416" s="2"/>
    </row>
    <row r="1417" spans="1:25" x14ac:dyDescent="0.3">
      <c r="A1417" s="2">
        <v>45575</v>
      </c>
      <c r="B1417" t="s">
        <v>20</v>
      </c>
      <c r="C1417" s="4">
        <v>62.6</v>
      </c>
      <c r="D1417" s="4">
        <v>84.9</v>
      </c>
      <c r="E1417" s="4">
        <v>37.299999999999997</v>
      </c>
      <c r="F1417" s="4">
        <v>22.28</v>
      </c>
      <c r="G1417" s="4">
        <v>73</v>
      </c>
      <c r="H1417" s="4">
        <v>0.31</v>
      </c>
      <c r="I1417" s="4">
        <v>35.5</v>
      </c>
      <c r="J1417" s="4">
        <v>81.5</v>
      </c>
      <c r="K1417" s="4">
        <v>2.16</v>
      </c>
      <c r="L1417" s="4">
        <v>104.3333333333333</v>
      </c>
      <c r="M1417" s="4">
        <v>84.9</v>
      </c>
      <c r="N1417" s="4">
        <v>46.625</v>
      </c>
      <c r="O1417" s="4">
        <v>55.7</v>
      </c>
      <c r="P1417" s="4">
        <v>182.5</v>
      </c>
      <c r="Q1417" s="4">
        <v>15.5</v>
      </c>
      <c r="R1417" s="4">
        <v>182</v>
      </c>
      <c r="S1417" s="4" t="str" cm="1">
        <f t="array" ref="S1417">_xlfn.IFS($R1417&lt;=50,"Good",$R1417&lt;=100,"Moderate",$R1417&lt;=200,"Poor",$R1417&lt;=300,"Very Poor",$R1417&lt;=500,"Hazardous")</f>
        <v>Poor</v>
      </c>
      <c r="T1417" t="s">
        <v>27</v>
      </c>
      <c r="X1417" s="2"/>
      <c r="Y1417" s="2"/>
    </row>
    <row r="1418" spans="1:25" x14ac:dyDescent="0.3">
      <c r="A1418" s="2">
        <v>45575</v>
      </c>
      <c r="B1418" t="s">
        <v>21</v>
      </c>
      <c r="C1418" s="4">
        <v>86.5</v>
      </c>
      <c r="D1418" s="4">
        <v>148.9</v>
      </c>
      <c r="E1418" s="4">
        <v>105.6</v>
      </c>
      <c r="F1418" s="4">
        <v>5.0199999999999996</v>
      </c>
      <c r="G1418" s="4">
        <v>54.6</v>
      </c>
      <c r="H1418" s="4">
        <v>1.18</v>
      </c>
      <c r="I1418" s="4">
        <v>15</v>
      </c>
      <c r="J1418" s="4">
        <v>99.4</v>
      </c>
      <c r="K1418" s="4">
        <v>1.08</v>
      </c>
      <c r="L1418" s="4">
        <v>144.16666666666671</v>
      </c>
      <c r="M1418" s="4">
        <v>148.9</v>
      </c>
      <c r="N1418" s="4">
        <v>132</v>
      </c>
      <c r="O1418" s="4">
        <v>12.55</v>
      </c>
      <c r="P1418" s="4">
        <v>136.5</v>
      </c>
      <c r="Q1418" s="4">
        <v>59</v>
      </c>
      <c r="R1418" s="4">
        <v>149</v>
      </c>
      <c r="S1418" s="4" t="str" cm="1">
        <f t="array" ref="S1418">_xlfn.IFS($R1418&lt;=50,"Good",$R1418&lt;=100,"Moderate",$R1418&lt;=200,"Poor",$R1418&lt;=300,"Very Poor",$R1418&lt;=500,"Hazardous")</f>
        <v>Poor</v>
      </c>
      <c r="T1418" t="s">
        <v>28</v>
      </c>
      <c r="X1418" s="2"/>
      <c r="Y1418" s="2"/>
    </row>
    <row r="1419" spans="1:25" x14ac:dyDescent="0.3">
      <c r="A1419" s="2">
        <v>45575</v>
      </c>
      <c r="B1419" t="s">
        <v>22</v>
      </c>
      <c r="C1419" s="4">
        <v>63.3</v>
      </c>
      <c r="D1419" s="4">
        <v>14.8</v>
      </c>
      <c r="E1419" s="4">
        <v>35.200000000000003</v>
      </c>
      <c r="F1419" s="4">
        <v>9.6</v>
      </c>
      <c r="G1419" s="4">
        <v>18.399999999999999</v>
      </c>
      <c r="H1419" s="4">
        <v>1.47</v>
      </c>
      <c r="I1419" s="4">
        <v>23.1</v>
      </c>
      <c r="J1419" s="4">
        <v>80.900000000000006</v>
      </c>
      <c r="K1419" s="4">
        <v>4.13</v>
      </c>
      <c r="L1419" s="4">
        <v>105.5</v>
      </c>
      <c r="M1419" s="4">
        <v>14.8</v>
      </c>
      <c r="N1419" s="4">
        <v>44.000000000000007</v>
      </c>
      <c r="O1419" s="4">
        <v>24</v>
      </c>
      <c r="P1419" s="4">
        <v>46</v>
      </c>
      <c r="Q1419" s="4">
        <v>73.5</v>
      </c>
      <c r="R1419" s="4">
        <v>106</v>
      </c>
      <c r="S1419" s="4" t="str" cm="1">
        <f t="array" ref="S1419">_xlfn.IFS($R1419&lt;=50,"Good",$R1419&lt;=100,"Moderate",$R1419&lt;=200,"Poor",$R1419&lt;=300,"Very Poor",$R1419&lt;=500,"Hazardous")</f>
        <v>Poor</v>
      </c>
      <c r="T1419" t="s">
        <v>25</v>
      </c>
      <c r="X1419" s="2"/>
      <c r="Y1419" s="2"/>
    </row>
    <row r="1420" spans="1:25" x14ac:dyDescent="0.3">
      <c r="A1420" s="2">
        <v>45575</v>
      </c>
      <c r="B1420" t="s">
        <v>23</v>
      </c>
      <c r="C1420" s="4">
        <v>42.4</v>
      </c>
      <c r="D1420" s="4">
        <v>124.6</v>
      </c>
      <c r="E1420" s="4">
        <v>48.7</v>
      </c>
      <c r="F1420" s="4">
        <v>11.1</v>
      </c>
      <c r="G1420" s="4">
        <v>40.4</v>
      </c>
      <c r="H1420" s="4">
        <v>1.31</v>
      </c>
      <c r="I1420" s="4">
        <v>23.3</v>
      </c>
      <c r="J1420" s="4">
        <v>62.1</v>
      </c>
      <c r="K1420" s="4">
        <v>4.0599999999999996</v>
      </c>
      <c r="L1420" s="4">
        <v>70.666666666666671</v>
      </c>
      <c r="M1420" s="4">
        <v>124.6</v>
      </c>
      <c r="N1420" s="4">
        <v>60.875000000000007</v>
      </c>
      <c r="O1420" s="4">
        <v>27.75</v>
      </c>
      <c r="P1420" s="4">
        <v>101</v>
      </c>
      <c r="Q1420" s="4">
        <v>65.5</v>
      </c>
      <c r="R1420" s="4">
        <v>125</v>
      </c>
      <c r="S1420" s="4" t="str" cm="1">
        <f t="array" ref="S1420">_xlfn.IFS($R1420&lt;=50,"Good",$R1420&lt;=100,"Moderate",$R1420&lt;=200,"Poor",$R1420&lt;=300,"Very Poor",$R1420&lt;=500,"Hazardous")</f>
        <v>Poor</v>
      </c>
      <c r="T1420" t="s">
        <v>28</v>
      </c>
      <c r="X1420" s="2"/>
      <c r="Y1420" s="2"/>
    </row>
    <row r="1421" spans="1:25" x14ac:dyDescent="0.3">
      <c r="A1421" s="2">
        <v>45575</v>
      </c>
      <c r="B1421" t="s">
        <v>24</v>
      </c>
      <c r="C1421" s="4">
        <v>87.3</v>
      </c>
      <c r="D1421" s="4">
        <v>178.3</v>
      </c>
      <c r="E1421" s="4">
        <v>65.400000000000006</v>
      </c>
      <c r="F1421" s="4">
        <v>7.95</v>
      </c>
      <c r="G1421" s="4">
        <v>52.8</v>
      </c>
      <c r="H1421" s="4">
        <v>0.6</v>
      </c>
      <c r="I1421" s="4">
        <v>33.9</v>
      </c>
      <c r="J1421" s="4">
        <v>10</v>
      </c>
      <c r="K1421" s="4">
        <v>2.9</v>
      </c>
      <c r="L1421" s="4">
        <v>145.5</v>
      </c>
      <c r="M1421" s="4">
        <v>178.3</v>
      </c>
      <c r="N1421" s="4">
        <v>81.75</v>
      </c>
      <c r="O1421" s="4">
        <v>19.875</v>
      </c>
      <c r="P1421" s="4">
        <v>132</v>
      </c>
      <c r="Q1421" s="4">
        <v>30</v>
      </c>
      <c r="R1421" s="4">
        <v>178</v>
      </c>
      <c r="S1421" s="4" t="str" cm="1">
        <f t="array" ref="S1421">_xlfn.IFS($R1421&lt;=50,"Good",$R1421&lt;=100,"Moderate",$R1421&lt;=200,"Poor",$R1421&lt;=300,"Very Poor",$R1421&lt;=500,"Hazardous")</f>
        <v>Poor</v>
      </c>
      <c r="T1421" t="s">
        <v>28</v>
      </c>
      <c r="X1421" s="2"/>
      <c r="Y1421" s="2"/>
    </row>
    <row r="1422" spans="1:25" x14ac:dyDescent="0.3">
      <c r="A1422" s="2">
        <v>45576</v>
      </c>
      <c r="B1422" t="s">
        <v>20</v>
      </c>
      <c r="C1422" s="4">
        <v>108.4</v>
      </c>
      <c r="D1422" s="4">
        <v>43.9</v>
      </c>
      <c r="E1422" s="4">
        <v>60.9</v>
      </c>
      <c r="F1422" s="4">
        <v>5.29</v>
      </c>
      <c r="G1422" s="4">
        <v>35.4</v>
      </c>
      <c r="H1422" s="4">
        <v>2.0299999999999998</v>
      </c>
      <c r="I1422" s="4">
        <v>26.4</v>
      </c>
      <c r="J1422" s="4">
        <v>23.4</v>
      </c>
      <c r="K1422" s="4">
        <v>1.33</v>
      </c>
      <c r="L1422" s="4">
        <v>180.66666666666671</v>
      </c>
      <c r="M1422" s="4">
        <v>43.9</v>
      </c>
      <c r="N1422" s="4">
        <v>76.125</v>
      </c>
      <c r="O1422" s="4">
        <v>13.225</v>
      </c>
      <c r="P1422" s="4">
        <v>88.5</v>
      </c>
      <c r="Q1422" s="4">
        <v>101.5</v>
      </c>
      <c r="R1422" s="4">
        <v>181</v>
      </c>
      <c r="S1422" s="4" t="str" cm="1">
        <f t="array" ref="S1422">_xlfn.IFS($R1422&lt;=50,"Good",$R1422&lt;=100,"Moderate",$R1422&lt;=200,"Poor",$R1422&lt;=300,"Very Poor",$R1422&lt;=500,"Hazardous")</f>
        <v>Poor</v>
      </c>
      <c r="T1422" t="s">
        <v>25</v>
      </c>
      <c r="X1422" s="2"/>
      <c r="Y1422" s="2"/>
    </row>
    <row r="1423" spans="1:25" x14ac:dyDescent="0.3">
      <c r="A1423" s="2">
        <v>45576</v>
      </c>
      <c r="B1423" t="s">
        <v>21</v>
      </c>
      <c r="C1423" s="4">
        <v>111.6</v>
      </c>
      <c r="D1423" s="4">
        <v>183.7</v>
      </c>
      <c r="E1423" s="4">
        <v>100</v>
      </c>
      <c r="F1423" s="4">
        <v>20.52</v>
      </c>
      <c r="G1423" s="4">
        <v>39.299999999999997</v>
      </c>
      <c r="H1423" s="4">
        <v>3.38</v>
      </c>
      <c r="I1423" s="4">
        <v>25.2</v>
      </c>
      <c r="J1423" s="4">
        <v>42.7</v>
      </c>
      <c r="K1423" s="4">
        <v>1.74</v>
      </c>
      <c r="L1423" s="4">
        <v>186</v>
      </c>
      <c r="M1423" s="4">
        <v>183.7</v>
      </c>
      <c r="N1423" s="4">
        <v>125</v>
      </c>
      <c r="O1423" s="4">
        <v>51.3</v>
      </c>
      <c r="P1423" s="4">
        <v>98.249999999999986</v>
      </c>
      <c r="Q1423" s="4">
        <v>169</v>
      </c>
      <c r="R1423" s="4">
        <v>186</v>
      </c>
      <c r="S1423" s="4" t="str" cm="1">
        <f t="array" ref="S1423">_xlfn.IFS($R1423&lt;=50,"Good",$R1423&lt;=100,"Moderate",$R1423&lt;=200,"Poor",$R1423&lt;=300,"Very Poor",$R1423&lt;=500,"Hazardous")</f>
        <v>Poor</v>
      </c>
      <c r="T1423" t="s">
        <v>25</v>
      </c>
      <c r="X1423" s="2"/>
      <c r="Y1423" s="2"/>
    </row>
    <row r="1424" spans="1:25" x14ac:dyDescent="0.3">
      <c r="A1424" s="2">
        <v>45576</v>
      </c>
      <c r="B1424" t="s">
        <v>22</v>
      </c>
      <c r="C1424" s="4">
        <v>2</v>
      </c>
      <c r="D1424" s="4">
        <v>205.6</v>
      </c>
      <c r="E1424" s="4">
        <v>73.099999999999994</v>
      </c>
      <c r="F1424" s="4">
        <v>2.78</v>
      </c>
      <c r="G1424" s="4">
        <v>32.6</v>
      </c>
      <c r="H1424" s="4">
        <v>1.19</v>
      </c>
      <c r="I1424" s="4">
        <v>18.3</v>
      </c>
      <c r="J1424" s="4">
        <v>28.4</v>
      </c>
      <c r="K1424" s="4">
        <v>2.25</v>
      </c>
      <c r="L1424" s="4">
        <v>3.333333333333333</v>
      </c>
      <c r="M1424" s="4">
        <v>205.6</v>
      </c>
      <c r="N1424" s="4">
        <v>91.375</v>
      </c>
      <c r="O1424" s="4">
        <v>6.9499999999999993</v>
      </c>
      <c r="P1424" s="4">
        <v>81.5</v>
      </c>
      <c r="Q1424" s="4">
        <v>59.5</v>
      </c>
      <c r="R1424" s="4">
        <v>206</v>
      </c>
      <c r="S1424" s="4" t="str" cm="1">
        <f t="array" ref="S1424">_xlfn.IFS($R1424&lt;=50,"Good",$R1424&lt;=100,"Moderate",$R1424&lt;=200,"Poor",$R1424&lt;=300,"Very Poor",$R1424&lt;=500,"Hazardous")</f>
        <v>Very Poor</v>
      </c>
      <c r="T1424" t="s">
        <v>28</v>
      </c>
      <c r="X1424" s="2"/>
      <c r="Y1424" s="2"/>
    </row>
    <row r="1425" spans="1:25" x14ac:dyDescent="0.3">
      <c r="A1425" s="2">
        <v>45576</v>
      </c>
      <c r="B1425" t="s">
        <v>23</v>
      </c>
      <c r="C1425" s="4">
        <v>50.4</v>
      </c>
      <c r="D1425" s="4">
        <v>96.7</v>
      </c>
      <c r="E1425" s="4">
        <v>49.5</v>
      </c>
      <c r="F1425" s="4">
        <v>15.15</v>
      </c>
      <c r="G1425" s="4">
        <v>32.4</v>
      </c>
      <c r="H1425" s="4">
        <v>1.3</v>
      </c>
      <c r="I1425" s="4">
        <v>30.1</v>
      </c>
      <c r="J1425" s="4">
        <v>70</v>
      </c>
      <c r="K1425" s="4">
        <v>1.76</v>
      </c>
      <c r="L1425" s="4">
        <v>83.999999999999986</v>
      </c>
      <c r="M1425" s="4">
        <v>96.7</v>
      </c>
      <c r="N1425" s="4">
        <v>61.875</v>
      </c>
      <c r="O1425" s="4">
        <v>37.875</v>
      </c>
      <c r="P1425" s="4">
        <v>81</v>
      </c>
      <c r="Q1425" s="4">
        <v>65</v>
      </c>
      <c r="R1425" s="4">
        <v>97</v>
      </c>
      <c r="S1425" s="4" t="str" cm="1">
        <f t="array" ref="S1425">_xlfn.IFS($R1425&lt;=50,"Good",$R1425&lt;=100,"Moderate",$R1425&lt;=200,"Poor",$R1425&lt;=300,"Very Poor",$R1425&lt;=500,"Hazardous")</f>
        <v>Moderate</v>
      </c>
      <c r="T1425" t="s">
        <v>28</v>
      </c>
      <c r="X1425" s="2"/>
      <c r="Y1425" s="2"/>
    </row>
    <row r="1426" spans="1:25" x14ac:dyDescent="0.3">
      <c r="A1426" s="2">
        <v>45576</v>
      </c>
      <c r="B1426" t="s">
        <v>24</v>
      </c>
      <c r="C1426" s="4">
        <v>69.2</v>
      </c>
      <c r="D1426" s="4">
        <v>168.1</v>
      </c>
      <c r="E1426" s="4">
        <v>24.7</v>
      </c>
      <c r="F1426" s="4">
        <v>15.75</v>
      </c>
      <c r="G1426" s="4">
        <v>83.4</v>
      </c>
      <c r="H1426" s="4">
        <v>0.84</v>
      </c>
      <c r="I1426" s="4">
        <v>26.4</v>
      </c>
      <c r="J1426" s="4">
        <v>71.599999999999994</v>
      </c>
      <c r="K1426" s="4">
        <v>2.35</v>
      </c>
      <c r="L1426" s="4">
        <v>115.3333333333333</v>
      </c>
      <c r="M1426" s="4">
        <v>168.1</v>
      </c>
      <c r="N1426" s="4">
        <v>30.875</v>
      </c>
      <c r="O1426" s="4">
        <v>39.375</v>
      </c>
      <c r="P1426" s="4">
        <v>208.5</v>
      </c>
      <c r="Q1426" s="4">
        <v>41.999999999999993</v>
      </c>
      <c r="R1426" s="4">
        <v>209</v>
      </c>
      <c r="S1426" s="4" t="str" cm="1">
        <f t="array" ref="S1426">_xlfn.IFS($R1426&lt;=50,"Good",$R1426&lt;=100,"Moderate",$R1426&lt;=200,"Poor",$R1426&lt;=300,"Very Poor",$R1426&lt;=500,"Hazardous")</f>
        <v>Very Poor</v>
      </c>
      <c r="T1426" t="s">
        <v>27</v>
      </c>
      <c r="X1426" s="2"/>
      <c r="Y1426" s="2"/>
    </row>
    <row r="1427" spans="1:25" x14ac:dyDescent="0.3">
      <c r="A1427" s="2">
        <v>45577</v>
      </c>
      <c r="B1427" t="s">
        <v>20</v>
      </c>
      <c r="C1427" s="4">
        <v>85.6</v>
      </c>
      <c r="D1427" s="4">
        <v>149.30000000000001</v>
      </c>
      <c r="E1427" s="4">
        <v>18</v>
      </c>
      <c r="F1427" s="4">
        <v>11.84</v>
      </c>
      <c r="G1427" s="4">
        <v>14.4</v>
      </c>
      <c r="H1427" s="4">
        <v>2.0299999999999998</v>
      </c>
      <c r="I1427" s="4">
        <v>20.3</v>
      </c>
      <c r="J1427" s="4">
        <v>57.1</v>
      </c>
      <c r="K1427" s="4">
        <v>4.1500000000000004</v>
      </c>
      <c r="L1427" s="4">
        <v>142.66666666666671</v>
      </c>
      <c r="M1427" s="4">
        <v>149.30000000000001</v>
      </c>
      <c r="N1427" s="4">
        <v>22.5</v>
      </c>
      <c r="O1427" s="4">
        <v>29.6</v>
      </c>
      <c r="P1427" s="4">
        <v>36.000000000000007</v>
      </c>
      <c r="Q1427" s="4">
        <v>101.5</v>
      </c>
      <c r="R1427" s="4">
        <v>149</v>
      </c>
      <c r="S1427" s="4" t="str" cm="1">
        <f t="array" ref="S1427">_xlfn.IFS($R1427&lt;=50,"Good",$R1427&lt;=100,"Moderate",$R1427&lt;=200,"Poor",$R1427&lt;=300,"Very Poor",$R1427&lt;=500,"Hazardous")</f>
        <v>Poor</v>
      </c>
      <c r="T1427" t="s">
        <v>28</v>
      </c>
      <c r="X1427" s="2"/>
      <c r="Y1427" s="2"/>
    </row>
    <row r="1428" spans="1:25" x14ac:dyDescent="0.3">
      <c r="A1428" s="2">
        <v>45577</v>
      </c>
      <c r="B1428" t="s">
        <v>21</v>
      </c>
      <c r="C1428" s="4">
        <v>93.6</v>
      </c>
      <c r="D1428" s="4">
        <v>69</v>
      </c>
      <c r="E1428" s="4">
        <v>30.9</v>
      </c>
      <c r="F1428" s="4">
        <v>6.25</v>
      </c>
      <c r="G1428" s="4">
        <v>62.3</v>
      </c>
      <c r="H1428" s="4">
        <v>1.77</v>
      </c>
      <c r="I1428" s="4">
        <v>19.100000000000001</v>
      </c>
      <c r="J1428" s="4">
        <v>39</v>
      </c>
      <c r="K1428" s="4">
        <v>2.84</v>
      </c>
      <c r="L1428" s="4">
        <v>156</v>
      </c>
      <c r="M1428" s="4">
        <v>69</v>
      </c>
      <c r="N1428" s="4">
        <v>38.625</v>
      </c>
      <c r="O1428" s="4">
        <v>15.625</v>
      </c>
      <c r="P1428" s="4">
        <v>155.75</v>
      </c>
      <c r="Q1428" s="4">
        <v>88.5</v>
      </c>
      <c r="R1428" s="4">
        <v>156</v>
      </c>
      <c r="S1428" s="4" t="str" cm="1">
        <f t="array" ref="S1428">_xlfn.IFS($R1428&lt;=50,"Good",$R1428&lt;=100,"Moderate",$R1428&lt;=200,"Poor",$R1428&lt;=300,"Very Poor",$R1428&lt;=500,"Hazardous")</f>
        <v>Poor</v>
      </c>
      <c r="T1428" t="s">
        <v>25</v>
      </c>
      <c r="X1428" s="2"/>
      <c r="Y1428" s="2"/>
    </row>
    <row r="1429" spans="1:25" x14ac:dyDescent="0.3">
      <c r="A1429" s="2">
        <v>45577</v>
      </c>
      <c r="B1429" t="s">
        <v>22</v>
      </c>
      <c r="C1429" s="4">
        <v>51.8</v>
      </c>
      <c r="D1429" s="4">
        <v>237</v>
      </c>
      <c r="E1429" s="4">
        <v>43.4</v>
      </c>
      <c r="F1429" s="4">
        <v>16.22</v>
      </c>
      <c r="G1429" s="4">
        <v>10.199999999999999</v>
      </c>
      <c r="H1429" s="4">
        <v>0.24</v>
      </c>
      <c r="I1429" s="4">
        <v>17.2</v>
      </c>
      <c r="J1429" s="4">
        <v>81.400000000000006</v>
      </c>
      <c r="K1429" s="4">
        <v>4.6100000000000003</v>
      </c>
      <c r="L1429" s="4">
        <v>86.333333333333329</v>
      </c>
      <c r="M1429" s="4">
        <v>237</v>
      </c>
      <c r="N1429" s="4">
        <v>54.25</v>
      </c>
      <c r="O1429" s="4">
        <v>40.549999999999997</v>
      </c>
      <c r="P1429" s="4">
        <v>25.5</v>
      </c>
      <c r="Q1429" s="4">
        <v>12</v>
      </c>
      <c r="R1429" s="4">
        <v>237</v>
      </c>
      <c r="S1429" s="4" t="str" cm="1">
        <f t="array" ref="S1429">_xlfn.IFS($R1429&lt;=50,"Good",$R1429&lt;=100,"Moderate",$R1429&lt;=200,"Poor",$R1429&lt;=300,"Very Poor",$R1429&lt;=500,"Hazardous")</f>
        <v>Very Poor</v>
      </c>
      <c r="T1429" t="s">
        <v>28</v>
      </c>
      <c r="X1429" s="2"/>
      <c r="Y1429" s="2"/>
    </row>
    <row r="1430" spans="1:25" x14ac:dyDescent="0.3">
      <c r="A1430" s="2">
        <v>45577</v>
      </c>
      <c r="B1430" t="s">
        <v>23</v>
      </c>
      <c r="C1430" s="4">
        <v>36.5</v>
      </c>
      <c r="D1430" s="4">
        <v>92.4</v>
      </c>
      <c r="E1430" s="4">
        <v>21.6</v>
      </c>
      <c r="F1430" s="4">
        <v>0.5</v>
      </c>
      <c r="G1430" s="4">
        <v>58</v>
      </c>
      <c r="H1430" s="4">
        <v>1.33</v>
      </c>
      <c r="I1430" s="4">
        <v>25.1</v>
      </c>
      <c r="J1430" s="4">
        <v>34.799999999999997</v>
      </c>
      <c r="K1430" s="4">
        <v>4.47</v>
      </c>
      <c r="L1430" s="4">
        <v>60.833333333333343</v>
      </c>
      <c r="M1430" s="4">
        <v>92.4</v>
      </c>
      <c r="N1430" s="4">
        <v>27</v>
      </c>
      <c r="O1430" s="4">
        <v>1.25</v>
      </c>
      <c r="P1430" s="4">
        <v>145</v>
      </c>
      <c r="Q1430" s="4">
        <v>66.5</v>
      </c>
      <c r="R1430" s="4">
        <v>145</v>
      </c>
      <c r="S1430" s="4" t="str" cm="1">
        <f t="array" ref="S1430">_xlfn.IFS($R1430&lt;=50,"Good",$R1430&lt;=100,"Moderate",$R1430&lt;=200,"Poor",$R1430&lt;=300,"Very Poor",$R1430&lt;=500,"Hazardous")</f>
        <v>Poor</v>
      </c>
      <c r="T1430" t="s">
        <v>27</v>
      </c>
      <c r="X1430" s="2"/>
      <c r="Y1430" s="2"/>
    </row>
    <row r="1431" spans="1:25" x14ac:dyDescent="0.3">
      <c r="A1431" s="2">
        <v>45577</v>
      </c>
      <c r="B1431" t="s">
        <v>24</v>
      </c>
      <c r="C1431" s="4">
        <v>49.4</v>
      </c>
      <c r="D1431" s="4">
        <v>167.2</v>
      </c>
      <c r="E1431" s="4">
        <v>17.5</v>
      </c>
      <c r="F1431" s="4">
        <v>7.75</v>
      </c>
      <c r="G1431" s="4">
        <v>52</v>
      </c>
      <c r="H1431" s="4">
        <v>1.54</v>
      </c>
      <c r="I1431" s="4">
        <v>26.1</v>
      </c>
      <c r="J1431" s="4">
        <v>68.900000000000006</v>
      </c>
      <c r="K1431" s="4">
        <v>1.64</v>
      </c>
      <c r="L1431" s="4">
        <v>82.333333333333329</v>
      </c>
      <c r="M1431" s="4">
        <v>167.2</v>
      </c>
      <c r="N1431" s="4">
        <v>21.875</v>
      </c>
      <c r="O1431" s="4">
        <v>19.375</v>
      </c>
      <c r="P1431" s="4">
        <v>130</v>
      </c>
      <c r="Q1431" s="4">
        <v>77</v>
      </c>
      <c r="R1431" s="4">
        <v>167</v>
      </c>
      <c r="S1431" s="4" t="str" cm="1">
        <f t="array" ref="S1431">_xlfn.IFS($R1431&lt;=50,"Good",$R1431&lt;=100,"Moderate",$R1431&lt;=200,"Poor",$R1431&lt;=300,"Very Poor",$R1431&lt;=500,"Hazardous")</f>
        <v>Poor</v>
      </c>
      <c r="T1431" t="s">
        <v>28</v>
      </c>
      <c r="X1431" s="2"/>
      <c r="Y1431" s="2"/>
    </row>
    <row r="1432" spans="1:25" x14ac:dyDescent="0.3">
      <c r="A1432" s="2">
        <v>45578</v>
      </c>
      <c r="B1432" t="s">
        <v>20</v>
      </c>
      <c r="C1432" s="4">
        <v>75.8</v>
      </c>
      <c r="D1432" s="4">
        <v>145.80000000000001</v>
      </c>
      <c r="E1432" s="4">
        <v>57.1</v>
      </c>
      <c r="F1432" s="4">
        <v>9.6199999999999992</v>
      </c>
      <c r="G1432" s="4">
        <v>9.4</v>
      </c>
      <c r="H1432" s="4">
        <v>0.47</v>
      </c>
      <c r="I1432" s="4">
        <v>9.5</v>
      </c>
      <c r="J1432" s="4">
        <v>74.7</v>
      </c>
      <c r="K1432" s="4">
        <v>3.49</v>
      </c>
      <c r="L1432" s="4">
        <v>126.3333333333333</v>
      </c>
      <c r="M1432" s="4">
        <v>145.80000000000001</v>
      </c>
      <c r="N1432" s="4">
        <v>71.375000000000014</v>
      </c>
      <c r="O1432" s="4">
        <v>24.05</v>
      </c>
      <c r="P1432" s="4">
        <v>23.5</v>
      </c>
      <c r="Q1432" s="4">
        <v>23.5</v>
      </c>
      <c r="R1432" s="4">
        <v>146</v>
      </c>
      <c r="S1432" s="4" t="str" cm="1">
        <f t="array" ref="S1432">_xlfn.IFS($R1432&lt;=50,"Good",$R1432&lt;=100,"Moderate",$R1432&lt;=200,"Poor",$R1432&lt;=300,"Very Poor",$R1432&lt;=500,"Hazardous")</f>
        <v>Poor</v>
      </c>
      <c r="T1432" t="s">
        <v>28</v>
      </c>
      <c r="X1432" s="2"/>
      <c r="Y1432" s="2"/>
    </row>
    <row r="1433" spans="1:25" x14ac:dyDescent="0.3">
      <c r="A1433" s="2">
        <v>45578</v>
      </c>
      <c r="B1433" t="s">
        <v>21</v>
      </c>
      <c r="C1433" s="4">
        <v>106.6</v>
      </c>
      <c r="D1433" s="4">
        <v>173</v>
      </c>
      <c r="E1433" s="4">
        <v>2.9</v>
      </c>
      <c r="F1433" s="4">
        <v>3.58</v>
      </c>
      <c r="G1433" s="4">
        <v>55.3</v>
      </c>
      <c r="H1433" s="4">
        <v>1.6</v>
      </c>
      <c r="I1433" s="4">
        <v>23.4</v>
      </c>
      <c r="J1433" s="4">
        <v>66.599999999999994</v>
      </c>
      <c r="K1433" s="4">
        <v>2.5099999999999998</v>
      </c>
      <c r="L1433" s="4">
        <v>177.66666666666671</v>
      </c>
      <c r="M1433" s="4">
        <v>173</v>
      </c>
      <c r="N1433" s="4">
        <v>3.625</v>
      </c>
      <c r="O1433" s="4">
        <v>8.9499999999999993</v>
      </c>
      <c r="P1433" s="4">
        <v>138.25</v>
      </c>
      <c r="Q1433" s="4">
        <v>80</v>
      </c>
      <c r="R1433" s="4">
        <v>178</v>
      </c>
      <c r="S1433" s="4" t="str" cm="1">
        <f t="array" ref="S1433">_xlfn.IFS($R1433&lt;=50,"Good",$R1433&lt;=100,"Moderate",$R1433&lt;=200,"Poor",$R1433&lt;=300,"Very Poor",$R1433&lt;=500,"Hazardous")</f>
        <v>Poor</v>
      </c>
      <c r="T1433" t="s">
        <v>25</v>
      </c>
      <c r="X1433" s="2"/>
      <c r="Y1433" s="2"/>
    </row>
    <row r="1434" spans="1:25" x14ac:dyDescent="0.3">
      <c r="A1434" s="2">
        <v>45578</v>
      </c>
      <c r="B1434" t="s">
        <v>22</v>
      </c>
      <c r="C1434" s="4">
        <v>60.4</v>
      </c>
      <c r="D1434" s="4">
        <v>77.599999999999994</v>
      </c>
      <c r="E1434" s="4">
        <v>61.4</v>
      </c>
      <c r="F1434" s="4">
        <v>5.55</v>
      </c>
      <c r="G1434" s="4">
        <v>6.4</v>
      </c>
      <c r="H1434" s="4">
        <v>0.7</v>
      </c>
      <c r="I1434" s="4">
        <v>22.6</v>
      </c>
      <c r="J1434" s="4">
        <v>77.900000000000006</v>
      </c>
      <c r="K1434" s="4">
        <v>2.4500000000000002</v>
      </c>
      <c r="L1434" s="4">
        <v>100.6666666666667</v>
      </c>
      <c r="M1434" s="4">
        <v>77.599999999999994</v>
      </c>
      <c r="N1434" s="4">
        <v>76.75</v>
      </c>
      <c r="O1434" s="4">
        <v>13.875</v>
      </c>
      <c r="P1434" s="4">
        <v>16</v>
      </c>
      <c r="Q1434" s="4">
        <v>34.999999999999993</v>
      </c>
      <c r="R1434" s="4">
        <v>101</v>
      </c>
      <c r="S1434" s="4" t="str" cm="1">
        <f t="array" ref="S1434">_xlfn.IFS($R1434&lt;=50,"Good",$R1434&lt;=100,"Moderate",$R1434&lt;=200,"Poor",$R1434&lt;=300,"Very Poor",$R1434&lt;=500,"Hazardous")</f>
        <v>Poor</v>
      </c>
      <c r="T1434" t="s">
        <v>25</v>
      </c>
      <c r="X1434" s="2"/>
      <c r="Y1434" s="2"/>
    </row>
    <row r="1435" spans="1:25" x14ac:dyDescent="0.3">
      <c r="A1435" s="2">
        <v>45578</v>
      </c>
      <c r="B1435" t="s">
        <v>23</v>
      </c>
      <c r="C1435" s="4">
        <v>54.4</v>
      </c>
      <c r="D1435" s="4">
        <v>45.1</v>
      </c>
      <c r="E1435" s="4">
        <v>60.7</v>
      </c>
      <c r="F1435" s="4">
        <v>4.74</v>
      </c>
      <c r="G1435" s="4">
        <v>37.5</v>
      </c>
      <c r="H1435" s="4">
        <v>2.09</v>
      </c>
      <c r="I1435" s="4">
        <v>28.6</v>
      </c>
      <c r="J1435" s="4">
        <v>30.7</v>
      </c>
      <c r="K1435" s="4">
        <v>0.38</v>
      </c>
      <c r="L1435" s="4">
        <v>90.666666666666657</v>
      </c>
      <c r="M1435" s="4">
        <v>45.1</v>
      </c>
      <c r="N1435" s="4">
        <v>75.875</v>
      </c>
      <c r="O1435" s="4">
        <v>11.85</v>
      </c>
      <c r="P1435" s="4">
        <v>93.75</v>
      </c>
      <c r="Q1435" s="4">
        <v>104.5</v>
      </c>
      <c r="R1435" s="4">
        <v>104</v>
      </c>
      <c r="S1435" s="4" t="str" cm="1">
        <f t="array" ref="S1435">_xlfn.IFS($R1435&lt;=50,"Good",$R1435&lt;=100,"Moderate",$R1435&lt;=200,"Poor",$R1435&lt;=300,"Very Poor",$R1435&lt;=500,"Hazardous")</f>
        <v>Poor</v>
      </c>
      <c r="T1435" t="s">
        <v>29</v>
      </c>
      <c r="X1435" s="2"/>
      <c r="Y1435" s="2"/>
    </row>
    <row r="1436" spans="1:25" x14ac:dyDescent="0.3">
      <c r="A1436" s="2">
        <v>45578</v>
      </c>
      <c r="B1436" t="s">
        <v>24</v>
      </c>
      <c r="C1436" s="4">
        <v>63.9</v>
      </c>
      <c r="D1436" s="4">
        <v>52</v>
      </c>
      <c r="E1436" s="4">
        <v>63.8</v>
      </c>
      <c r="F1436" s="4">
        <v>9.0299999999999994</v>
      </c>
      <c r="G1436" s="4">
        <v>48.5</v>
      </c>
      <c r="H1436" s="4">
        <v>0.85</v>
      </c>
      <c r="I1436" s="4">
        <v>37.200000000000003</v>
      </c>
      <c r="J1436" s="4">
        <v>100</v>
      </c>
      <c r="K1436" s="4">
        <v>2.67</v>
      </c>
      <c r="L1436" s="4">
        <v>106.5</v>
      </c>
      <c r="M1436" s="4">
        <v>52</v>
      </c>
      <c r="N1436" s="4">
        <v>79.75</v>
      </c>
      <c r="O1436" s="4">
        <v>22.574999999999999</v>
      </c>
      <c r="P1436" s="4">
        <v>121.25</v>
      </c>
      <c r="Q1436" s="4">
        <v>42.499999999999993</v>
      </c>
      <c r="R1436" s="4">
        <v>121</v>
      </c>
      <c r="S1436" s="4" t="str" cm="1">
        <f t="array" ref="S1436">_xlfn.IFS($R1436&lt;=50,"Good",$R1436&lt;=100,"Moderate",$R1436&lt;=200,"Poor",$R1436&lt;=300,"Very Poor",$R1436&lt;=500,"Hazardous")</f>
        <v>Poor</v>
      </c>
      <c r="T1436" t="s">
        <v>27</v>
      </c>
      <c r="X1436" s="2"/>
      <c r="Y1436" s="2"/>
    </row>
    <row r="1437" spans="1:25" x14ac:dyDescent="0.3">
      <c r="A1437" s="2">
        <v>45579</v>
      </c>
      <c r="B1437" t="s">
        <v>20</v>
      </c>
      <c r="C1437" s="4">
        <v>81.2</v>
      </c>
      <c r="D1437" s="4">
        <v>144.69999999999999</v>
      </c>
      <c r="E1437" s="4">
        <v>45.8</v>
      </c>
      <c r="F1437" s="4">
        <v>4.42</v>
      </c>
      <c r="G1437" s="4">
        <v>14.8</v>
      </c>
      <c r="H1437" s="4">
        <v>0.6</v>
      </c>
      <c r="I1437" s="4">
        <v>27.8</v>
      </c>
      <c r="J1437" s="4">
        <v>50.6</v>
      </c>
      <c r="K1437" s="4">
        <v>0.2</v>
      </c>
      <c r="L1437" s="4">
        <v>135.33333333333329</v>
      </c>
      <c r="M1437" s="4">
        <v>144.69999999999999</v>
      </c>
      <c r="N1437" s="4">
        <v>57.249999999999993</v>
      </c>
      <c r="O1437" s="4">
        <v>11.05</v>
      </c>
      <c r="P1437" s="4">
        <v>37.000000000000007</v>
      </c>
      <c r="Q1437" s="4">
        <v>30</v>
      </c>
      <c r="R1437" s="4">
        <v>145</v>
      </c>
      <c r="S1437" s="4" t="str" cm="1">
        <f t="array" ref="S1437">_xlfn.IFS($R1437&lt;=50,"Good",$R1437&lt;=100,"Moderate",$R1437&lt;=200,"Poor",$R1437&lt;=300,"Very Poor",$R1437&lt;=500,"Hazardous")</f>
        <v>Poor</v>
      </c>
      <c r="T1437" t="s">
        <v>28</v>
      </c>
      <c r="X1437" s="2"/>
      <c r="Y1437" s="2"/>
    </row>
    <row r="1438" spans="1:25" x14ac:dyDescent="0.3">
      <c r="A1438" s="2">
        <v>45579</v>
      </c>
      <c r="B1438" t="s">
        <v>21</v>
      </c>
      <c r="C1438" s="4">
        <v>91.7</v>
      </c>
      <c r="D1438" s="4">
        <v>147.1</v>
      </c>
      <c r="E1438" s="4">
        <v>89.9</v>
      </c>
      <c r="F1438" s="4">
        <v>12.33</v>
      </c>
      <c r="G1438" s="4">
        <v>3.8</v>
      </c>
      <c r="H1438" s="4">
        <v>0.05</v>
      </c>
      <c r="I1438" s="4">
        <v>20</v>
      </c>
      <c r="J1438" s="4">
        <v>48.7</v>
      </c>
      <c r="K1438" s="4">
        <v>3.63</v>
      </c>
      <c r="L1438" s="4">
        <v>152.83333333333329</v>
      </c>
      <c r="M1438" s="4">
        <v>147.1</v>
      </c>
      <c r="N1438" s="4">
        <v>112.375</v>
      </c>
      <c r="O1438" s="4">
        <v>30.824999999999999</v>
      </c>
      <c r="P1438" s="4">
        <v>9.5</v>
      </c>
      <c r="Q1438" s="4">
        <v>2.5</v>
      </c>
      <c r="R1438" s="4">
        <v>153</v>
      </c>
      <c r="S1438" s="4" t="str" cm="1">
        <f t="array" ref="S1438">_xlfn.IFS($R1438&lt;=50,"Good",$R1438&lt;=100,"Moderate",$R1438&lt;=200,"Poor",$R1438&lt;=300,"Very Poor",$R1438&lt;=500,"Hazardous")</f>
        <v>Poor</v>
      </c>
      <c r="T1438" t="s">
        <v>25</v>
      </c>
      <c r="X1438" s="2"/>
      <c r="Y1438" s="2"/>
    </row>
    <row r="1439" spans="1:25" x14ac:dyDescent="0.3">
      <c r="A1439" s="2">
        <v>45579</v>
      </c>
      <c r="B1439" t="s">
        <v>22</v>
      </c>
      <c r="C1439" s="4">
        <v>56.7</v>
      </c>
      <c r="D1439" s="4">
        <v>178.6</v>
      </c>
      <c r="E1439" s="4">
        <v>17.600000000000001</v>
      </c>
      <c r="F1439" s="4">
        <v>12.19</v>
      </c>
      <c r="G1439" s="4">
        <v>55.1</v>
      </c>
      <c r="H1439" s="4">
        <v>0.05</v>
      </c>
      <c r="I1439" s="4">
        <v>34.299999999999997</v>
      </c>
      <c r="J1439" s="4">
        <v>61.7</v>
      </c>
      <c r="K1439" s="4">
        <v>2.97</v>
      </c>
      <c r="L1439" s="4">
        <v>94.5</v>
      </c>
      <c r="M1439" s="4">
        <v>178.6</v>
      </c>
      <c r="N1439" s="4">
        <v>22</v>
      </c>
      <c r="O1439" s="4">
        <v>30.475000000000001</v>
      </c>
      <c r="P1439" s="4">
        <v>137.75</v>
      </c>
      <c r="Q1439" s="4">
        <v>2.5</v>
      </c>
      <c r="R1439" s="4">
        <v>179</v>
      </c>
      <c r="S1439" s="4" t="str" cm="1">
        <f t="array" ref="S1439">_xlfn.IFS($R1439&lt;=50,"Good",$R1439&lt;=100,"Moderate",$R1439&lt;=200,"Poor",$R1439&lt;=300,"Very Poor",$R1439&lt;=500,"Hazardous")</f>
        <v>Poor</v>
      </c>
      <c r="T1439" t="s">
        <v>28</v>
      </c>
      <c r="X1439" s="2"/>
      <c r="Y1439" s="2"/>
    </row>
    <row r="1440" spans="1:25" x14ac:dyDescent="0.3">
      <c r="A1440" s="2">
        <v>45579</v>
      </c>
      <c r="B1440" t="s">
        <v>23</v>
      </c>
      <c r="C1440" s="4">
        <v>34.1</v>
      </c>
      <c r="D1440" s="4">
        <v>196.5</v>
      </c>
      <c r="E1440" s="4">
        <v>21.3</v>
      </c>
      <c r="F1440" s="4">
        <v>12.16</v>
      </c>
      <c r="G1440" s="4">
        <v>60.5</v>
      </c>
      <c r="H1440" s="4">
        <v>0.62</v>
      </c>
      <c r="I1440" s="4">
        <v>38.9</v>
      </c>
      <c r="J1440" s="4">
        <v>64.2</v>
      </c>
      <c r="K1440" s="4">
        <v>3.28</v>
      </c>
      <c r="L1440" s="4">
        <v>56.833333333333343</v>
      </c>
      <c r="M1440" s="4">
        <v>196.5</v>
      </c>
      <c r="N1440" s="4">
        <v>26.625</v>
      </c>
      <c r="O1440" s="4">
        <v>30.4</v>
      </c>
      <c r="P1440" s="4">
        <v>151.25</v>
      </c>
      <c r="Q1440" s="4">
        <v>31</v>
      </c>
      <c r="R1440" s="4">
        <v>196</v>
      </c>
      <c r="S1440" s="4" t="str" cm="1">
        <f t="array" ref="S1440">_xlfn.IFS($R1440&lt;=50,"Good",$R1440&lt;=100,"Moderate",$R1440&lt;=200,"Poor",$R1440&lt;=300,"Very Poor",$R1440&lt;=500,"Hazardous")</f>
        <v>Poor</v>
      </c>
      <c r="T1440" t="s">
        <v>28</v>
      </c>
      <c r="X1440" s="2"/>
      <c r="Y1440" s="2"/>
    </row>
    <row r="1441" spans="1:25" x14ac:dyDescent="0.3">
      <c r="A1441" s="2">
        <v>45579</v>
      </c>
      <c r="B1441" t="s">
        <v>24</v>
      </c>
      <c r="C1441" s="4">
        <v>15.6</v>
      </c>
      <c r="D1441" s="4">
        <v>271.8</v>
      </c>
      <c r="E1441" s="4">
        <v>22.6</v>
      </c>
      <c r="F1441" s="4">
        <v>14.44</v>
      </c>
      <c r="G1441" s="4">
        <v>16.600000000000001</v>
      </c>
      <c r="H1441" s="4">
        <v>0.91</v>
      </c>
      <c r="I1441" s="4">
        <v>30.5</v>
      </c>
      <c r="J1441" s="4">
        <v>78.5</v>
      </c>
      <c r="K1441" s="4">
        <v>1.47</v>
      </c>
      <c r="L1441" s="4">
        <v>26</v>
      </c>
      <c r="M1441" s="4">
        <v>271.8</v>
      </c>
      <c r="N1441" s="4">
        <v>28.25</v>
      </c>
      <c r="O1441" s="4">
        <v>36.1</v>
      </c>
      <c r="P1441" s="4">
        <v>41.5</v>
      </c>
      <c r="Q1441" s="4">
        <v>45.5</v>
      </c>
      <c r="R1441" s="4">
        <v>272</v>
      </c>
      <c r="S1441" s="4" t="str" cm="1">
        <f t="array" ref="S1441">_xlfn.IFS($R1441&lt;=50,"Good",$R1441&lt;=100,"Moderate",$R1441&lt;=200,"Poor",$R1441&lt;=300,"Very Poor",$R1441&lt;=500,"Hazardous")</f>
        <v>Very Poor</v>
      </c>
      <c r="T1441" t="s">
        <v>28</v>
      </c>
      <c r="X1441" s="2"/>
      <c r="Y1441" s="2"/>
    </row>
    <row r="1442" spans="1:25" x14ac:dyDescent="0.3">
      <c r="A1442" s="2">
        <v>45580</v>
      </c>
      <c r="B1442" t="s">
        <v>20</v>
      </c>
      <c r="C1442" s="4">
        <v>106.6</v>
      </c>
      <c r="D1442" s="4">
        <v>210.1</v>
      </c>
      <c r="E1442" s="4">
        <v>30.2</v>
      </c>
      <c r="F1442" s="4">
        <v>18.39</v>
      </c>
      <c r="G1442" s="4">
        <v>4.0999999999999996</v>
      </c>
      <c r="H1442" s="4">
        <v>0.95</v>
      </c>
      <c r="I1442" s="4">
        <v>28.4</v>
      </c>
      <c r="J1442" s="4">
        <v>44.6</v>
      </c>
      <c r="K1442" s="4">
        <v>2.82</v>
      </c>
      <c r="L1442" s="4">
        <v>177.66666666666671</v>
      </c>
      <c r="M1442" s="4">
        <v>210.1</v>
      </c>
      <c r="N1442" s="4">
        <v>37.75</v>
      </c>
      <c r="O1442" s="4">
        <v>45.975000000000001</v>
      </c>
      <c r="P1442" s="4">
        <v>10.25</v>
      </c>
      <c r="Q1442" s="4">
        <v>47.5</v>
      </c>
      <c r="R1442" s="4">
        <v>210</v>
      </c>
      <c r="S1442" s="4" t="str" cm="1">
        <f t="array" ref="S1442">_xlfn.IFS($R1442&lt;=50,"Good",$R1442&lt;=100,"Moderate",$R1442&lt;=200,"Poor",$R1442&lt;=300,"Very Poor",$R1442&lt;=500,"Hazardous")</f>
        <v>Very Poor</v>
      </c>
      <c r="T1442" t="s">
        <v>28</v>
      </c>
      <c r="X1442" s="2"/>
      <c r="Y1442" s="2"/>
    </row>
    <row r="1443" spans="1:25" x14ac:dyDescent="0.3">
      <c r="A1443" s="2">
        <v>45580</v>
      </c>
      <c r="B1443" t="s">
        <v>21</v>
      </c>
      <c r="C1443" s="4">
        <v>84</v>
      </c>
      <c r="D1443" s="4">
        <v>136</v>
      </c>
      <c r="E1443" s="4">
        <v>77.099999999999994</v>
      </c>
      <c r="F1443" s="4">
        <v>8.57</v>
      </c>
      <c r="G1443" s="4">
        <v>57.2</v>
      </c>
      <c r="H1443" s="4">
        <v>2.36</v>
      </c>
      <c r="I1443" s="4">
        <v>30.5</v>
      </c>
      <c r="J1443" s="4">
        <v>74.099999999999994</v>
      </c>
      <c r="K1443" s="4">
        <v>1.1200000000000001</v>
      </c>
      <c r="L1443" s="4">
        <v>140</v>
      </c>
      <c r="M1443" s="4">
        <v>136</v>
      </c>
      <c r="N1443" s="4">
        <v>96.374999999999986</v>
      </c>
      <c r="O1443" s="4">
        <v>21.425000000000001</v>
      </c>
      <c r="P1443" s="4">
        <v>143</v>
      </c>
      <c r="Q1443" s="4">
        <v>118</v>
      </c>
      <c r="R1443" s="4">
        <v>143</v>
      </c>
      <c r="S1443" s="4" t="str" cm="1">
        <f t="array" ref="S1443">_xlfn.IFS($R1443&lt;=50,"Good",$R1443&lt;=100,"Moderate",$R1443&lt;=200,"Poor",$R1443&lt;=300,"Very Poor",$R1443&lt;=500,"Hazardous")</f>
        <v>Poor</v>
      </c>
      <c r="T1443" t="s">
        <v>27</v>
      </c>
      <c r="X1443" s="2"/>
      <c r="Y1443" s="2"/>
    </row>
    <row r="1444" spans="1:25" x14ac:dyDescent="0.3">
      <c r="A1444" s="2">
        <v>45580</v>
      </c>
      <c r="B1444" t="s">
        <v>22</v>
      </c>
      <c r="C1444" s="4">
        <v>72</v>
      </c>
      <c r="D1444" s="4">
        <v>63.9</v>
      </c>
      <c r="E1444" s="4">
        <v>18.399999999999999</v>
      </c>
      <c r="F1444" s="4">
        <v>7.26</v>
      </c>
      <c r="G1444" s="4">
        <v>16.5</v>
      </c>
      <c r="H1444" s="4">
        <v>1.59</v>
      </c>
      <c r="I1444" s="4">
        <v>30.7</v>
      </c>
      <c r="J1444" s="4">
        <v>25.8</v>
      </c>
      <c r="K1444" s="4">
        <v>1.51</v>
      </c>
      <c r="L1444" s="4">
        <v>120</v>
      </c>
      <c r="M1444" s="4">
        <v>63.9</v>
      </c>
      <c r="N1444" s="4">
        <v>23</v>
      </c>
      <c r="O1444" s="4">
        <v>18.149999999999999</v>
      </c>
      <c r="P1444" s="4">
        <v>41.25</v>
      </c>
      <c r="Q1444" s="4">
        <v>79.5</v>
      </c>
      <c r="R1444" s="4">
        <v>120</v>
      </c>
      <c r="S1444" s="4" t="str" cm="1">
        <f t="array" ref="S1444">_xlfn.IFS($R1444&lt;=50,"Good",$R1444&lt;=100,"Moderate",$R1444&lt;=200,"Poor",$R1444&lt;=300,"Very Poor",$R1444&lt;=500,"Hazardous")</f>
        <v>Poor</v>
      </c>
      <c r="T1444" t="s">
        <v>25</v>
      </c>
      <c r="X1444" s="2"/>
      <c r="Y1444" s="2"/>
    </row>
    <row r="1445" spans="1:25" x14ac:dyDescent="0.3">
      <c r="A1445" s="2">
        <v>45580</v>
      </c>
      <c r="B1445" t="s">
        <v>23</v>
      </c>
      <c r="C1445" s="4">
        <v>16.2</v>
      </c>
      <c r="D1445" s="4">
        <v>92.2</v>
      </c>
      <c r="E1445" s="4">
        <v>54.1</v>
      </c>
      <c r="F1445" s="4">
        <v>6.79</v>
      </c>
      <c r="G1445" s="4">
        <v>25.3</v>
      </c>
      <c r="H1445" s="4">
        <v>1.98</v>
      </c>
      <c r="I1445" s="4">
        <v>8.9</v>
      </c>
      <c r="J1445" s="4">
        <v>82.3</v>
      </c>
      <c r="K1445" s="4">
        <v>1.85</v>
      </c>
      <c r="L1445" s="4">
        <v>27</v>
      </c>
      <c r="M1445" s="4">
        <v>92.2</v>
      </c>
      <c r="N1445" s="4">
        <v>67.625</v>
      </c>
      <c r="O1445" s="4">
        <v>16.975000000000001</v>
      </c>
      <c r="P1445" s="4">
        <v>63.25</v>
      </c>
      <c r="Q1445" s="4">
        <v>99</v>
      </c>
      <c r="R1445" s="4">
        <v>99</v>
      </c>
      <c r="S1445" s="4" t="str" cm="1">
        <f t="array" ref="S1445">_xlfn.IFS($R1445&lt;=50,"Good",$R1445&lt;=100,"Moderate",$R1445&lt;=200,"Poor",$R1445&lt;=300,"Very Poor",$R1445&lt;=500,"Hazardous")</f>
        <v>Moderate</v>
      </c>
      <c r="T1445" t="s">
        <v>29</v>
      </c>
      <c r="X1445" s="2"/>
      <c r="Y1445" s="2"/>
    </row>
    <row r="1446" spans="1:25" x14ac:dyDescent="0.3">
      <c r="A1446" s="2">
        <v>45580</v>
      </c>
      <c r="B1446" t="s">
        <v>24</v>
      </c>
      <c r="C1446" s="4">
        <v>63.4</v>
      </c>
      <c r="D1446" s="4">
        <v>97.2</v>
      </c>
      <c r="E1446" s="4">
        <v>83.4</v>
      </c>
      <c r="F1446" s="4">
        <v>2.0299999999999998</v>
      </c>
      <c r="G1446" s="4">
        <v>44.3</v>
      </c>
      <c r="H1446" s="4">
        <v>1.67</v>
      </c>
      <c r="I1446" s="4">
        <v>13.7</v>
      </c>
      <c r="J1446" s="4">
        <v>43.4</v>
      </c>
      <c r="K1446" s="4">
        <v>2.82</v>
      </c>
      <c r="L1446" s="4">
        <v>105.6666666666667</v>
      </c>
      <c r="M1446" s="4">
        <v>97.2</v>
      </c>
      <c r="N1446" s="4">
        <v>104.25</v>
      </c>
      <c r="O1446" s="4">
        <v>5.0749999999999993</v>
      </c>
      <c r="P1446" s="4">
        <v>110.75</v>
      </c>
      <c r="Q1446" s="4">
        <v>83.499999999999986</v>
      </c>
      <c r="R1446" s="4">
        <v>111</v>
      </c>
      <c r="S1446" s="4" t="str" cm="1">
        <f t="array" ref="S1446">_xlfn.IFS($R1446&lt;=50,"Good",$R1446&lt;=100,"Moderate",$R1446&lt;=200,"Poor",$R1446&lt;=300,"Very Poor",$R1446&lt;=500,"Hazardous")</f>
        <v>Poor</v>
      </c>
      <c r="T1446" t="s">
        <v>27</v>
      </c>
      <c r="X1446" s="2"/>
      <c r="Y1446" s="2"/>
    </row>
    <row r="1447" spans="1:25" x14ac:dyDescent="0.3">
      <c r="A1447" s="2">
        <v>45581</v>
      </c>
      <c r="B1447" t="s">
        <v>20</v>
      </c>
      <c r="C1447" s="4">
        <v>38.4</v>
      </c>
      <c r="D1447" s="4">
        <v>81.7</v>
      </c>
      <c r="E1447" s="4">
        <v>43.7</v>
      </c>
      <c r="F1447" s="4">
        <v>12.94</v>
      </c>
      <c r="G1447" s="4">
        <v>36.1</v>
      </c>
      <c r="H1447" s="4">
        <v>2.12</v>
      </c>
      <c r="I1447" s="4">
        <v>18</v>
      </c>
      <c r="J1447" s="4">
        <v>37.5</v>
      </c>
      <c r="K1447" s="4">
        <v>4.8099999999999996</v>
      </c>
      <c r="L1447" s="4">
        <v>64</v>
      </c>
      <c r="M1447" s="4">
        <v>81.7</v>
      </c>
      <c r="N1447" s="4">
        <v>54.625000000000007</v>
      </c>
      <c r="O1447" s="4">
        <v>32.349999999999987</v>
      </c>
      <c r="P1447" s="4">
        <v>90.25</v>
      </c>
      <c r="Q1447" s="4">
        <v>106</v>
      </c>
      <c r="R1447" s="4">
        <v>106</v>
      </c>
      <c r="S1447" s="4" t="str" cm="1">
        <f t="array" ref="S1447">_xlfn.IFS($R1447&lt;=50,"Good",$R1447&lt;=100,"Moderate",$R1447&lt;=200,"Poor",$R1447&lt;=300,"Very Poor",$R1447&lt;=500,"Hazardous")</f>
        <v>Poor</v>
      </c>
      <c r="T1447" t="s">
        <v>29</v>
      </c>
      <c r="X1447" s="2"/>
      <c r="Y1447" s="2"/>
    </row>
    <row r="1448" spans="1:25" x14ac:dyDescent="0.3">
      <c r="A1448" s="2">
        <v>45581</v>
      </c>
      <c r="B1448" t="s">
        <v>21</v>
      </c>
      <c r="C1448" s="4">
        <v>50.3</v>
      </c>
      <c r="D1448" s="4">
        <v>51.7</v>
      </c>
      <c r="E1448" s="4">
        <v>12.7</v>
      </c>
      <c r="F1448" s="4">
        <v>16.72</v>
      </c>
      <c r="G1448" s="4">
        <v>39.299999999999997</v>
      </c>
      <c r="H1448" s="4">
        <v>1.31</v>
      </c>
      <c r="I1448" s="4">
        <v>23.9</v>
      </c>
      <c r="J1448" s="4">
        <v>78.2</v>
      </c>
      <c r="K1448" s="4">
        <v>2.2799999999999998</v>
      </c>
      <c r="L1448" s="4">
        <v>83.833333333333329</v>
      </c>
      <c r="M1448" s="4">
        <v>51.7</v>
      </c>
      <c r="N1448" s="4">
        <v>15.875</v>
      </c>
      <c r="O1448" s="4">
        <v>41.8</v>
      </c>
      <c r="P1448" s="4">
        <v>98.249999999999986</v>
      </c>
      <c r="Q1448" s="4">
        <v>65.5</v>
      </c>
      <c r="R1448" s="4">
        <v>98</v>
      </c>
      <c r="S1448" s="4" t="str" cm="1">
        <f t="array" ref="S1448">_xlfn.IFS($R1448&lt;=50,"Good",$R1448&lt;=100,"Moderate",$R1448&lt;=200,"Poor",$R1448&lt;=300,"Very Poor",$R1448&lt;=500,"Hazardous")</f>
        <v>Moderate</v>
      </c>
      <c r="T1448" t="s">
        <v>27</v>
      </c>
      <c r="X1448" s="2"/>
      <c r="Y1448" s="2"/>
    </row>
    <row r="1449" spans="1:25" x14ac:dyDescent="0.3">
      <c r="A1449" s="2">
        <v>45581</v>
      </c>
      <c r="B1449" t="s">
        <v>22</v>
      </c>
      <c r="C1449" s="4">
        <v>123.8</v>
      </c>
      <c r="D1449" s="4">
        <v>121.6</v>
      </c>
      <c r="E1449" s="4">
        <v>62.9</v>
      </c>
      <c r="F1449" s="4">
        <v>11.42</v>
      </c>
      <c r="G1449" s="4">
        <v>37.1</v>
      </c>
      <c r="H1449" s="4">
        <v>0.81</v>
      </c>
      <c r="I1449" s="4">
        <v>27.3</v>
      </c>
      <c r="J1449" s="4">
        <v>69.2</v>
      </c>
      <c r="K1449" s="4">
        <v>1.81</v>
      </c>
      <c r="L1449" s="4">
        <v>206.33333333333329</v>
      </c>
      <c r="M1449" s="4">
        <v>121.6</v>
      </c>
      <c r="N1449" s="4">
        <v>78.625</v>
      </c>
      <c r="O1449" s="4">
        <v>28.55</v>
      </c>
      <c r="P1449" s="4">
        <v>92.75</v>
      </c>
      <c r="Q1449" s="4">
        <v>40.5</v>
      </c>
      <c r="R1449" s="4">
        <v>206</v>
      </c>
      <c r="S1449" s="4" t="str" cm="1">
        <f t="array" ref="S1449">_xlfn.IFS($R1449&lt;=50,"Good",$R1449&lt;=100,"Moderate",$R1449&lt;=200,"Poor",$R1449&lt;=300,"Very Poor",$R1449&lt;=500,"Hazardous")</f>
        <v>Very Poor</v>
      </c>
      <c r="T1449" t="s">
        <v>25</v>
      </c>
      <c r="X1449" s="2"/>
      <c r="Y1449" s="2"/>
    </row>
    <row r="1450" spans="1:25" x14ac:dyDescent="0.3">
      <c r="A1450" s="2">
        <v>45581</v>
      </c>
      <c r="B1450" t="s">
        <v>23</v>
      </c>
      <c r="C1450" s="4">
        <v>65</v>
      </c>
      <c r="D1450" s="4">
        <v>194.2</v>
      </c>
      <c r="E1450" s="4">
        <v>86.4</v>
      </c>
      <c r="F1450" s="4">
        <v>12.27</v>
      </c>
      <c r="G1450" s="4">
        <v>86.6</v>
      </c>
      <c r="H1450" s="4">
        <v>0.82</v>
      </c>
      <c r="I1450" s="4">
        <v>29.9</v>
      </c>
      <c r="J1450" s="4">
        <v>84.1</v>
      </c>
      <c r="K1450" s="4">
        <v>1.42</v>
      </c>
      <c r="L1450" s="4">
        <v>108.3333333333333</v>
      </c>
      <c r="M1450" s="4">
        <v>194.2</v>
      </c>
      <c r="N1450" s="4">
        <v>108</v>
      </c>
      <c r="O1450" s="4">
        <v>30.675000000000001</v>
      </c>
      <c r="P1450" s="4">
        <v>216.5</v>
      </c>
      <c r="Q1450" s="4">
        <v>40.999999999999993</v>
      </c>
      <c r="R1450" s="4">
        <v>216</v>
      </c>
      <c r="S1450" s="4" t="str" cm="1">
        <f t="array" ref="S1450">_xlfn.IFS($R1450&lt;=50,"Good",$R1450&lt;=100,"Moderate",$R1450&lt;=200,"Poor",$R1450&lt;=300,"Very Poor",$R1450&lt;=500,"Hazardous")</f>
        <v>Very Poor</v>
      </c>
      <c r="T1450" t="s">
        <v>27</v>
      </c>
      <c r="X1450" s="2"/>
      <c r="Y1450" s="2"/>
    </row>
    <row r="1451" spans="1:25" x14ac:dyDescent="0.3">
      <c r="A1451" s="2">
        <v>45581</v>
      </c>
      <c r="B1451" t="s">
        <v>24</v>
      </c>
      <c r="C1451" s="4">
        <v>50</v>
      </c>
      <c r="D1451" s="4">
        <v>246.7</v>
      </c>
      <c r="E1451" s="4">
        <v>28</v>
      </c>
      <c r="F1451" s="4">
        <v>1.42</v>
      </c>
      <c r="G1451" s="4">
        <v>86</v>
      </c>
      <c r="H1451" s="4">
        <v>2.11</v>
      </c>
      <c r="I1451" s="4">
        <v>28</v>
      </c>
      <c r="J1451" s="4">
        <v>59.2</v>
      </c>
      <c r="K1451" s="4">
        <v>2.4700000000000002</v>
      </c>
      <c r="L1451" s="4">
        <v>83.333333333333329</v>
      </c>
      <c r="M1451" s="4">
        <v>246.7</v>
      </c>
      <c r="N1451" s="4">
        <v>35</v>
      </c>
      <c r="O1451" s="4">
        <v>3.55</v>
      </c>
      <c r="P1451" s="4">
        <v>215</v>
      </c>
      <c r="Q1451" s="4">
        <v>105.5</v>
      </c>
      <c r="R1451" s="4">
        <v>247</v>
      </c>
      <c r="S1451" s="4" t="str" cm="1">
        <f t="array" ref="S1451">_xlfn.IFS($R1451&lt;=50,"Good",$R1451&lt;=100,"Moderate",$R1451&lt;=200,"Poor",$R1451&lt;=300,"Very Poor",$R1451&lt;=500,"Hazardous")</f>
        <v>Very Poor</v>
      </c>
      <c r="T1451" t="s">
        <v>28</v>
      </c>
      <c r="X1451" s="2"/>
      <c r="Y1451" s="2"/>
    </row>
    <row r="1452" spans="1:25" x14ac:dyDescent="0.3">
      <c r="A1452" s="2">
        <v>45582</v>
      </c>
      <c r="B1452" t="s">
        <v>20</v>
      </c>
      <c r="C1452" s="4">
        <v>78.7</v>
      </c>
      <c r="D1452" s="4">
        <v>247</v>
      </c>
      <c r="E1452" s="4">
        <v>57.2</v>
      </c>
      <c r="F1452" s="4">
        <v>21.66</v>
      </c>
      <c r="G1452" s="4">
        <v>20.2</v>
      </c>
      <c r="H1452" s="4">
        <v>1.37</v>
      </c>
      <c r="I1452" s="4">
        <v>22.4</v>
      </c>
      <c r="J1452" s="4">
        <v>40.5</v>
      </c>
      <c r="K1452" s="4">
        <v>2.3199999999999998</v>
      </c>
      <c r="L1452" s="4">
        <v>131.16666666666671</v>
      </c>
      <c r="M1452" s="4">
        <v>247</v>
      </c>
      <c r="N1452" s="4">
        <v>71.500000000000014</v>
      </c>
      <c r="O1452" s="4">
        <v>54.150000000000013</v>
      </c>
      <c r="P1452" s="4">
        <v>50.499999999999993</v>
      </c>
      <c r="Q1452" s="4">
        <v>68.5</v>
      </c>
      <c r="R1452" s="4">
        <v>247</v>
      </c>
      <c r="S1452" s="4" t="str" cm="1">
        <f t="array" ref="S1452">_xlfn.IFS($R1452&lt;=50,"Good",$R1452&lt;=100,"Moderate",$R1452&lt;=200,"Poor",$R1452&lt;=300,"Very Poor",$R1452&lt;=500,"Hazardous")</f>
        <v>Very Poor</v>
      </c>
      <c r="T1452" t="s">
        <v>28</v>
      </c>
      <c r="X1452" s="2"/>
      <c r="Y1452" s="2"/>
    </row>
    <row r="1453" spans="1:25" x14ac:dyDescent="0.3">
      <c r="A1453" s="2">
        <v>45582</v>
      </c>
      <c r="B1453" t="s">
        <v>21</v>
      </c>
      <c r="C1453" s="4">
        <v>90.6</v>
      </c>
      <c r="D1453" s="4">
        <v>189.3</v>
      </c>
      <c r="E1453" s="4">
        <v>110.5</v>
      </c>
      <c r="F1453" s="4">
        <v>12.9</v>
      </c>
      <c r="G1453" s="4">
        <v>85.9</v>
      </c>
      <c r="H1453" s="4">
        <v>1.55</v>
      </c>
      <c r="I1453" s="4">
        <v>36.700000000000003</v>
      </c>
      <c r="J1453" s="4">
        <v>100</v>
      </c>
      <c r="K1453" s="4">
        <v>3.14</v>
      </c>
      <c r="L1453" s="4">
        <v>151</v>
      </c>
      <c r="M1453" s="4">
        <v>189.3</v>
      </c>
      <c r="N1453" s="4">
        <v>138.125</v>
      </c>
      <c r="O1453" s="4">
        <v>32.25</v>
      </c>
      <c r="P1453" s="4">
        <v>214.75</v>
      </c>
      <c r="Q1453" s="4">
        <v>77.5</v>
      </c>
      <c r="R1453" s="4">
        <v>215</v>
      </c>
      <c r="S1453" s="4" t="str" cm="1">
        <f t="array" ref="S1453">_xlfn.IFS($R1453&lt;=50,"Good",$R1453&lt;=100,"Moderate",$R1453&lt;=200,"Poor",$R1453&lt;=300,"Very Poor",$R1453&lt;=500,"Hazardous")</f>
        <v>Very Poor</v>
      </c>
      <c r="T1453" t="s">
        <v>27</v>
      </c>
      <c r="X1453" s="2"/>
      <c r="Y1453" s="2"/>
    </row>
    <row r="1454" spans="1:25" x14ac:dyDescent="0.3">
      <c r="A1454" s="2">
        <v>45582</v>
      </c>
      <c r="B1454" t="s">
        <v>22</v>
      </c>
      <c r="C1454" s="4">
        <v>28.7</v>
      </c>
      <c r="D1454" s="4">
        <v>82.7</v>
      </c>
      <c r="E1454" s="4">
        <v>48.1</v>
      </c>
      <c r="F1454" s="4">
        <v>9.77</v>
      </c>
      <c r="G1454" s="4">
        <v>54.6</v>
      </c>
      <c r="H1454" s="4">
        <v>1.4</v>
      </c>
      <c r="I1454" s="4">
        <v>25</v>
      </c>
      <c r="J1454" s="4">
        <v>48.5</v>
      </c>
      <c r="K1454" s="4">
        <v>2.98</v>
      </c>
      <c r="L1454" s="4">
        <v>47.833333333333329</v>
      </c>
      <c r="M1454" s="4">
        <v>82.7</v>
      </c>
      <c r="N1454" s="4">
        <v>60.125000000000007</v>
      </c>
      <c r="O1454" s="4">
        <v>24.425000000000001</v>
      </c>
      <c r="P1454" s="4">
        <v>136.5</v>
      </c>
      <c r="Q1454" s="4">
        <v>69.999999999999986</v>
      </c>
      <c r="R1454" s="4">
        <v>136</v>
      </c>
      <c r="S1454" s="4" t="str" cm="1">
        <f t="array" ref="S1454">_xlfn.IFS($R1454&lt;=50,"Good",$R1454&lt;=100,"Moderate",$R1454&lt;=200,"Poor",$R1454&lt;=300,"Very Poor",$R1454&lt;=500,"Hazardous")</f>
        <v>Poor</v>
      </c>
      <c r="T1454" t="s">
        <v>27</v>
      </c>
      <c r="X1454" s="2"/>
      <c r="Y1454" s="2"/>
    </row>
    <row r="1455" spans="1:25" x14ac:dyDescent="0.3">
      <c r="A1455" s="2">
        <v>45582</v>
      </c>
      <c r="B1455" t="s">
        <v>23</v>
      </c>
      <c r="C1455" s="4">
        <v>115.6</v>
      </c>
      <c r="D1455" s="4">
        <v>181.2</v>
      </c>
      <c r="E1455" s="4">
        <v>55.7</v>
      </c>
      <c r="F1455" s="4">
        <v>13.15</v>
      </c>
      <c r="G1455" s="4">
        <v>30.7</v>
      </c>
      <c r="H1455" s="4">
        <v>0.9</v>
      </c>
      <c r="I1455" s="4">
        <v>19.8</v>
      </c>
      <c r="J1455" s="4">
        <v>57.7</v>
      </c>
      <c r="K1455" s="4">
        <v>1.99</v>
      </c>
      <c r="L1455" s="4">
        <v>192.66666666666671</v>
      </c>
      <c r="M1455" s="4">
        <v>181.2</v>
      </c>
      <c r="N1455" s="4">
        <v>69.625</v>
      </c>
      <c r="O1455" s="4">
        <v>32.875</v>
      </c>
      <c r="P1455" s="4">
        <v>76.75</v>
      </c>
      <c r="Q1455" s="4">
        <v>45</v>
      </c>
      <c r="R1455" s="4">
        <v>193</v>
      </c>
      <c r="S1455" s="4" t="str" cm="1">
        <f t="array" ref="S1455">_xlfn.IFS($R1455&lt;=50,"Good",$R1455&lt;=100,"Moderate",$R1455&lt;=200,"Poor",$R1455&lt;=300,"Very Poor",$R1455&lt;=500,"Hazardous")</f>
        <v>Poor</v>
      </c>
      <c r="T1455" t="s">
        <v>25</v>
      </c>
      <c r="X1455" s="2"/>
      <c r="Y1455" s="2"/>
    </row>
    <row r="1456" spans="1:25" x14ac:dyDescent="0.3">
      <c r="A1456" s="2">
        <v>45582</v>
      </c>
      <c r="B1456" t="s">
        <v>24</v>
      </c>
      <c r="C1456" s="4">
        <v>105.9</v>
      </c>
      <c r="D1456" s="4">
        <v>100.6</v>
      </c>
      <c r="E1456" s="4">
        <v>31.8</v>
      </c>
      <c r="F1456" s="4">
        <v>19.48</v>
      </c>
      <c r="G1456" s="4">
        <v>31.6</v>
      </c>
      <c r="H1456" s="4">
        <v>1.42</v>
      </c>
      <c r="I1456" s="4">
        <v>28.2</v>
      </c>
      <c r="J1456" s="4">
        <v>39.5</v>
      </c>
      <c r="K1456" s="4">
        <v>4.4800000000000004</v>
      </c>
      <c r="L1456" s="4">
        <v>176.5</v>
      </c>
      <c r="M1456" s="4">
        <v>100.6</v>
      </c>
      <c r="N1456" s="4">
        <v>39.75</v>
      </c>
      <c r="O1456" s="4">
        <v>48.7</v>
      </c>
      <c r="P1456" s="4">
        <v>79</v>
      </c>
      <c r="Q1456" s="4">
        <v>71</v>
      </c>
      <c r="R1456" s="4">
        <v>177</v>
      </c>
      <c r="S1456" s="4" t="str" cm="1">
        <f t="array" ref="S1456">_xlfn.IFS($R1456&lt;=50,"Good",$R1456&lt;=100,"Moderate",$R1456&lt;=200,"Poor",$R1456&lt;=300,"Very Poor",$R1456&lt;=500,"Hazardous")</f>
        <v>Poor</v>
      </c>
      <c r="T1456" t="s">
        <v>25</v>
      </c>
      <c r="X1456" s="2"/>
      <c r="Y1456" s="2"/>
    </row>
    <row r="1457" spans="1:25" x14ac:dyDescent="0.3">
      <c r="A1457" s="2">
        <v>45583</v>
      </c>
      <c r="B1457" t="s">
        <v>20</v>
      </c>
      <c r="C1457" s="4">
        <v>91</v>
      </c>
      <c r="D1457" s="4">
        <v>245.5</v>
      </c>
      <c r="E1457" s="4">
        <v>36.1</v>
      </c>
      <c r="F1457" s="4">
        <v>9.77</v>
      </c>
      <c r="G1457" s="4">
        <v>47.1</v>
      </c>
      <c r="H1457" s="4">
        <v>1.56</v>
      </c>
      <c r="I1457" s="4">
        <v>14.8</v>
      </c>
      <c r="J1457" s="4">
        <v>62</v>
      </c>
      <c r="K1457" s="4">
        <v>0.79</v>
      </c>
      <c r="L1457" s="4">
        <v>151.66666666666671</v>
      </c>
      <c r="M1457" s="4">
        <v>245.5</v>
      </c>
      <c r="N1457" s="4">
        <v>45.125</v>
      </c>
      <c r="O1457" s="4">
        <v>24.425000000000001</v>
      </c>
      <c r="P1457" s="4">
        <v>117.75</v>
      </c>
      <c r="Q1457" s="4">
        <v>78</v>
      </c>
      <c r="R1457" s="4">
        <v>246</v>
      </c>
      <c r="S1457" s="4" t="str" cm="1">
        <f t="array" ref="S1457">_xlfn.IFS($R1457&lt;=50,"Good",$R1457&lt;=100,"Moderate",$R1457&lt;=200,"Poor",$R1457&lt;=300,"Very Poor",$R1457&lt;=500,"Hazardous")</f>
        <v>Very Poor</v>
      </c>
      <c r="T1457" t="s">
        <v>28</v>
      </c>
      <c r="X1457" s="2"/>
      <c r="Y1457" s="2"/>
    </row>
    <row r="1458" spans="1:25" x14ac:dyDescent="0.3">
      <c r="A1458" s="2">
        <v>45583</v>
      </c>
      <c r="B1458" t="s">
        <v>21</v>
      </c>
      <c r="C1458" s="4">
        <v>88.4</v>
      </c>
      <c r="D1458" s="4">
        <v>5</v>
      </c>
      <c r="E1458" s="4">
        <v>10</v>
      </c>
      <c r="F1458" s="4">
        <v>15.12</v>
      </c>
      <c r="G1458" s="4">
        <v>32.9</v>
      </c>
      <c r="H1458" s="4">
        <v>0.76</v>
      </c>
      <c r="I1458" s="4">
        <v>33.9</v>
      </c>
      <c r="J1458" s="4">
        <v>65.900000000000006</v>
      </c>
      <c r="K1458" s="4">
        <v>3.55</v>
      </c>
      <c r="L1458" s="4">
        <v>147.33333333333329</v>
      </c>
      <c r="M1458" s="4">
        <v>5</v>
      </c>
      <c r="N1458" s="4">
        <v>12.5</v>
      </c>
      <c r="O1458" s="4">
        <v>37.799999999999997</v>
      </c>
      <c r="P1458" s="4">
        <v>82.249999999999986</v>
      </c>
      <c r="Q1458" s="4">
        <v>38</v>
      </c>
      <c r="R1458" s="4">
        <v>147</v>
      </c>
      <c r="S1458" s="4" t="str" cm="1">
        <f t="array" ref="S1458">_xlfn.IFS($R1458&lt;=50,"Good",$R1458&lt;=100,"Moderate",$R1458&lt;=200,"Poor",$R1458&lt;=300,"Very Poor",$R1458&lt;=500,"Hazardous")</f>
        <v>Poor</v>
      </c>
      <c r="T1458" t="s">
        <v>25</v>
      </c>
      <c r="X1458" s="2"/>
      <c r="Y1458" s="2"/>
    </row>
    <row r="1459" spans="1:25" x14ac:dyDescent="0.3">
      <c r="A1459" s="2">
        <v>45583</v>
      </c>
      <c r="B1459" t="s">
        <v>22</v>
      </c>
      <c r="C1459" s="4">
        <v>52.3</v>
      </c>
      <c r="D1459" s="4">
        <v>266.7</v>
      </c>
      <c r="E1459" s="4">
        <v>31.3</v>
      </c>
      <c r="F1459" s="4">
        <v>15.89</v>
      </c>
      <c r="G1459" s="4">
        <v>36.5</v>
      </c>
      <c r="H1459" s="4">
        <v>0.2</v>
      </c>
      <c r="I1459" s="4">
        <v>28.4</v>
      </c>
      <c r="J1459" s="4">
        <v>65.7</v>
      </c>
      <c r="K1459" s="4">
        <v>1.24</v>
      </c>
      <c r="L1459" s="4">
        <v>87.166666666666657</v>
      </c>
      <c r="M1459" s="4">
        <v>266.7</v>
      </c>
      <c r="N1459" s="4">
        <v>39.125</v>
      </c>
      <c r="O1459" s="4">
        <v>39.725000000000001</v>
      </c>
      <c r="P1459" s="4">
        <v>91.25</v>
      </c>
      <c r="Q1459" s="4">
        <v>10</v>
      </c>
      <c r="R1459" s="4">
        <v>267</v>
      </c>
      <c r="S1459" s="4" t="str" cm="1">
        <f t="array" ref="S1459">_xlfn.IFS($R1459&lt;=50,"Good",$R1459&lt;=100,"Moderate",$R1459&lt;=200,"Poor",$R1459&lt;=300,"Very Poor",$R1459&lt;=500,"Hazardous")</f>
        <v>Very Poor</v>
      </c>
      <c r="T1459" t="s">
        <v>28</v>
      </c>
      <c r="X1459" s="2"/>
      <c r="Y1459" s="2"/>
    </row>
    <row r="1460" spans="1:25" x14ac:dyDescent="0.3">
      <c r="A1460" s="2">
        <v>45583</v>
      </c>
      <c r="B1460" t="s">
        <v>23</v>
      </c>
      <c r="C1460" s="4">
        <v>32.299999999999997</v>
      </c>
      <c r="D1460" s="4">
        <v>118.5</v>
      </c>
      <c r="E1460" s="4">
        <v>52</v>
      </c>
      <c r="F1460" s="4">
        <v>0.5</v>
      </c>
      <c r="G1460" s="4">
        <v>66.3</v>
      </c>
      <c r="H1460" s="4">
        <v>0.9</v>
      </c>
      <c r="I1460" s="4">
        <v>15.7</v>
      </c>
      <c r="J1460" s="4">
        <v>76.900000000000006</v>
      </c>
      <c r="K1460" s="4">
        <v>2.4700000000000002</v>
      </c>
      <c r="L1460" s="4">
        <v>53.833333333333329</v>
      </c>
      <c r="M1460" s="4">
        <v>118.5</v>
      </c>
      <c r="N1460" s="4">
        <v>65</v>
      </c>
      <c r="O1460" s="4">
        <v>1.25</v>
      </c>
      <c r="P1460" s="4">
        <v>165.75</v>
      </c>
      <c r="Q1460" s="4">
        <v>45</v>
      </c>
      <c r="R1460" s="4">
        <v>166</v>
      </c>
      <c r="S1460" s="4" t="str" cm="1">
        <f t="array" ref="S1460">_xlfn.IFS($R1460&lt;=50,"Good",$R1460&lt;=100,"Moderate",$R1460&lt;=200,"Poor",$R1460&lt;=300,"Very Poor",$R1460&lt;=500,"Hazardous")</f>
        <v>Poor</v>
      </c>
      <c r="T1460" t="s">
        <v>27</v>
      </c>
      <c r="X1460" s="2"/>
      <c r="Y1460" s="2"/>
    </row>
    <row r="1461" spans="1:25" x14ac:dyDescent="0.3">
      <c r="A1461" s="2">
        <v>45583</v>
      </c>
      <c r="B1461" t="s">
        <v>24</v>
      </c>
      <c r="C1461" s="4">
        <v>106.1</v>
      </c>
      <c r="D1461" s="4">
        <v>160.9</v>
      </c>
      <c r="E1461" s="4">
        <v>49.5</v>
      </c>
      <c r="F1461" s="4">
        <v>7.96</v>
      </c>
      <c r="G1461" s="4">
        <v>57.3</v>
      </c>
      <c r="H1461" s="4">
        <v>1.05</v>
      </c>
      <c r="I1461" s="4">
        <v>19</v>
      </c>
      <c r="J1461" s="4">
        <v>71</v>
      </c>
      <c r="K1461" s="4">
        <v>2.83</v>
      </c>
      <c r="L1461" s="4">
        <v>176.83333333333329</v>
      </c>
      <c r="M1461" s="4">
        <v>160.9</v>
      </c>
      <c r="N1461" s="4">
        <v>61.875</v>
      </c>
      <c r="O1461" s="4">
        <v>19.899999999999999</v>
      </c>
      <c r="P1461" s="4">
        <v>143.25</v>
      </c>
      <c r="Q1461" s="4">
        <v>52.500000000000007</v>
      </c>
      <c r="R1461" s="4">
        <v>177</v>
      </c>
      <c r="S1461" s="4" t="str" cm="1">
        <f t="array" ref="S1461">_xlfn.IFS($R1461&lt;=50,"Good",$R1461&lt;=100,"Moderate",$R1461&lt;=200,"Poor",$R1461&lt;=300,"Very Poor",$R1461&lt;=500,"Hazardous")</f>
        <v>Poor</v>
      </c>
      <c r="T1461" t="s">
        <v>25</v>
      </c>
      <c r="X1461" s="2"/>
      <c r="Y1461" s="2"/>
    </row>
    <row r="1462" spans="1:25" x14ac:dyDescent="0.3">
      <c r="A1462" s="2">
        <v>45584</v>
      </c>
      <c r="B1462" t="s">
        <v>20</v>
      </c>
      <c r="C1462" s="4">
        <v>70.2</v>
      </c>
      <c r="D1462" s="4">
        <v>213.2</v>
      </c>
      <c r="E1462" s="4">
        <v>49.1</v>
      </c>
      <c r="F1462" s="4">
        <v>9.2899999999999991</v>
      </c>
      <c r="G1462" s="4">
        <v>28.8</v>
      </c>
      <c r="H1462" s="4">
        <v>1.68</v>
      </c>
      <c r="I1462" s="4">
        <v>27.4</v>
      </c>
      <c r="J1462" s="4">
        <v>76.2</v>
      </c>
      <c r="K1462" s="4">
        <v>1.81</v>
      </c>
      <c r="L1462" s="4">
        <v>117</v>
      </c>
      <c r="M1462" s="4">
        <v>213.2</v>
      </c>
      <c r="N1462" s="4">
        <v>61.375</v>
      </c>
      <c r="O1462" s="4">
        <v>23.225000000000001</v>
      </c>
      <c r="P1462" s="4">
        <v>72.000000000000014</v>
      </c>
      <c r="Q1462" s="4">
        <v>83.999999999999986</v>
      </c>
      <c r="R1462" s="4">
        <v>213</v>
      </c>
      <c r="S1462" s="4" t="str" cm="1">
        <f t="array" ref="S1462">_xlfn.IFS($R1462&lt;=50,"Good",$R1462&lt;=100,"Moderate",$R1462&lt;=200,"Poor",$R1462&lt;=300,"Very Poor",$R1462&lt;=500,"Hazardous")</f>
        <v>Very Poor</v>
      </c>
      <c r="T1462" t="s">
        <v>28</v>
      </c>
      <c r="X1462" s="2"/>
      <c r="Y1462" s="2"/>
    </row>
    <row r="1463" spans="1:25" x14ac:dyDescent="0.3">
      <c r="A1463" s="2">
        <v>45584</v>
      </c>
      <c r="B1463" t="s">
        <v>21</v>
      </c>
      <c r="C1463" s="4">
        <v>57.8</v>
      </c>
      <c r="D1463" s="4">
        <v>209.4</v>
      </c>
      <c r="E1463" s="4">
        <v>62.6</v>
      </c>
      <c r="F1463" s="4">
        <v>4.34</v>
      </c>
      <c r="G1463" s="4">
        <v>90.8</v>
      </c>
      <c r="H1463" s="4">
        <v>0.23</v>
      </c>
      <c r="I1463" s="4">
        <v>30.5</v>
      </c>
      <c r="J1463" s="4">
        <v>37.200000000000003</v>
      </c>
      <c r="K1463" s="4">
        <v>4.76</v>
      </c>
      <c r="L1463" s="4">
        <v>96.333333333333329</v>
      </c>
      <c r="M1463" s="4">
        <v>209.4</v>
      </c>
      <c r="N1463" s="4">
        <v>78.25</v>
      </c>
      <c r="O1463" s="4">
        <v>10.85</v>
      </c>
      <c r="P1463" s="4">
        <v>227</v>
      </c>
      <c r="Q1463" s="4">
        <v>11.5</v>
      </c>
      <c r="R1463" s="4">
        <v>227</v>
      </c>
      <c r="S1463" s="4" t="str" cm="1">
        <f t="array" ref="S1463">_xlfn.IFS($R1463&lt;=50,"Good",$R1463&lt;=100,"Moderate",$R1463&lt;=200,"Poor",$R1463&lt;=300,"Very Poor",$R1463&lt;=500,"Hazardous")</f>
        <v>Very Poor</v>
      </c>
      <c r="T1463" t="s">
        <v>27</v>
      </c>
      <c r="X1463" s="2"/>
      <c r="Y1463" s="2"/>
    </row>
    <row r="1464" spans="1:25" x14ac:dyDescent="0.3">
      <c r="A1464" s="2">
        <v>45584</v>
      </c>
      <c r="B1464" t="s">
        <v>22</v>
      </c>
      <c r="C1464" s="4">
        <v>13</v>
      </c>
      <c r="D1464" s="4">
        <v>179.7</v>
      </c>
      <c r="E1464" s="4">
        <v>41.2</v>
      </c>
      <c r="F1464" s="4">
        <v>5.86</v>
      </c>
      <c r="G1464" s="4">
        <v>42.4</v>
      </c>
      <c r="H1464" s="4">
        <v>1.5</v>
      </c>
      <c r="I1464" s="4">
        <v>18.7</v>
      </c>
      <c r="J1464" s="4">
        <v>45.3</v>
      </c>
      <c r="K1464" s="4">
        <v>3.28</v>
      </c>
      <c r="L1464" s="4">
        <v>21.666666666666671</v>
      </c>
      <c r="M1464" s="4">
        <v>179.7</v>
      </c>
      <c r="N1464" s="4">
        <v>51.500000000000007</v>
      </c>
      <c r="O1464" s="4">
        <v>14.65</v>
      </c>
      <c r="P1464" s="4">
        <v>106</v>
      </c>
      <c r="Q1464" s="4">
        <v>75</v>
      </c>
      <c r="R1464" s="4">
        <v>180</v>
      </c>
      <c r="S1464" s="4" t="str" cm="1">
        <f t="array" ref="S1464">_xlfn.IFS($R1464&lt;=50,"Good",$R1464&lt;=100,"Moderate",$R1464&lt;=200,"Poor",$R1464&lt;=300,"Very Poor",$R1464&lt;=500,"Hazardous")</f>
        <v>Poor</v>
      </c>
      <c r="T1464" t="s">
        <v>28</v>
      </c>
      <c r="X1464" s="2"/>
      <c r="Y1464" s="2"/>
    </row>
    <row r="1465" spans="1:25" x14ac:dyDescent="0.3">
      <c r="A1465" s="2">
        <v>45584</v>
      </c>
      <c r="B1465" t="s">
        <v>23</v>
      </c>
      <c r="C1465" s="4">
        <v>8.8000000000000007</v>
      </c>
      <c r="D1465" s="4">
        <v>84.9</v>
      </c>
      <c r="E1465" s="4">
        <v>105.8</v>
      </c>
      <c r="F1465" s="4">
        <v>3.16</v>
      </c>
      <c r="G1465" s="4">
        <v>68.7</v>
      </c>
      <c r="H1465" s="4">
        <v>0.85</v>
      </c>
      <c r="I1465" s="4">
        <v>28.6</v>
      </c>
      <c r="J1465" s="4">
        <v>71.8</v>
      </c>
      <c r="K1465" s="4">
        <v>3.85</v>
      </c>
      <c r="L1465" s="4">
        <v>14.66666666666667</v>
      </c>
      <c r="M1465" s="4">
        <v>84.9</v>
      </c>
      <c r="N1465" s="4">
        <v>132.25</v>
      </c>
      <c r="O1465" s="4">
        <v>7.9</v>
      </c>
      <c r="P1465" s="4">
        <v>171.75</v>
      </c>
      <c r="Q1465" s="4">
        <v>42.499999999999993</v>
      </c>
      <c r="R1465" s="4">
        <v>172</v>
      </c>
      <c r="S1465" s="4" t="str" cm="1">
        <f t="array" ref="S1465">_xlfn.IFS($R1465&lt;=50,"Good",$R1465&lt;=100,"Moderate",$R1465&lt;=200,"Poor",$R1465&lt;=300,"Very Poor",$R1465&lt;=500,"Hazardous")</f>
        <v>Poor</v>
      </c>
      <c r="T1465" t="s">
        <v>27</v>
      </c>
      <c r="X1465" s="2"/>
      <c r="Y1465" s="2"/>
    </row>
    <row r="1466" spans="1:25" x14ac:dyDescent="0.3">
      <c r="A1466" s="2">
        <v>45584</v>
      </c>
      <c r="B1466" t="s">
        <v>24</v>
      </c>
      <c r="C1466" s="4">
        <v>59.4</v>
      </c>
      <c r="D1466" s="4">
        <v>263.3</v>
      </c>
      <c r="E1466" s="4">
        <v>36.5</v>
      </c>
      <c r="F1466" s="4">
        <v>10.09</v>
      </c>
      <c r="G1466" s="4">
        <v>50.7</v>
      </c>
      <c r="H1466" s="4">
        <v>0.57999999999999996</v>
      </c>
      <c r="I1466" s="4">
        <v>23</v>
      </c>
      <c r="J1466" s="4">
        <v>62.9</v>
      </c>
      <c r="K1466" s="4">
        <v>2.48</v>
      </c>
      <c r="L1466" s="4">
        <v>98.999999999999986</v>
      </c>
      <c r="M1466" s="4">
        <v>263.3</v>
      </c>
      <c r="N1466" s="4">
        <v>45.625</v>
      </c>
      <c r="O1466" s="4">
        <v>25.225000000000001</v>
      </c>
      <c r="P1466" s="4">
        <v>126.75</v>
      </c>
      <c r="Q1466" s="4">
        <v>29</v>
      </c>
      <c r="R1466" s="4">
        <v>263</v>
      </c>
      <c r="S1466" s="4" t="str" cm="1">
        <f t="array" ref="S1466">_xlfn.IFS($R1466&lt;=50,"Good",$R1466&lt;=100,"Moderate",$R1466&lt;=200,"Poor",$R1466&lt;=300,"Very Poor",$R1466&lt;=500,"Hazardous")</f>
        <v>Very Poor</v>
      </c>
      <c r="T1466" t="s">
        <v>28</v>
      </c>
      <c r="X1466" s="2"/>
      <c r="Y1466" s="2"/>
    </row>
    <row r="1467" spans="1:25" x14ac:dyDescent="0.3">
      <c r="A1467" s="2">
        <v>45585</v>
      </c>
      <c r="B1467" t="s">
        <v>20</v>
      </c>
      <c r="C1467" s="4">
        <v>153.19999999999999</v>
      </c>
      <c r="D1467" s="4">
        <v>80.099999999999994</v>
      </c>
      <c r="E1467" s="4">
        <v>78.900000000000006</v>
      </c>
      <c r="F1467" s="4">
        <v>14.12</v>
      </c>
      <c r="G1467" s="4">
        <v>45.6</v>
      </c>
      <c r="H1467" s="4">
        <v>0.78</v>
      </c>
      <c r="I1467" s="4">
        <v>19.600000000000001</v>
      </c>
      <c r="J1467" s="4">
        <v>50.7</v>
      </c>
      <c r="K1467" s="4">
        <v>0.36</v>
      </c>
      <c r="L1467" s="4">
        <v>255.33333333333329</v>
      </c>
      <c r="M1467" s="4">
        <v>80.099999999999994</v>
      </c>
      <c r="N1467" s="4">
        <v>98.625</v>
      </c>
      <c r="O1467" s="4">
        <v>35.299999999999997</v>
      </c>
      <c r="P1467" s="4">
        <v>114</v>
      </c>
      <c r="Q1467" s="4">
        <v>39</v>
      </c>
      <c r="R1467" s="4">
        <v>255</v>
      </c>
      <c r="S1467" s="4" t="str" cm="1">
        <f t="array" ref="S1467">_xlfn.IFS($R1467&lt;=50,"Good",$R1467&lt;=100,"Moderate",$R1467&lt;=200,"Poor",$R1467&lt;=300,"Very Poor",$R1467&lt;=500,"Hazardous")</f>
        <v>Very Poor</v>
      </c>
      <c r="T1467" t="s">
        <v>25</v>
      </c>
      <c r="X1467" s="2"/>
      <c r="Y1467" s="2"/>
    </row>
    <row r="1468" spans="1:25" x14ac:dyDescent="0.3">
      <c r="A1468" s="2">
        <v>45585</v>
      </c>
      <c r="B1468" t="s">
        <v>21</v>
      </c>
      <c r="C1468" s="4">
        <v>37.4</v>
      </c>
      <c r="D1468" s="4">
        <v>38.799999999999997</v>
      </c>
      <c r="E1468" s="4">
        <v>89.9</v>
      </c>
      <c r="F1468" s="4">
        <v>13.87</v>
      </c>
      <c r="G1468" s="4">
        <v>74.599999999999994</v>
      </c>
      <c r="H1468" s="4">
        <v>1.94</v>
      </c>
      <c r="I1468" s="4">
        <v>26.2</v>
      </c>
      <c r="J1468" s="4">
        <v>86.3</v>
      </c>
      <c r="K1468" s="4">
        <v>1.77</v>
      </c>
      <c r="L1468" s="4">
        <v>62.333333333333329</v>
      </c>
      <c r="M1468" s="4">
        <v>38.799999999999997</v>
      </c>
      <c r="N1468" s="4">
        <v>112.375</v>
      </c>
      <c r="O1468" s="4">
        <v>34.674999999999997</v>
      </c>
      <c r="P1468" s="4">
        <v>186.5</v>
      </c>
      <c r="Q1468" s="4">
        <v>97</v>
      </c>
      <c r="R1468" s="4">
        <v>186</v>
      </c>
      <c r="S1468" s="4" t="str" cm="1">
        <f t="array" ref="S1468">_xlfn.IFS($R1468&lt;=50,"Good",$R1468&lt;=100,"Moderate",$R1468&lt;=200,"Poor",$R1468&lt;=300,"Very Poor",$R1468&lt;=500,"Hazardous")</f>
        <v>Poor</v>
      </c>
      <c r="T1468" t="s">
        <v>27</v>
      </c>
      <c r="X1468" s="2"/>
      <c r="Y1468" s="2"/>
    </row>
    <row r="1469" spans="1:25" x14ac:dyDescent="0.3">
      <c r="A1469" s="2">
        <v>45585</v>
      </c>
      <c r="B1469" t="s">
        <v>22</v>
      </c>
      <c r="C1469" s="4">
        <v>60</v>
      </c>
      <c r="D1469" s="4">
        <v>156.6</v>
      </c>
      <c r="E1469" s="4">
        <v>17.600000000000001</v>
      </c>
      <c r="F1469" s="4">
        <v>22.31</v>
      </c>
      <c r="G1469" s="4">
        <v>38.700000000000003</v>
      </c>
      <c r="H1469" s="4">
        <v>1.22</v>
      </c>
      <c r="I1469" s="4">
        <v>33.799999999999997</v>
      </c>
      <c r="J1469" s="4">
        <v>76.5</v>
      </c>
      <c r="K1469" s="4">
        <v>2.5499999999999998</v>
      </c>
      <c r="L1469" s="4">
        <v>100</v>
      </c>
      <c r="M1469" s="4">
        <v>156.6</v>
      </c>
      <c r="N1469" s="4">
        <v>22</v>
      </c>
      <c r="O1469" s="4">
        <v>55.774999999999999</v>
      </c>
      <c r="P1469" s="4">
        <v>96.75</v>
      </c>
      <c r="Q1469" s="4">
        <v>61</v>
      </c>
      <c r="R1469" s="4">
        <v>157</v>
      </c>
      <c r="S1469" s="4" t="str" cm="1">
        <f t="array" ref="S1469">_xlfn.IFS($R1469&lt;=50,"Good",$R1469&lt;=100,"Moderate",$R1469&lt;=200,"Poor",$R1469&lt;=300,"Very Poor",$R1469&lt;=500,"Hazardous")</f>
        <v>Poor</v>
      </c>
      <c r="T1469" t="s">
        <v>28</v>
      </c>
      <c r="X1469" s="2"/>
      <c r="Y1469" s="2"/>
    </row>
    <row r="1470" spans="1:25" x14ac:dyDescent="0.3">
      <c r="A1470" s="2">
        <v>45585</v>
      </c>
      <c r="B1470" t="s">
        <v>23</v>
      </c>
      <c r="C1470" s="4">
        <v>63.9</v>
      </c>
      <c r="D1470" s="4">
        <v>29.8</v>
      </c>
      <c r="E1470" s="4">
        <v>33.9</v>
      </c>
      <c r="F1470" s="4">
        <v>10.59</v>
      </c>
      <c r="G1470" s="4">
        <v>51.1</v>
      </c>
      <c r="H1470" s="4">
        <v>1.93</v>
      </c>
      <c r="I1470" s="4">
        <v>24.2</v>
      </c>
      <c r="J1470" s="4">
        <v>35</v>
      </c>
      <c r="K1470" s="4">
        <v>3.77</v>
      </c>
      <c r="L1470" s="4">
        <v>106.5</v>
      </c>
      <c r="M1470" s="4">
        <v>29.8</v>
      </c>
      <c r="N1470" s="4">
        <v>42.374999999999993</v>
      </c>
      <c r="O1470" s="4">
        <v>26.475000000000001</v>
      </c>
      <c r="P1470" s="4">
        <v>127.75</v>
      </c>
      <c r="Q1470" s="4">
        <v>96.5</v>
      </c>
      <c r="R1470" s="4">
        <v>128</v>
      </c>
      <c r="S1470" s="4" t="str" cm="1">
        <f t="array" ref="S1470">_xlfn.IFS($R1470&lt;=50,"Good",$R1470&lt;=100,"Moderate",$R1470&lt;=200,"Poor",$R1470&lt;=300,"Very Poor",$R1470&lt;=500,"Hazardous")</f>
        <v>Poor</v>
      </c>
      <c r="T1470" t="s">
        <v>27</v>
      </c>
      <c r="X1470" s="2"/>
      <c r="Y1470" s="2"/>
    </row>
    <row r="1471" spans="1:25" x14ac:dyDescent="0.3">
      <c r="A1471" s="2">
        <v>45585</v>
      </c>
      <c r="B1471" t="s">
        <v>24</v>
      </c>
      <c r="C1471" s="4">
        <v>113.4</v>
      </c>
      <c r="D1471" s="4">
        <v>191.3</v>
      </c>
      <c r="E1471" s="4">
        <v>45.9</v>
      </c>
      <c r="F1471" s="4">
        <v>14.54</v>
      </c>
      <c r="G1471" s="4">
        <v>138.30000000000001</v>
      </c>
      <c r="H1471" s="4">
        <v>1.4</v>
      </c>
      <c r="I1471" s="4">
        <v>15.8</v>
      </c>
      <c r="J1471" s="4">
        <v>49.4</v>
      </c>
      <c r="K1471" s="4">
        <v>3.75</v>
      </c>
      <c r="L1471" s="4">
        <v>189</v>
      </c>
      <c r="M1471" s="4">
        <v>191.3</v>
      </c>
      <c r="N1471" s="4">
        <v>57.374999999999993</v>
      </c>
      <c r="O1471" s="4">
        <v>36.35</v>
      </c>
      <c r="P1471" s="4">
        <v>345.75</v>
      </c>
      <c r="Q1471" s="4">
        <v>69.999999999999986</v>
      </c>
      <c r="R1471" s="4">
        <v>346</v>
      </c>
      <c r="S1471" s="4" t="str" cm="1">
        <f t="array" ref="S1471">_xlfn.IFS($R1471&lt;=50,"Good",$R1471&lt;=100,"Moderate",$R1471&lt;=200,"Poor",$R1471&lt;=300,"Very Poor",$R1471&lt;=500,"Hazardous")</f>
        <v>Hazardous</v>
      </c>
      <c r="T1471" t="s">
        <v>27</v>
      </c>
      <c r="X1471" s="2"/>
      <c r="Y1471" s="2"/>
    </row>
    <row r="1472" spans="1:25" x14ac:dyDescent="0.3">
      <c r="A1472" s="2">
        <v>45586</v>
      </c>
      <c r="B1472" t="s">
        <v>20</v>
      </c>
      <c r="C1472" s="4">
        <v>13.6</v>
      </c>
      <c r="D1472" s="4">
        <v>149.69999999999999</v>
      </c>
      <c r="E1472" s="4">
        <v>60.5</v>
      </c>
      <c r="F1472" s="4">
        <v>18.03</v>
      </c>
      <c r="G1472" s="4">
        <v>83.7</v>
      </c>
      <c r="H1472" s="4">
        <v>1.98</v>
      </c>
      <c r="I1472" s="4">
        <v>9.9</v>
      </c>
      <c r="J1472" s="4">
        <v>76.599999999999994</v>
      </c>
      <c r="K1472" s="4">
        <v>3.35</v>
      </c>
      <c r="L1472" s="4">
        <v>22.666666666666661</v>
      </c>
      <c r="M1472" s="4">
        <v>149.69999999999999</v>
      </c>
      <c r="N1472" s="4">
        <v>75.625</v>
      </c>
      <c r="O1472" s="4">
        <v>45.075000000000003</v>
      </c>
      <c r="P1472" s="4">
        <v>209.25</v>
      </c>
      <c r="Q1472" s="4">
        <v>99</v>
      </c>
      <c r="R1472" s="4">
        <v>209</v>
      </c>
      <c r="S1472" s="4" t="str" cm="1">
        <f t="array" ref="S1472">_xlfn.IFS($R1472&lt;=50,"Good",$R1472&lt;=100,"Moderate",$R1472&lt;=200,"Poor",$R1472&lt;=300,"Very Poor",$R1472&lt;=500,"Hazardous")</f>
        <v>Very Poor</v>
      </c>
      <c r="T1472" t="s">
        <v>27</v>
      </c>
      <c r="X1472" s="2"/>
      <c r="Y1472" s="2"/>
    </row>
    <row r="1473" spans="1:25" x14ac:dyDescent="0.3">
      <c r="A1473" s="2">
        <v>45586</v>
      </c>
      <c r="B1473" t="s">
        <v>21</v>
      </c>
      <c r="C1473" s="4">
        <v>84.6</v>
      </c>
      <c r="D1473" s="4">
        <v>20.2</v>
      </c>
      <c r="E1473" s="4">
        <v>36.799999999999997</v>
      </c>
      <c r="F1473" s="4">
        <v>2.71</v>
      </c>
      <c r="G1473" s="4">
        <v>1</v>
      </c>
      <c r="H1473" s="4">
        <v>1.5</v>
      </c>
      <c r="I1473" s="4">
        <v>19.399999999999999</v>
      </c>
      <c r="J1473" s="4">
        <v>100</v>
      </c>
      <c r="K1473" s="4">
        <v>2.2999999999999998</v>
      </c>
      <c r="L1473" s="4">
        <v>141</v>
      </c>
      <c r="M1473" s="4">
        <v>20.2</v>
      </c>
      <c r="N1473" s="4">
        <v>46</v>
      </c>
      <c r="O1473" s="4">
        <v>6.7749999999999986</v>
      </c>
      <c r="P1473" s="4">
        <v>2.5</v>
      </c>
      <c r="Q1473" s="4">
        <v>75</v>
      </c>
      <c r="R1473" s="4">
        <v>141</v>
      </c>
      <c r="S1473" s="4" t="str" cm="1">
        <f t="array" ref="S1473">_xlfn.IFS($R1473&lt;=50,"Good",$R1473&lt;=100,"Moderate",$R1473&lt;=200,"Poor",$R1473&lt;=300,"Very Poor",$R1473&lt;=500,"Hazardous")</f>
        <v>Poor</v>
      </c>
      <c r="T1473" t="s">
        <v>25</v>
      </c>
      <c r="X1473" s="2"/>
      <c r="Y1473" s="2"/>
    </row>
    <row r="1474" spans="1:25" x14ac:dyDescent="0.3">
      <c r="A1474" s="2">
        <v>45586</v>
      </c>
      <c r="B1474" t="s">
        <v>22</v>
      </c>
      <c r="C1474" s="4">
        <v>93.9</v>
      </c>
      <c r="D1474" s="4">
        <v>24.6</v>
      </c>
      <c r="E1474" s="4">
        <v>32.700000000000003</v>
      </c>
      <c r="F1474" s="4">
        <v>8.06</v>
      </c>
      <c r="G1474" s="4">
        <v>16.399999999999999</v>
      </c>
      <c r="H1474" s="4">
        <v>0.9</v>
      </c>
      <c r="I1474" s="4">
        <v>23.5</v>
      </c>
      <c r="J1474" s="4">
        <v>55.8</v>
      </c>
      <c r="K1474" s="4">
        <v>4.7300000000000004</v>
      </c>
      <c r="L1474" s="4">
        <v>156.5</v>
      </c>
      <c r="M1474" s="4">
        <v>24.6</v>
      </c>
      <c r="N1474" s="4">
        <v>40.875</v>
      </c>
      <c r="O1474" s="4">
        <v>20.149999999999999</v>
      </c>
      <c r="P1474" s="4">
        <v>40.999999999999993</v>
      </c>
      <c r="Q1474" s="4">
        <v>45</v>
      </c>
      <c r="R1474" s="4">
        <v>156</v>
      </c>
      <c r="S1474" s="4" t="str" cm="1">
        <f t="array" ref="S1474">_xlfn.IFS($R1474&lt;=50,"Good",$R1474&lt;=100,"Moderate",$R1474&lt;=200,"Poor",$R1474&lt;=300,"Very Poor",$R1474&lt;=500,"Hazardous")</f>
        <v>Poor</v>
      </c>
      <c r="T1474" t="s">
        <v>25</v>
      </c>
      <c r="X1474" s="2"/>
      <c r="Y1474" s="2"/>
    </row>
    <row r="1475" spans="1:25" x14ac:dyDescent="0.3">
      <c r="A1475" s="2">
        <v>45586</v>
      </c>
      <c r="B1475" t="s">
        <v>23</v>
      </c>
      <c r="C1475" s="4">
        <v>71.3</v>
      </c>
      <c r="D1475" s="4">
        <v>148.80000000000001</v>
      </c>
      <c r="E1475" s="4">
        <v>55.8</v>
      </c>
      <c r="F1475" s="4">
        <v>11.06</v>
      </c>
      <c r="G1475" s="4">
        <v>37.9</v>
      </c>
      <c r="H1475" s="4">
        <v>1.01</v>
      </c>
      <c r="I1475" s="4">
        <v>26.2</v>
      </c>
      <c r="J1475" s="4">
        <v>80.8</v>
      </c>
      <c r="K1475" s="4">
        <v>3.85</v>
      </c>
      <c r="L1475" s="4">
        <v>118.8333333333333</v>
      </c>
      <c r="M1475" s="4">
        <v>148.80000000000001</v>
      </c>
      <c r="N1475" s="4">
        <v>69.749999999999986</v>
      </c>
      <c r="O1475" s="4">
        <v>27.65</v>
      </c>
      <c r="P1475" s="4">
        <v>94.75</v>
      </c>
      <c r="Q1475" s="4">
        <v>50.5</v>
      </c>
      <c r="R1475" s="4">
        <v>149</v>
      </c>
      <c r="S1475" s="4" t="str" cm="1">
        <f t="array" ref="S1475">_xlfn.IFS($R1475&lt;=50,"Good",$R1475&lt;=100,"Moderate",$R1475&lt;=200,"Poor",$R1475&lt;=300,"Very Poor",$R1475&lt;=500,"Hazardous")</f>
        <v>Poor</v>
      </c>
      <c r="T1475" t="s">
        <v>28</v>
      </c>
      <c r="X1475" s="2"/>
      <c r="Y1475" s="2"/>
    </row>
    <row r="1476" spans="1:25" x14ac:dyDescent="0.3">
      <c r="A1476" s="2">
        <v>45586</v>
      </c>
      <c r="B1476" t="s">
        <v>24</v>
      </c>
      <c r="C1476" s="4">
        <v>58.1</v>
      </c>
      <c r="D1476" s="4">
        <v>182.7</v>
      </c>
      <c r="E1476" s="4">
        <v>45.2</v>
      </c>
      <c r="F1476" s="4">
        <v>8.99</v>
      </c>
      <c r="G1476" s="4">
        <v>31</v>
      </c>
      <c r="H1476" s="4">
        <v>1.2</v>
      </c>
      <c r="I1476" s="4">
        <v>34.4</v>
      </c>
      <c r="J1476" s="4">
        <v>61.7</v>
      </c>
      <c r="K1476" s="4">
        <v>3.16</v>
      </c>
      <c r="L1476" s="4">
        <v>96.833333333333343</v>
      </c>
      <c r="M1476" s="4">
        <v>182.7</v>
      </c>
      <c r="N1476" s="4">
        <v>56.5</v>
      </c>
      <c r="O1476" s="4">
        <v>22.475000000000001</v>
      </c>
      <c r="P1476" s="4">
        <v>77.5</v>
      </c>
      <c r="Q1476" s="4">
        <v>60</v>
      </c>
      <c r="R1476" s="4">
        <v>183</v>
      </c>
      <c r="S1476" s="4" t="str" cm="1">
        <f t="array" ref="S1476">_xlfn.IFS($R1476&lt;=50,"Good",$R1476&lt;=100,"Moderate",$R1476&lt;=200,"Poor",$R1476&lt;=300,"Very Poor",$R1476&lt;=500,"Hazardous")</f>
        <v>Poor</v>
      </c>
      <c r="T1476" t="s">
        <v>28</v>
      </c>
      <c r="X1476" s="2"/>
      <c r="Y1476" s="2"/>
    </row>
    <row r="1477" spans="1:25" x14ac:dyDescent="0.3">
      <c r="A1477" s="2">
        <v>45587</v>
      </c>
      <c r="B1477" t="s">
        <v>20</v>
      </c>
      <c r="C1477" s="4">
        <v>19.100000000000001</v>
      </c>
      <c r="D1477" s="4">
        <v>116.7</v>
      </c>
      <c r="E1477" s="4">
        <v>46.2</v>
      </c>
      <c r="F1477" s="4">
        <v>4.43</v>
      </c>
      <c r="G1477" s="4">
        <v>46.6</v>
      </c>
      <c r="H1477" s="4">
        <v>1.08</v>
      </c>
      <c r="I1477" s="4">
        <v>25.6</v>
      </c>
      <c r="J1477" s="4">
        <v>62.2</v>
      </c>
      <c r="K1477" s="4">
        <v>1.35</v>
      </c>
      <c r="L1477" s="4">
        <v>31.833333333333339</v>
      </c>
      <c r="M1477" s="4">
        <v>116.7</v>
      </c>
      <c r="N1477" s="4">
        <v>57.75</v>
      </c>
      <c r="O1477" s="4">
        <v>11.074999999999999</v>
      </c>
      <c r="P1477" s="4">
        <v>116.5</v>
      </c>
      <c r="Q1477" s="4">
        <v>54.000000000000007</v>
      </c>
      <c r="R1477" s="4">
        <v>117</v>
      </c>
      <c r="S1477" s="4" t="str" cm="1">
        <f t="array" ref="S1477">_xlfn.IFS($R1477&lt;=50,"Good",$R1477&lt;=100,"Moderate",$R1477&lt;=200,"Poor",$R1477&lt;=300,"Very Poor",$R1477&lt;=500,"Hazardous")</f>
        <v>Poor</v>
      </c>
      <c r="T1477" t="s">
        <v>28</v>
      </c>
      <c r="X1477" s="2"/>
      <c r="Y1477" s="2"/>
    </row>
    <row r="1478" spans="1:25" x14ac:dyDescent="0.3">
      <c r="A1478" s="2">
        <v>45587</v>
      </c>
      <c r="B1478" t="s">
        <v>21</v>
      </c>
      <c r="C1478" s="4">
        <v>60</v>
      </c>
      <c r="D1478" s="4">
        <v>155.80000000000001</v>
      </c>
      <c r="E1478" s="4">
        <v>85.9</v>
      </c>
      <c r="F1478" s="4">
        <v>11.6</v>
      </c>
      <c r="G1478" s="4">
        <v>29.3</v>
      </c>
      <c r="H1478" s="4">
        <v>1.8</v>
      </c>
      <c r="I1478" s="4">
        <v>37</v>
      </c>
      <c r="J1478" s="4">
        <v>76.5</v>
      </c>
      <c r="K1478" s="4">
        <v>3.16</v>
      </c>
      <c r="L1478" s="4">
        <v>100</v>
      </c>
      <c r="M1478" s="4">
        <v>155.80000000000001</v>
      </c>
      <c r="N1478" s="4">
        <v>107.375</v>
      </c>
      <c r="O1478" s="4">
        <v>29</v>
      </c>
      <c r="P1478" s="4">
        <v>73.25</v>
      </c>
      <c r="Q1478" s="4">
        <v>90</v>
      </c>
      <c r="R1478" s="4">
        <v>156</v>
      </c>
      <c r="S1478" s="4" t="str" cm="1">
        <f t="array" ref="S1478">_xlfn.IFS($R1478&lt;=50,"Good",$R1478&lt;=100,"Moderate",$R1478&lt;=200,"Poor",$R1478&lt;=300,"Very Poor",$R1478&lt;=500,"Hazardous")</f>
        <v>Poor</v>
      </c>
      <c r="T1478" t="s">
        <v>28</v>
      </c>
      <c r="X1478" s="2"/>
      <c r="Y1478" s="2"/>
    </row>
    <row r="1479" spans="1:25" x14ac:dyDescent="0.3">
      <c r="A1479" s="2">
        <v>45587</v>
      </c>
      <c r="B1479" t="s">
        <v>22</v>
      </c>
      <c r="C1479" s="4">
        <v>77.7</v>
      </c>
      <c r="D1479" s="4">
        <v>196.1</v>
      </c>
      <c r="E1479" s="4">
        <v>63.2</v>
      </c>
      <c r="F1479" s="4">
        <v>10.29</v>
      </c>
      <c r="G1479" s="4">
        <v>63.4</v>
      </c>
      <c r="H1479" s="4">
        <v>0.52</v>
      </c>
      <c r="I1479" s="4">
        <v>14.5</v>
      </c>
      <c r="J1479" s="4">
        <v>62.8</v>
      </c>
      <c r="K1479" s="4">
        <v>2.58</v>
      </c>
      <c r="L1479" s="4">
        <v>129.5</v>
      </c>
      <c r="M1479" s="4">
        <v>196.1</v>
      </c>
      <c r="N1479" s="4">
        <v>79</v>
      </c>
      <c r="O1479" s="4">
        <v>25.725000000000001</v>
      </c>
      <c r="P1479" s="4">
        <v>158.5</v>
      </c>
      <c r="Q1479" s="4">
        <v>26</v>
      </c>
      <c r="R1479" s="4">
        <v>196</v>
      </c>
      <c r="S1479" s="4" t="str" cm="1">
        <f t="array" ref="S1479">_xlfn.IFS($R1479&lt;=50,"Good",$R1479&lt;=100,"Moderate",$R1479&lt;=200,"Poor",$R1479&lt;=300,"Very Poor",$R1479&lt;=500,"Hazardous")</f>
        <v>Poor</v>
      </c>
      <c r="T1479" t="s">
        <v>28</v>
      </c>
      <c r="X1479" s="2"/>
      <c r="Y1479" s="2"/>
    </row>
    <row r="1480" spans="1:25" x14ac:dyDescent="0.3">
      <c r="A1480" s="2">
        <v>45587</v>
      </c>
      <c r="B1480" t="s">
        <v>23</v>
      </c>
      <c r="C1480" s="4">
        <v>43.7</v>
      </c>
      <c r="D1480" s="4">
        <v>169.6</v>
      </c>
      <c r="E1480" s="4">
        <v>7.7</v>
      </c>
      <c r="F1480" s="4">
        <v>5.33</v>
      </c>
      <c r="G1480" s="4">
        <v>27.9</v>
      </c>
      <c r="H1480" s="4">
        <v>0.22</v>
      </c>
      <c r="I1480" s="4">
        <v>35.5</v>
      </c>
      <c r="J1480" s="4">
        <v>35.5</v>
      </c>
      <c r="K1480" s="4">
        <v>1.79</v>
      </c>
      <c r="L1480" s="4">
        <v>72.833333333333329</v>
      </c>
      <c r="M1480" s="4">
        <v>169.6</v>
      </c>
      <c r="N1480" s="4">
        <v>9.625</v>
      </c>
      <c r="O1480" s="4">
        <v>13.324999999999999</v>
      </c>
      <c r="P1480" s="4">
        <v>69.749999999999986</v>
      </c>
      <c r="Q1480" s="4">
        <v>11</v>
      </c>
      <c r="R1480" s="4">
        <v>170</v>
      </c>
      <c r="S1480" s="4" t="str" cm="1">
        <f t="array" ref="S1480">_xlfn.IFS($R1480&lt;=50,"Good",$R1480&lt;=100,"Moderate",$R1480&lt;=200,"Poor",$R1480&lt;=300,"Very Poor",$R1480&lt;=500,"Hazardous")</f>
        <v>Poor</v>
      </c>
      <c r="T1480" t="s">
        <v>28</v>
      </c>
      <c r="X1480" s="2"/>
      <c r="Y1480" s="2"/>
    </row>
    <row r="1481" spans="1:25" x14ac:dyDescent="0.3">
      <c r="A1481" s="2">
        <v>45587</v>
      </c>
      <c r="B1481" t="s">
        <v>24</v>
      </c>
      <c r="C1481" s="4">
        <v>96</v>
      </c>
      <c r="D1481" s="4">
        <v>174.6</v>
      </c>
      <c r="E1481" s="4">
        <v>25.1</v>
      </c>
      <c r="F1481" s="4">
        <v>12.55</v>
      </c>
      <c r="G1481" s="4">
        <v>52</v>
      </c>
      <c r="H1481" s="4">
        <v>2.86</v>
      </c>
      <c r="I1481" s="4">
        <v>27.8</v>
      </c>
      <c r="J1481" s="4">
        <v>57.5</v>
      </c>
      <c r="K1481" s="4">
        <v>1.97</v>
      </c>
      <c r="L1481" s="4">
        <v>160</v>
      </c>
      <c r="M1481" s="4">
        <v>174.6</v>
      </c>
      <c r="N1481" s="4">
        <v>31.375</v>
      </c>
      <c r="O1481" s="4">
        <v>31.375</v>
      </c>
      <c r="P1481" s="4">
        <v>130</v>
      </c>
      <c r="Q1481" s="4">
        <v>143</v>
      </c>
      <c r="R1481" s="4">
        <v>175</v>
      </c>
      <c r="S1481" s="4" t="str" cm="1">
        <f t="array" ref="S1481">_xlfn.IFS($R1481&lt;=50,"Good",$R1481&lt;=100,"Moderate",$R1481&lt;=200,"Poor",$R1481&lt;=300,"Very Poor",$R1481&lt;=500,"Hazardous")</f>
        <v>Poor</v>
      </c>
      <c r="T1481" t="s">
        <v>28</v>
      </c>
      <c r="X1481" s="2"/>
      <c r="Y1481" s="2"/>
    </row>
    <row r="1482" spans="1:25" x14ac:dyDescent="0.3">
      <c r="A1482" s="2">
        <v>45588</v>
      </c>
      <c r="B1482" t="s">
        <v>20</v>
      </c>
      <c r="C1482" s="4">
        <v>43.3</v>
      </c>
      <c r="D1482" s="4">
        <v>81</v>
      </c>
      <c r="E1482" s="4">
        <v>83.3</v>
      </c>
      <c r="F1482" s="4">
        <v>9.3000000000000007</v>
      </c>
      <c r="G1482" s="4">
        <v>62.3</v>
      </c>
      <c r="H1482" s="4">
        <v>2.42</v>
      </c>
      <c r="I1482" s="4">
        <v>8.5</v>
      </c>
      <c r="J1482" s="4">
        <v>83</v>
      </c>
      <c r="K1482" s="4">
        <v>2.57</v>
      </c>
      <c r="L1482" s="4">
        <v>72.166666666666657</v>
      </c>
      <c r="M1482" s="4">
        <v>81</v>
      </c>
      <c r="N1482" s="4">
        <v>104.125</v>
      </c>
      <c r="O1482" s="4">
        <v>23.25</v>
      </c>
      <c r="P1482" s="4">
        <v>155.75</v>
      </c>
      <c r="Q1482" s="4">
        <v>121</v>
      </c>
      <c r="R1482" s="4">
        <v>156</v>
      </c>
      <c r="S1482" s="4" t="str" cm="1">
        <f t="array" ref="S1482">_xlfn.IFS($R1482&lt;=50,"Good",$R1482&lt;=100,"Moderate",$R1482&lt;=200,"Poor",$R1482&lt;=300,"Very Poor",$R1482&lt;=500,"Hazardous")</f>
        <v>Poor</v>
      </c>
      <c r="T1482" t="s">
        <v>27</v>
      </c>
      <c r="X1482" s="2"/>
      <c r="Y1482" s="2"/>
    </row>
    <row r="1483" spans="1:25" x14ac:dyDescent="0.3">
      <c r="A1483" s="2">
        <v>45588</v>
      </c>
      <c r="B1483" t="s">
        <v>21</v>
      </c>
      <c r="C1483" s="4">
        <v>91.3</v>
      </c>
      <c r="D1483" s="4">
        <v>87.9</v>
      </c>
      <c r="E1483" s="4">
        <v>37.4</v>
      </c>
      <c r="F1483" s="4">
        <v>13.06</v>
      </c>
      <c r="G1483" s="4">
        <v>124.5</v>
      </c>
      <c r="H1483" s="4">
        <v>2.25</v>
      </c>
      <c r="I1483" s="4">
        <v>33.9</v>
      </c>
      <c r="J1483" s="4">
        <v>56.5</v>
      </c>
      <c r="K1483" s="4">
        <v>1.78</v>
      </c>
      <c r="L1483" s="4">
        <v>152.16666666666671</v>
      </c>
      <c r="M1483" s="4">
        <v>87.9</v>
      </c>
      <c r="N1483" s="4">
        <v>46.75</v>
      </c>
      <c r="O1483" s="4">
        <v>32.65</v>
      </c>
      <c r="P1483" s="4">
        <v>311.25</v>
      </c>
      <c r="Q1483" s="4">
        <v>112.5</v>
      </c>
      <c r="R1483" s="4">
        <v>311</v>
      </c>
      <c r="S1483" s="4" t="str" cm="1">
        <f t="array" ref="S1483">_xlfn.IFS($R1483&lt;=50,"Good",$R1483&lt;=100,"Moderate",$R1483&lt;=200,"Poor",$R1483&lt;=300,"Very Poor",$R1483&lt;=500,"Hazardous")</f>
        <v>Hazardous</v>
      </c>
      <c r="T1483" t="s">
        <v>27</v>
      </c>
      <c r="X1483" s="2"/>
      <c r="Y1483" s="2"/>
    </row>
    <row r="1484" spans="1:25" x14ac:dyDescent="0.3">
      <c r="A1484" s="2">
        <v>45588</v>
      </c>
      <c r="B1484" t="s">
        <v>22</v>
      </c>
      <c r="C1484" s="4">
        <v>34.700000000000003</v>
      </c>
      <c r="D1484" s="4">
        <v>86.2</v>
      </c>
      <c r="E1484" s="4">
        <v>3.7</v>
      </c>
      <c r="F1484" s="4">
        <v>4.16</v>
      </c>
      <c r="G1484" s="4">
        <v>24.7</v>
      </c>
      <c r="H1484" s="4">
        <v>1.04</v>
      </c>
      <c r="I1484" s="4">
        <v>25.9</v>
      </c>
      <c r="J1484" s="4">
        <v>66.5</v>
      </c>
      <c r="K1484" s="4">
        <v>2.48</v>
      </c>
      <c r="L1484" s="4">
        <v>57.833333333333343</v>
      </c>
      <c r="M1484" s="4">
        <v>86.2</v>
      </c>
      <c r="N1484" s="4">
        <v>4.6250000000000009</v>
      </c>
      <c r="O1484" s="4">
        <v>10.4</v>
      </c>
      <c r="P1484" s="4">
        <v>61.75</v>
      </c>
      <c r="Q1484" s="4">
        <v>52.000000000000007</v>
      </c>
      <c r="R1484" s="4">
        <v>86</v>
      </c>
      <c r="S1484" s="4" t="str" cm="1">
        <f t="array" ref="S1484">_xlfn.IFS($R1484&lt;=50,"Good",$R1484&lt;=100,"Moderate",$R1484&lt;=200,"Poor",$R1484&lt;=300,"Very Poor",$R1484&lt;=500,"Hazardous")</f>
        <v>Moderate</v>
      </c>
      <c r="T1484" t="s">
        <v>28</v>
      </c>
      <c r="X1484" s="2"/>
      <c r="Y1484" s="2"/>
    </row>
    <row r="1485" spans="1:25" x14ac:dyDescent="0.3">
      <c r="A1485" s="2">
        <v>45588</v>
      </c>
      <c r="B1485" t="s">
        <v>23</v>
      </c>
      <c r="C1485" s="4">
        <v>42.6</v>
      </c>
      <c r="D1485" s="4">
        <v>5</v>
      </c>
      <c r="E1485" s="4">
        <v>33.5</v>
      </c>
      <c r="F1485" s="4">
        <v>3.14</v>
      </c>
      <c r="G1485" s="4">
        <v>51.7</v>
      </c>
      <c r="H1485" s="4">
        <v>1.75</v>
      </c>
      <c r="I1485" s="4">
        <v>31.6</v>
      </c>
      <c r="J1485" s="4">
        <v>73.599999999999994</v>
      </c>
      <c r="K1485" s="4">
        <v>2.34</v>
      </c>
      <c r="L1485" s="4">
        <v>71.000000000000014</v>
      </c>
      <c r="M1485" s="4">
        <v>5</v>
      </c>
      <c r="N1485" s="4">
        <v>41.875</v>
      </c>
      <c r="O1485" s="4">
        <v>7.8500000000000014</v>
      </c>
      <c r="P1485" s="4">
        <v>129.25</v>
      </c>
      <c r="Q1485" s="4">
        <v>87.5</v>
      </c>
      <c r="R1485" s="4">
        <v>129</v>
      </c>
      <c r="S1485" s="4" t="str" cm="1">
        <f t="array" ref="S1485">_xlfn.IFS($R1485&lt;=50,"Good",$R1485&lt;=100,"Moderate",$R1485&lt;=200,"Poor",$R1485&lt;=300,"Very Poor",$R1485&lt;=500,"Hazardous")</f>
        <v>Poor</v>
      </c>
      <c r="T1485" t="s">
        <v>27</v>
      </c>
      <c r="X1485" s="2"/>
      <c r="Y1485" s="2"/>
    </row>
    <row r="1486" spans="1:25" x14ac:dyDescent="0.3">
      <c r="A1486" s="2">
        <v>45588</v>
      </c>
      <c r="B1486" t="s">
        <v>24</v>
      </c>
      <c r="C1486" s="4">
        <v>48.8</v>
      </c>
      <c r="D1486" s="4">
        <v>82.7</v>
      </c>
      <c r="E1486" s="4">
        <v>16.3</v>
      </c>
      <c r="F1486" s="4">
        <v>14.26</v>
      </c>
      <c r="G1486" s="4">
        <v>39.200000000000003</v>
      </c>
      <c r="H1486" s="4">
        <v>0.5</v>
      </c>
      <c r="I1486" s="4">
        <v>19.2</v>
      </c>
      <c r="J1486" s="4">
        <v>44.4</v>
      </c>
      <c r="K1486" s="4">
        <v>3.05</v>
      </c>
      <c r="L1486" s="4">
        <v>81.333333333333329</v>
      </c>
      <c r="M1486" s="4">
        <v>82.7</v>
      </c>
      <c r="N1486" s="4">
        <v>20.375</v>
      </c>
      <c r="O1486" s="4">
        <v>35.65</v>
      </c>
      <c r="P1486" s="4">
        <v>98</v>
      </c>
      <c r="Q1486" s="4">
        <v>25</v>
      </c>
      <c r="R1486" s="4">
        <v>98</v>
      </c>
      <c r="S1486" s="4" t="str" cm="1">
        <f t="array" ref="S1486">_xlfn.IFS($R1486&lt;=50,"Good",$R1486&lt;=100,"Moderate",$R1486&lt;=200,"Poor",$R1486&lt;=300,"Very Poor",$R1486&lt;=500,"Hazardous")</f>
        <v>Moderate</v>
      </c>
      <c r="T1486" t="s">
        <v>27</v>
      </c>
      <c r="X1486" s="2"/>
      <c r="Y1486" s="2"/>
    </row>
    <row r="1487" spans="1:25" x14ac:dyDescent="0.3">
      <c r="A1487" s="2">
        <v>45589</v>
      </c>
      <c r="B1487" t="s">
        <v>20</v>
      </c>
      <c r="C1487" s="4">
        <v>105.8</v>
      </c>
      <c r="D1487" s="4">
        <v>114</v>
      </c>
      <c r="E1487" s="4">
        <v>2</v>
      </c>
      <c r="F1487" s="4">
        <v>8.11</v>
      </c>
      <c r="G1487" s="4">
        <v>41.5</v>
      </c>
      <c r="H1487" s="4">
        <v>1.22</v>
      </c>
      <c r="I1487" s="4">
        <v>20.6</v>
      </c>
      <c r="J1487" s="4">
        <v>63.9</v>
      </c>
      <c r="K1487" s="4">
        <v>2.58</v>
      </c>
      <c r="L1487" s="4">
        <v>176.33333333333329</v>
      </c>
      <c r="M1487" s="4">
        <v>114</v>
      </c>
      <c r="N1487" s="4">
        <v>2.5</v>
      </c>
      <c r="O1487" s="4">
        <v>20.274999999999999</v>
      </c>
      <c r="P1487" s="4">
        <v>103.75</v>
      </c>
      <c r="Q1487" s="4">
        <v>61</v>
      </c>
      <c r="R1487" s="4">
        <v>176</v>
      </c>
      <c r="S1487" s="4" t="str" cm="1">
        <f t="array" ref="S1487">_xlfn.IFS($R1487&lt;=50,"Good",$R1487&lt;=100,"Moderate",$R1487&lt;=200,"Poor",$R1487&lt;=300,"Very Poor",$R1487&lt;=500,"Hazardous")</f>
        <v>Poor</v>
      </c>
      <c r="T1487" t="s">
        <v>25</v>
      </c>
      <c r="X1487" s="2"/>
      <c r="Y1487" s="2"/>
    </row>
    <row r="1488" spans="1:25" x14ac:dyDescent="0.3">
      <c r="A1488" s="2">
        <v>45589</v>
      </c>
      <c r="B1488" t="s">
        <v>21</v>
      </c>
      <c r="C1488" s="4">
        <v>74.099999999999994</v>
      </c>
      <c r="D1488" s="4">
        <v>180.9</v>
      </c>
      <c r="E1488" s="4">
        <v>45.5</v>
      </c>
      <c r="F1488" s="4">
        <v>6.96</v>
      </c>
      <c r="G1488" s="4">
        <v>93.1</v>
      </c>
      <c r="H1488" s="4">
        <v>1.92</v>
      </c>
      <c r="I1488" s="4">
        <v>30.8</v>
      </c>
      <c r="J1488" s="4">
        <v>82.1</v>
      </c>
      <c r="K1488" s="4">
        <v>3.13</v>
      </c>
      <c r="L1488" s="4">
        <v>123.5</v>
      </c>
      <c r="M1488" s="4">
        <v>180.9</v>
      </c>
      <c r="N1488" s="4">
        <v>56.875</v>
      </c>
      <c r="O1488" s="4">
        <v>17.399999999999999</v>
      </c>
      <c r="P1488" s="4">
        <v>232.75</v>
      </c>
      <c r="Q1488" s="4">
        <v>96</v>
      </c>
      <c r="R1488" s="4">
        <v>233</v>
      </c>
      <c r="S1488" s="4" t="str" cm="1">
        <f t="array" ref="S1488">_xlfn.IFS($R1488&lt;=50,"Good",$R1488&lt;=100,"Moderate",$R1488&lt;=200,"Poor",$R1488&lt;=300,"Very Poor",$R1488&lt;=500,"Hazardous")</f>
        <v>Very Poor</v>
      </c>
      <c r="T1488" t="s">
        <v>27</v>
      </c>
      <c r="X1488" s="2"/>
      <c r="Y1488" s="2"/>
    </row>
    <row r="1489" spans="1:25" x14ac:dyDescent="0.3">
      <c r="A1489" s="2">
        <v>45589</v>
      </c>
      <c r="B1489" t="s">
        <v>22</v>
      </c>
      <c r="C1489" s="4">
        <v>83.5</v>
      </c>
      <c r="D1489" s="4">
        <v>24</v>
      </c>
      <c r="E1489" s="4">
        <v>46.6</v>
      </c>
      <c r="F1489" s="4">
        <v>6.73</v>
      </c>
      <c r="G1489" s="4">
        <v>77.8</v>
      </c>
      <c r="H1489" s="4">
        <v>1.67</v>
      </c>
      <c r="I1489" s="4">
        <v>20.6</v>
      </c>
      <c r="J1489" s="4">
        <v>66.7</v>
      </c>
      <c r="K1489" s="4">
        <v>2.7</v>
      </c>
      <c r="L1489" s="4">
        <v>139.16666666666671</v>
      </c>
      <c r="M1489" s="4">
        <v>24</v>
      </c>
      <c r="N1489" s="4">
        <v>58.25</v>
      </c>
      <c r="O1489" s="4">
        <v>16.824999999999999</v>
      </c>
      <c r="P1489" s="4">
        <v>194.5</v>
      </c>
      <c r="Q1489" s="4">
        <v>83.499999999999986</v>
      </c>
      <c r="R1489" s="4">
        <v>194</v>
      </c>
      <c r="S1489" s="4" t="str" cm="1">
        <f t="array" ref="S1489">_xlfn.IFS($R1489&lt;=50,"Good",$R1489&lt;=100,"Moderate",$R1489&lt;=200,"Poor",$R1489&lt;=300,"Very Poor",$R1489&lt;=500,"Hazardous")</f>
        <v>Poor</v>
      </c>
      <c r="T1489" t="s">
        <v>27</v>
      </c>
      <c r="X1489" s="2"/>
      <c r="Y1489" s="2"/>
    </row>
    <row r="1490" spans="1:25" x14ac:dyDescent="0.3">
      <c r="A1490" s="2">
        <v>45589</v>
      </c>
      <c r="B1490" t="s">
        <v>23</v>
      </c>
      <c r="C1490" s="4">
        <v>73.599999999999994</v>
      </c>
      <c r="D1490" s="4">
        <v>58.9</v>
      </c>
      <c r="E1490" s="4">
        <v>52.2</v>
      </c>
      <c r="F1490" s="4">
        <v>6.86</v>
      </c>
      <c r="G1490" s="4">
        <v>47.1</v>
      </c>
      <c r="H1490" s="4">
        <v>0.77</v>
      </c>
      <c r="I1490" s="4">
        <v>20.9</v>
      </c>
      <c r="J1490" s="4">
        <v>81.099999999999994</v>
      </c>
      <c r="K1490" s="4">
        <v>1.24</v>
      </c>
      <c r="L1490" s="4">
        <v>122.6666666666667</v>
      </c>
      <c r="M1490" s="4">
        <v>58.9</v>
      </c>
      <c r="N1490" s="4">
        <v>65.25</v>
      </c>
      <c r="O1490" s="4">
        <v>17.149999999999999</v>
      </c>
      <c r="P1490" s="4">
        <v>117.75</v>
      </c>
      <c r="Q1490" s="4">
        <v>38.5</v>
      </c>
      <c r="R1490" s="4">
        <v>123</v>
      </c>
      <c r="S1490" s="4" t="str" cm="1">
        <f t="array" ref="S1490">_xlfn.IFS($R1490&lt;=50,"Good",$R1490&lt;=100,"Moderate",$R1490&lt;=200,"Poor",$R1490&lt;=300,"Very Poor",$R1490&lt;=500,"Hazardous")</f>
        <v>Poor</v>
      </c>
      <c r="T1490" t="s">
        <v>25</v>
      </c>
      <c r="X1490" s="2"/>
      <c r="Y1490" s="2"/>
    </row>
    <row r="1491" spans="1:25" x14ac:dyDescent="0.3">
      <c r="A1491" s="2">
        <v>45589</v>
      </c>
      <c r="B1491" t="s">
        <v>24</v>
      </c>
      <c r="C1491" s="4">
        <v>33.700000000000003</v>
      </c>
      <c r="D1491" s="4">
        <v>128.6</v>
      </c>
      <c r="E1491" s="4">
        <v>32.5</v>
      </c>
      <c r="F1491" s="4">
        <v>3.93</v>
      </c>
      <c r="G1491" s="4">
        <v>46.9</v>
      </c>
      <c r="H1491" s="4">
        <v>0.33</v>
      </c>
      <c r="I1491" s="4">
        <v>17.899999999999999</v>
      </c>
      <c r="J1491" s="4">
        <v>97</v>
      </c>
      <c r="K1491" s="4">
        <v>3.55</v>
      </c>
      <c r="L1491" s="4">
        <v>56.166666666666671</v>
      </c>
      <c r="M1491" s="4">
        <v>128.6</v>
      </c>
      <c r="N1491" s="4">
        <v>40.625</v>
      </c>
      <c r="O1491" s="4">
        <v>9.8250000000000011</v>
      </c>
      <c r="P1491" s="4">
        <v>117.25</v>
      </c>
      <c r="Q1491" s="4">
        <v>16.5</v>
      </c>
      <c r="R1491" s="4">
        <v>129</v>
      </c>
      <c r="S1491" s="4" t="str" cm="1">
        <f t="array" ref="S1491">_xlfn.IFS($R1491&lt;=50,"Good",$R1491&lt;=100,"Moderate",$R1491&lt;=200,"Poor",$R1491&lt;=300,"Very Poor",$R1491&lt;=500,"Hazardous")</f>
        <v>Poor</v>
      </c>
      <c r="T1491" t="s">
        <v>28</v>
      </c>
      <c r="X1491" s="2"/>
      <c r="Y1491" s="2"/>
    </row>
    <row r="1492" spans="1:25" x14ac:dyDescent="0.3">
      <c r="A1492" s="2">
        <v>45590</v>
      </c>
      <c r="B1492" t="s">
        <v>20</v>
      </c>
      <c r="C1492" s="4">
        <v>43.2</v>
      </c>
      <c r="D1492" s="4">
        <v>166.9</v>
      </c>
      <c r="E1492" s="4">
        <v>64.8</v>
      </c>
      <c r="F1492" s="4">
        <v>14.92</v>
      </c>
      <c r="G1492" s="4">
        <v>42.3</v>
      </c>
      <c r="H1492" s="4">
        <v>2.0499999999999998</v>
      </c>
      <c r="I1492" s="4">
        <v>10.7</v>
      </c>
      <c r="J1492" s="4">
        <v>41</v>
      </c>
      <c r="K1492" s="4">
        <v>2.7</v>
      </c>
      <c r="L1492" s="4">
        <v>72.000000000000014</v>
      </c>
      <c r="M1492" s="4">
        <v>166.9</v>
      </c>
      <c r="N1492" s="4">
        <v>81</v>
      </c>
      <c r="O1492" s="4">
        <v>37.299999999999997</v>
      </c>
      <c r="P1492" s="4">
        <v>105.75</v>
      </c>
      <c r="Q1492" s="4">
        <v>102.5</v>
      </c>
      <c r="R1492" s="4">
        <v>167</v>
      </c>
      <c r="S1492" s="4" t="str" cm="1">
        <f t="array" ref="S1492">_xlfn.IFS($R1492&lt;=50,"Good",$R1492&lt;=100,"Moderate",$R1492&lt;=200,"Poor",$R1492&lt;=300,"Very Poor",$R1492&lt;=500,"Hazardous")</f>
        <v>Poor</v>
      </c>
      <c r="T1492" t="s">
        <v>28</v>
      </c>
      <c r="X1492" s="2"/>
      <c r="Y1492" s="2"/>
    </row>
    <row r="1493" spans="1:25" x14ac:dyDescent="0.3">
      <c r="A1493" s="2">
        <v>45590</v>
      </c>
      <c r="B1493" t="s">
        <v>21</v>
      </c>
      <c r="C1493" s="4">
        <v>87.4</v>
      </c>
      <c r="D1493" s="4">
        <v>81.599999999999994</v>
      </c>
      <c r="E1493" s="4">
        <v>62.7</v>
      </c>
      <c r="F1493" s="4">
        <v>6.1</v>
      </c>
      <c r="G1493" s="4">
        <v>41.3</v>
      </c>
      <c r="H1493" s="4">
        <v>2.27</v>
      </c>
      <c r="I1493" s="4">
        <v>31.4</v>
      </c>
      <c r="J1493" s="4">
        <v>42.1</v>
      </c>
      <c r="K1493" s="4">
        <v>1.23</v>
      </c>
      <c r="L1493" s="4">
        <v>145.66666666666671</v>
      </c>
      <c r="M1493" s="4">
        <v>81.599999999999994</v>
      </c>
      <c r="N1493" s="4">
        <v>78.375</v>
      </c>
      <c r="O1493" s="4">
        <v>15.25</v>
      </c>
      <c r="P1493" s="4">
        <v>103.25</v>
      </c>
      <c r="Q1493" s="4">
        <v>113.5</v>
      </c>
      <c r="R1493" s="4">
        <v>146</v>
      </c>
      <c r="S1493" s="4" t="str" cm="1">
        <f t="array" ref="S1493">_xlfn.IFS($R1493&lt;=50,"Good",$R1493&lt;=100,"Moderate",$R1493&lt;=200,"Poor",$R1493&lt;=300,"Very Poor",$R1493&lt;=500,"Hazardous")</f>
        <v>Poor</v>
      </c>
      <c r="T1493" t="s">
        <v>25</v>
      </c>
      <c r="X1493" s="2"/>
      <c r="Y1493" s="2"/>
    </row>
    <row r="1494" spans="1:25" x14ac:dyDescent="0.3">
      <c r="A1494" s="2">
        <v>45590</v>
      </c>
      <c r="B1494" t="s">
        <v>22</v>
      </c>
      <c r="C1494" s="4">
        <v>45.3</v>
      </c>
      <c r="D1494" s="4">
        <v>112.5</v>
      </c>
      <c r="E1494" s="4">
        <v>30.2</v>
      </c>
      <c r="F1494" s="4">
        <v>12.54</v>
      </c>
      <c r="G1494" s="4">
        <v>46.3</v>
      </c>
      <c r="H1494" s="4">
        <v>1.37</v>
      </c>
      <c r="I1494" s="4">
        <v>16.100000000000001</v>
      </c>
      <c r="J1494" s="4">
        <v>81</v>
      </c>
      <c r="K1494" s="4">
        <v>0.2</v>
      </c>
      <c r="L1494" s="4">
        <v>75.5</v>
      </c>
      <c r="M1494" s="4">
        <v>112.5</v>
      </c>
      <c r="N1494" s="4">
        <v>37.75</v>
      </c>
      <c r="O1494" s="4">
        <v>31.349999999999991</v>
      </c>
      <c r="P1494" s="4">
        <v>115.75</v>
      </c>
      <c r="Q1494" s="4">
        <v>68.5</v>
      </c>
      <c r="R1494" s="4">
        <v>116</v>
      </c>
      <c r="S1494" s="4" t="str" cm="1">
        <f t="array" ref="S1494">_xlfn.IFS($R1494&lt;=50,"Good",$R1494&lt;=100,"Moderate",$R1494&lt;=200,"Poor",$R1494&lt;=300,"Very Poor",$R1494&lt;=500,"Hazardous")</f>
        <v>Poor</v>
      </c>
      <c r="T1494" t="s">
        <v>27</v>
      </c>
      <c r="X1494" s="2"/>
      <c r="Y1494" s="2"/>
    </row>
    <row r="1495" spans="1:25" x14ac:dyDescent="0.3">
      <c r="A1495" s="2">
        <v>45590</v>
      </c>
      <c r="B1495" t="s">
        <v>23</v>
      </c>
      <c r="C1495" s="4">
        <v>85</v>
      </c>
      <c r="D1495" s="4">
        <v>176.1</v>
      </c>
      <c r="E1495" s="4">
        <v>36.4</v>
      </c>
      <c r="F1495" s="4">
        <v>14.36</v>
      </c>
      <c r="G1495" s="4">
        <v>38.4</v>
      </c>
      <c r="H1495" s="4">
        <v>1.24</v>
      </c>
      <c r="I1495" s="4">
        <v>27.4</v>
      </c>
      <c r="J1495" s="4">
        <v>100</v>
      </c>
      <c r="K1495" s="4">
        <v>4.1100000000000003</v>
      </c>
      <c r="L1495" s="4">
        <v>141.66666666666671</v>
      </c>
      <c r="M1495" s="4">
        <v>176.1</v>
      </c>
      <c r="N1495" s="4">
        <v>45.5</v>
      </c>
      <c r="O1495" s="4">
        <v>35.9</v>
      </c>
      <c r="P1495" s="4">
        <v>96</v>
      </c>
      <c r="Q1495" s="4">
        <v>62</v>
      </c>
      <c r="R1495" s="4">
        <v>176</v>
      </c>
      <c r="S1495" s="4" t="str" cm="1">
        <f t="array" ref="S1495">_xlfn.IFS($R1495&lt;=50,"Good",$R1495&lt;=100,"Moderate",$R1495&lt;=200,"Poor",$R1495&lt;=300,"Very Poor",$R1495&lt;=500,"Hazardous")</f>
        <v>Poor</v>
      </c>
      <c r="T1495" t="s">
        <v>28</v>
      </c>
      <c r="X1495" s="2"/>
      <c r="Y1495" s="2"/>
    </row>
    <row r="1496" spans="1:25" x14ac:dyDescent="0.3">
      <c r="A1496" s="2">
        <v>45590</v>
      </c>
      <c r="B1496" t="s">
        <v>24</v>
      </c>
      <c r="C1496" s="4">
        <v>89.1</v>
      </c>
      <c r="D1496" s="4">
        <v>71.8</v>
      </c>
      <c r="E1496" s="4">
        <v>52.7</v>
      </c>
      <c r="F1496" s="4">
        <v>4.33</v>
      </c>
      <c r="G1496" s="4">
        <v>66.599999999999994</v>
      </c>
      <c r="H1496" s="4">
        <v>1.41</v>
      </c>
      <c r="I1496" s="4">
        <v>17.100000000000001</v>
      </c>
      <c r="J1496" s="4">
        <v>61.5</v>
      </c>
      <c r="K1496" s="4">
        <v>1.98</v>
      </c>
      <c r="L1496" s="4">
        <v>148.5</v>
      </c>
      <c r="M1496" s="4">
        <v>71.8</v>
      </c>
      <c r="N1496" s="4">
        <v>65.875</v>
      </c>
      <c r="O1496" s="4">
        <v>10.824999999999999</v>
      </c>
      <c r="P1496" s="4">
        <v>166.5</v>
      </c>
      <c r="Q1496" s="4">
        <v>70.5</v>
      </c>
      <c r="R1496" s="4">
        <v>166</v>
      </c>
      <c r="S1496" s="4" t="str" cm="1">
        <f t="array" ref="S1496">_xlfn.IFS($R1496&lt;=50,"Good",$R1496&lt;=100,"Moderate",$R1496&lt;=200,"Poor",$R1496&lt;=300,"Very Poor",$R1496&lt;=500,"Hazardous")</f>
        <v>Poor</v>
      </c>
      <c r="T1496" t="s">
        <v>27</v>
      </c>
      <c r="X1496" s="2"/>
      <c r="Y1496" s="2"/>
    </row>
    <row r="1497" spans="1:25" x14ac:dyDescent="0.3">
      <c r="A1497" s="2">
        <v>45591</v>
      </c>
      <c r="B1497" t="s">
        <v>20</v>
      </c>
      <c r="C1497" s="4">
        <v>74.2</v>
      </c>
      <c r="D1497" s="4">
        <v>78.7</v>
      </c>
      <c r="E1497" s="4">
        <v>52.4</v>
      </c>
      <c r="F1497" s="4">
        <v>13.52</v>
      </c>
      <c r="G1497" s="4">
        <v>44.5</v>
      </c>
      <c r="H1497" s="4">
        <v>1.1100000000000001</v>
      </c>
      <c r="I1497" s="4">
        <v>26.4</v>
      </c>
      <c r="J1497" s="4">
        <v>72.5</v>
      </c>
      <c r="K1497" s="4">
        <v>1.17</v>
      </c>
      <c r="L1497" s="4">
        <v>123.6666666666667</v>
      </c>
      <c r="M1497" s="4">
        <v>78.7</v>
      </c>
      <c r="N1497" s="4">
        <v>65.5</v>
      </c>
      <c r="O1497" s="4">
        <v>33.799999999999997</v>
      </c>
      <c r="P1497" s="4">
        <v>111.25</v>
      </c>
      <c r="Q1497" s="4">
        <v>55.500000000000007</v>
      </c>
      <c r="R1497" s="4">
        <v>124</v>
      </c>
      <c r="S1497" s="4" t="str" cm="1">
        <f t="array" ref="S1497">_xlfn.IFS($R1497&lt;=50,"Good",$R1497&lt;=100,"Moderate",$R1497&lt;=200,"Poor",$R1497&lt;=300,"Very Poor",$R1497&lt;=500,"Hazardous")</f>
        <v>Poor</v>
      </c>
      <c r="T1497" t="s">
        <v>25</v>
      </c>
      <c r="X1497" s="2"/>
      <c r="Y1497" s="2"/>
    </row>
    <row r="1498" spans="1:25" x14ac:dyDescent="0.3">
      <c r="A1498" s="2">
        <v>45591</v>
      </c>
      <c r="B1498" t="s">
        <v>21</v>
      </c>
      <c r="C1498" s="4">
        <v>84.8</v>
      </c>
      <c r="D1498" s="4">
        <v>248.8</v>
      </c>
      <c r="E1498" s="4">
        <v>70.599999999999994</v>
      </c>
      <c r="F1498" s="4">
        <v>10.36</v>
      </c>
      <c r="G1498" s="4">
        <v>70</v>
      </c>
      <c r="H1498" s="4">
        <v>1.84</v>
      </c>
      <c r="I1498" s="4">
        <v>30.3</v>
      </c>
      <c r="J1498" s="4">
        <v>23.6</v>
      </c>
      <c r="K1498" s="4">
        <v>0.64</v>
      </c>
      <c r="L1498" s="4">
        <v>141.33333333333329</v>
      </c>
      <c r="M1498" s="4">
        <v>248.8</v>
      </c>
      <c r="N1498" s="4">
        <v>88.25</v>
      </c>
      <c r="O1498" s="4">
        <v>25.9</v>
      </c>
      <c r="P1498" s="4">
        <v>175</v>
      </c>
      <c r="Q1498" s="4">
        <v>92</v>
      </c>
      <c r="R1498" s="4">
        <v>249</v>
      </c>
      <c r="S1498" s="4" t="str" cm="1">
        <f t="array" ref="S1498">_xlfn.IFS($R1498&lt;=50,"Good",$R1498&lt;=100,"Moderate",$R1498&lt;=200,"Poor",$R1498&lt;=300,"Very Poor",$R1498&lt;=500,"Hazardous")</f>
        <v>Very Poor</v>
      </c>
      <c r="T1498" t="s">
        <v>28</v>
      </c>
      <c r="X1498" s="2"/>
      <c r="Y1498" s="2"/>
    </row>
    <row r="1499" spans="1:25" x14ac:dyDescent="0.3">
      <c r="A1499" s="2">
        <v>45591</v>
      </c>
      <c r="B1499" t="s">
        <v>22</v>
      </c>
      <c r="C1499" s="4">
        <v>85.6</v>
      </c>
      <c r="D1499" s="4">
        <v>28.2</v>
      </c>
      <c r="E1499" s="4">
        <v>50.4</v>
      </c>
      <c r="F1499" s="4">
        <v>5.93</v>
      </c>
      <c r="G1499" s="4">
        <v>14.3</v>
      </c>
      <c r="H1499" s="4">
        <v>1.34</v>
      </c>
      <c r="I1499" s="4">
        <v>26.4</v>
      </c>
      <c r="J1499" s="4">
        <v>98</v>
      </c>
      <c r="K1499" s="4">
        <v>1.75</v>
      </c>
      <c r="L1499" s="4">
        <v>142.66666666666671</v>
      </c>
      <c r="M1499" s="4">
        <v>28.2</v>
      </c>
      <c r="N1499" s="4">
        <v>63</v>
      </c>
      <c r="O1499" s="4">
        <v>14.824999999999999</v>
      </c>
      <c r="P1499" s="4">
        <v>35.750000000000007</v>
      </c>
      <c r="Q1499" s="4">
        <v>67</v>
      </c>
      <c r="R1499" s="4">
        <v>143</v>
      </c>
      <c r="S1499" s="4" t="str" cm="1">
        <f t="array" ref="S1499">_xlfn.IFS($R1499&lt;=50,"Good",$R1499&lt;=100,"Moderate",$R1499&lt;=200,"Poor",$R1499&lt;=300,"Very Poor",$R1499&lt;=500,"Hazardous")</f>
        <v>Poor</v>
      </c>
      <c r="T1499" t="s">
        <v>25</v>
      </c>
      <c r="X1499" s="2"/>
      <c r="Y1499" s="2"/>
    </row>
    <row r="1500" spans="1:25" x14ac:dyDescent="0.3">
      <c r="A1500" s="2">
        <v>45591</v>
      </c>
      <c r="B1500" t="s">
        <v>23</v>
      </c>
      <c r="C1500" s="4">
        <v>103.2</v>
      </c>
      <c r="D1500" s="4">
        <v>141.1</v>
      </c>
      <c r="E1500" s="4">
        <v>31.8</v>
      </c>
      <c r="F1500" s="4">
        <v>12</v>
      </c>
      <c r="G1500" s="4">
        <v>54.1</v>
      </c>
      <c r="H1500" s="4">
        <v>1.22</v>
      </c>
      <c r="I1500" s="4">
        <v>26.9</v>
      </c>
      <c r="J1500" s="4">
        <v>49.3</v>
      </c>
      <c r="K1500" s="4">
        <v>1.51</v>
      </c>
      <c r="L1500" s="4">
        <v>172</v>
      </c>
      <c r="M1500" s="4">
        <v>141.1</v>
      </c>
      <c r="N1500" s="4">
        <v>39.75</v>
      </c>
      <c r="O1500" s="4">
        <v>30</v>
      </c>
      <c r="P1500" s="4">
        <v>135.25</v>
      </c>
      <c r="Q1500" s="4">
        <v>61</v>
      </c>
      <c r="R1500" s="4">
        <v>172</v>
      </c>
      <c r="S1500" s="4" t="str" cm="1">
        <f t="array" ref="S1500">_xlfn.IFS($R1500&lt;=50,"Good",$R1500&lt;=100,"Moderate",$R1500&lt;=200,"Poor",$R1500&lt;=300,"Very Poor",$R1500&lt;=500,"Hazardous")</f>
        <v>Poor</v>
      </c>
      <c r="T1500" t="s">
        <v>25</v>
      </c>
      <c r="X1500" s="2"/>
      <c r="Y1500" s="2"/>
    </row>
    <row r="1501" spans="1:25" x14ac:dyDescent="0.3">
      <c r="A1501" s="2">
        <v>45591</v>
      </c>
      <c r="B1501" t="s">
        <v>24</v>
      </c>
      <c r="C1501" s="4">
        <v>91.1</v>
      </c>
      <c r="D1501" s="4">
        <v>117.2</v>
      </c>
      <c r="E1501" s="4">
        <v>47.7</v>
      </c>
      <c r="F1501" s="4">
        <v>10.34</v>
      </c>
      <c r="G1501" s="4">
        <v>51.3</v>
      </c>
      <c r="H1501" s="4">
        <v>0.38</v>
      </c>
      <c r="I1501" s="4">
        <v>34</v>
      </c>
      <c r="J1501" s="4">
        <v>62.2</v>
      </c>
      <c r="K1501" s="4">
        <v>2.76</v>
      </c>
      <c r="L1501" s="4">
        <v>151.83333333333329</v>
      </c>
      <c r="M1501" s="4">
        <v>117.2</v>
      </c>
      <c r="N1501" s="4">
        <v>59.625000000000007</v>
      </c>
      <c r="O1501" s="4">
        <v>25.85</v>
      </c>
      <c r="P1501" s="4">
        <v>128.25</v>
      </c>
      <c r="Q1501" s="4">
        <v>19</v>
      </c>
      <c r="R1501" s="4">
        <v>152</v>
      </c>
      <c r="S1501" s="4" t="str" cm="1">
        <f t="array" ref="S1501">_xlfn.IFS($R1501&lt;=50,"Good",$R1501&lt;=100,"Moderate",$R1501&lt;=200,"Poor",$R1501&lt;=300,"Very Poor",$R1501&lt;=500,"Hazardous")</f>
        <v>Poor</v>
      </c>
      <c r="T1501" t="s">
        <v>25</v>
      </c>
      <c r="X1501" s="2"/>
      <c r="Y1501" s="2"/>
    </row>
    <row r="1502" spans="1:25" x14ac:dyDescent="0.3">
      <c r="A1502" s="2">
        <v>45592</v>
      </c>
      <c r="B1502" t="s">
        <v>20</v>
      </c>
      <c r="C1502" s="4">
        <v>83.9</v>
      </c>
      <c r="D1502" s="4">
        <v>154.30000000000001</v>
      </c>
      <c r="E1502" s="4">
        <v>69.400000000000006</v>
      </c>
      <c r="F1502" s="4">
        <v>12.29</v>
      </c>
      <c r="G1502" s="4">
        <v>66.599999999999994</v>
      </c>
      <c r="H1502" s="4">
        <v>2.31</v>
      </c>
      <c r="I1502" s="4">
        <v>31.2</v>
      </c>
      <c r="J1502" s="4">
        <v>57.1</v>
      </c>
      <c r="K1502" s="4">
        <v>1.1499999999999999</v>
      </c>
      <c r="L1502" s="4">
        <v>139.83333333333329</v>
      </c>
      <c r="M1502" s="4">
        <v>154.30000000000001</v>
      </c>
      <c r="N1502" s="4">
        <v>86.750000000000014</v>
      </c>
      <c r="O1502" s="4">
        <v>30.725000000000001</v>
      </c>
      <c r="P1502" s="4">
        <v>166.5</v>
      </c>
      <c r="Q1502" s="4">
        <v>115.5</v>
      </c>
      <c r="R1502" s="4">
        <v>166</v>
      </c>
      <c r="S1502" s="4" t="str" cm="1">
        <f t="array" ref="S1502">_xlfn.IFS($R1502&lt;=50,"Good",$R1502&lt;=100,"Moderate",$R1502&lt;=200,"Poor",$R1502&lt;=300,"Very Poor",$R1502&lt;=500,"Hazardous")</f>
        <v>Poor</v>
      </c>
      <c r="T1502" t="s">
        <v>27</v>
      </c>
      <c r="X1502" s="2"/>
      <c r="Y1502" s="2"/>
    </row>
    <row r="1503" spans="1:25" x14ac:dyDescent="0.3">
      <c r="A1503" s="2">
        <v>45592</v>
      </c>
      <c r="B1503" t="s">
        <v>21</v>
      </c>
      <c r="C1503" s="4">
        <v>137.5</v>
      </c>
      <c r="D1503" s="4">
        <v>132.19999999999999</v>
      </c>
      <c r="E1503" s="4">
        <v>44.4</v>
      </c>
      <c r="F1503" s="4">
        <v>0.5</v>
      </c>
      <c r="G1503" s="4">
        <v>60.6</v>
      </c>
      <c r="H1503" s="4">
        <v>1.61</v>
      </c>
      <c r="I1503" s="4">
        <v>14.4</v>
      </c>
      <c r="J1503" s="4">
        <v>68.2</v>
      </c>
      <c r="K1503" s="4">
        <v>1.9</v>
      </c>
      <c r="L1503" s="4">
        <v>229.16666666666671</v>
      </c>
      <c r="M1503" s="4">
        <v>132.19999999999999</v>
      </c>
      <c r="N1503" s="4">
        <v>55.5</v>
      </c>
      <c r="O1503" s="4">
        <v>1.25</v>
      </c>
      <c r="P1503" s="4">
        <v>151.5</v>
      </c>
      <c r="Q1503" s="4">
        <v>80.5</v>
      </c>
      <c r="R1503" s="4">
        <v>229</v>
      </c>
      <c r="S1503" s="4" t="str" cm="1">
        <f t="array" ref="S1503">_xlfn.IFS($R1503&lt;=50,"Good",$R1503&lt;=100,"Moderate",$R1503&lt;=200,"Poor",$R1503&lt;=300,"Very Poor",$R1503&lt;=500,"Hazardous")</f>
        <v>Very Poor</v>
      </c>
      <c r="T1503" t="s">
        <v>25</v>
      </c>
      <c r="X1503" s="2"/>
      <c r="Y1503" s="2"/>
    </row>
    <row r="1504" spans="1:25" x14ac:dyDescent="0.3">
      <c r="A1504" s="2">
        <v>45592</v>
      </c>
      <c r="B1504" t="s">
        <v>22</v>
      </c>
      <c r="C1504" s="4">
        <v>133.69999999999999</v>
      </c>
      <c r="D1504" s="4">
        <v>81.5</v>
      </c>
      <c r="E1504" s="4">
        <v>34.5</v>
      </c>
      <c r="F1504" s="4">
        <v>3.44</v>
      </c>
      <c r="G1504" s="4">
        <v>68.3</v>
      </c>
      <c r="H1504" s="4">
        <v>0.93</v>
      </c>
      <c r="I1504" s="4">
        <v>19.899999999999999</v>
      </c>
      <c r="J1504" s="4">
        <v>72.7</v>
      </c>
      <c r="K1504" s="4">
        <v>0.84</v>
      </c>
      <c r="L1504" s="4">
        <v>222.83333333333329</v>
      </c>
      <c r="M1504" s="4">
        <v>81.5</v>
      </c>
      <c r="N1504" s="4">
        <v>43.125</v>
      </c>
      <c r="O1504" s="4">
        <v>8.6</v>
      </c>
      <c r="P1504" s="4">
        <v>170.75</v>
      </c>
      <c r="Q1504" s="4">
        <v>46.5</v>
      </c>
      <c r="R1504" s="4">
        <v>223</v>
      </c>
      <c r="S1504" s="4" t="str" cm="1">
        <f t="array" ref="S1504">_xlfn.IFS($R1504&lt;=50,"Good",$R1504&lt;=100,"Moderate",$R1504&lt;=200,"Poor",$R1504&lt;=300,"Very Poor",$R1504&lt;=500,"Hazardous")</f>
        <v>Very Poor</v>
      </c>
      <c r="T1504" t="s">
        <v>25</v>
      </c>
      <c r="X1504" s="2"/>
      <c r="Y1504" s="2"/>
    </row>
    <row r="1505" spans="1:25" x14ac:dyDescent="0.3">
      <c r="A1505" s="2">
        <v>45592</v>
      </c>
      <c r="B1505" t="s">
        <v>23</v>
      </c>
      <c r="C1505" s="4">
        <v>78.8</v>
      </c>
      <c r="D1505" s="4">
        <v>226.9</v>
      </c>
      <c r="E1505" s="4">
        <v>56.3</v>
      </c>
      <c r="F1505" s="4">
        <v>11.19</v>
      </c>
      <c r="G1505" s="4">
        <v>61.8</v>
      </c>
      <c r="H1505" s="4">
        <v>2.23</v>
      </c>
      <c r="I1505" s="4">
        <v>33.5</v>
      </c>
      <c r="J1505" s="4">
        <v>67.900000000000006</v>
      </c>
      <c r="K1505" s="4">
        <v>3.58</v>
      </c>
      <c r="L1505" s="4">
        <v>131.33333333333329</v>
      </c>
      <c r="M1505" s="4">
        <v>226.9</v>
      </c>
      <c r="N1505" s="4">
        <v>70.375</v>
      </c>
      <c r="O1505" s="4">
        <v>27.975000000000001</v>
      </c>
      <c r="P1505" s="4">
        <v>154.5</v>
      </c>
      <c r="Q1505" s="4">
        <v>111.5</v>
      </c>
      <c r="R1505" s="4">
        <v>227</v>
      </c>
      <c r="S1505" s="4" t="str" cm="1">
        <f t="array" ref="S1505">_xlfn.IFS($R1505&lt;=50,"Good",$R1505&lt;=100,"Moderate",$R1505&lt;=200,"Poor",$R1505&lt;=300,"Very Poor",$R1505&lt;=500,"Hazardous")</f>
        <v>Very Poor</v>
      </c>
      <c r="T1505" t="s">
        <v>28</v>
      </c>
      <c r="X1505" s="2"/>
      <c r="Y1505" s="2"/>
    </row>
    <row r="1506" spans="1:25" x14ac:dyDescent="0.3">
      <c r="A1506" s="2">
        <v>45592</v>
      </c>
      <c r="B1506" t="s">
        <v>24</v>
      </c>
      <c r="C1506" s="4">
        <v>36.799999999999997</v>
      </c>
      <c r="D1506" s="4">
        <v>183.2</v>
      </c>
      <c r="E1506" s="4">
        <v>27.4</v>
      </c>
      <c r="F1506" s="4">
        <v>6.78</v>
      </c>
      <c r="G1506" s="4">
        <v>1</v>
      </c>
      <c r="H1506" s="4">
        <v>1.58</v>
      </c>
      <c r="I1506" s="4">
        <v>20.5</v>
      </c>
      <c r="J1506" s="4">
        <v>80</v>
      </c>
      <c r="K1506" s="4">
        <v>3.47</v>
      </c>
      <c r="L1506" s="4">
        <v>61.333333333333329</v>
      </c>
      <c r="M1506" s="4">
        <v>183.2</v>
      </c>
      <c r="N1506" s="4">
        <v>34.249999999999993</v>
      </c>
      <c r="O1506" s="4">
        <v>16.95</v>
      </c>
      <c r="P1506" s="4">
        <v>2.5</v>
      </c>
      <c r="Q1506" s="4">
        <v>79</v>
      </c>
      <c r="R1506" s="4">
        <v>183</v>
      </c>
      <c r="S1506" s="4" t="str" cm="1">
        <f t="array" ref="S1506">_xlfn.IFS($R1506&lt;=50,"Good",$R1506&lt;=100,"Moderate",$R1506&lt;=200,"Poor",$R1506&lt;=300,"Very Poor",$R1506&lt;=500,"Hazardous")</f>
        <v>Poor</v>
      </c>
      <c r="T1506" t="s">
        <v>28</v>
      </c>
      <c r="X1506" s="2"/>
      <c r="Y1506" s="2"/>
    </row>
    <row r="1507" spans="1:25" x14ac:dyDescent="0.3">
      <c r="A1507" s="2">
        <v>45593</v>
      </c>
      <c r="B1507" t="s">
        <v>20</v>
      </c>
      <c r="C1507" s="4">
        <v>107.8</v>
      </c>
      <c r="D1507" s="4">
        <v>63.2</v>
      </c>
      <c r="E1507" s="4">
        <v>75.599999999999994</v>
      </c>
      <c r="F1507" s="4">
        <v>21.31</v>
      </c>
      <c r="G1507" s="4">
        <v>68</v>
      </c>
      <c r="H1507" s="4">
        <v>1.93</v>
      </c>
      <c r="I1507" s="4">
        <v>26.2</v>
      </c>
      <c r="J1507" s="4">
        <v>50.6</v>
      </c>
      <c r="K1507" s="4">
        <v>3.41</v>
      </c>
      <c r="L1507" s="4">
        <v>179.66666666666671</v>
      </c>
      <c r="M1507" s="4">
        <v>63.2</v>
      </c>
      <c r="N1507" s="4">
        <v>94.499999999999986</v>
      </c>
      <c r="O1507" s="4">
        <v>53.274999999999999</v>
      </c>
      <c r="P1507" s="4">
        <v>170</v>
      </c>
      <c r="Q1507" s="4">
        <v>96.5</v>
      </c>
      <c r="R1507" s="4">
        <v>180</v>
      </c>
      <c r="S1507" s="4" t="str" cm="1">
        <f t="array" ref="S1507">_xlfn.IFS($R1507&lt;=50,"Good",$R1507&lt;=100,"Moderate",$R1507&lt;=200,"Poor",$R1507&lt;=300,"Very Poor",$R1507&lt;=500,"Hazardous")</f>
        <v>Poor</v>
      </c>
      <c r="T1507" t="s">
        <v>25</v>
      </c>
      <c r="X1507" s="2"/>
      <c r="Y1507" s="2"/>
    </row>
    <row r="1508" spans="1:25" x14ac:dyDescent="0.3">
      <c r="A1508" s="2">
        <v>45593</v>
      </c>
      <c r="B1508" t="s">
        <v>21</v>
      </c>
      <c r="C1508" s="4">
        <v>18.5</v>
      </c>
      <c r="D1508" s="4">
        <v>118.7</v>
      </c>
      <c r="E1508" s="4">
        <v>12</v>
      </c>
      <c r="F1508" s="4">
        <v>5.6</v>
      </c>
      <c r="G1508" s="4">
        <v>70.099999999999994</v>
      </c>
      <c r="H1508" s="4">
        <v>1.88</v>
      </c>
      <c r="I1508" s="4">
        <v>25.4</v>
      </c>
      <c r="J1508" s="4">
        <v>63.1</v>
      </c>
      <c r="K1508" s="4">
        <v>0.24</v>
      </c>
      <c r="L1508" s="4">
        <v>30.833333333333339</v>
      </c>
      <c r="M1508" s="4">
        <v>118.7</v>
      </c>
      <c r="N1508" s="4">
        <v>15</v>
      </c>
      <c r="O1508" s="4">
        <v>14</v>
      </c>
      <c r="P1508" s="4">
        <v>175.25</v>
      </c>
      <c r="Q1508" s="4">
        <v>94</v>
      </c>
      <c r="R1508" s="4">
        <v>175</v>
      </c>
      <c r="S1508" s="4" t="str" cm="1">
        <f t="array" ref="S1508">_xlfn.IFS($R1508&lt;=50,"Good",$R1508&lt;=100,"Moderate",$R1508&lt;=200,"Poor",$R1508&lt;=300,"Very Poor",$R1508&lt;=500,"Hazardous")</f>
        <v>Poor</v>
      </c>
      <c r="T1508" t="s">
        <v>27</v>
      </c>
      <c r="X1508" s="2"/>
      <c r="Y1508" s="2"/>
    </row>
    <row r="1509" spans="1:25" x14ac:dyDescent="0.3">
      <c r="A1509" s="2">
        <v>45593</v>
      </c>
      <c r="B1509" t="s">
        <v>22</v>
      </c>
      <c r="C1509" s="4">
        <v>46.4</v>
      </c>
      <c r="D1509" s="4">
        <v>75.2</v>
      </c>
      <c r="E1509" s="4">
        <v>30.2</v>
      </c>
      <c r="F1509" s="4">
        <v>10.45</v>
      </c>
      <c r="G1509" s="4">
        <v>17.600000000000001</v>
      </c>
      <c r="H1509" s="4">
        <v>0.8</v>
      </c>
      <c r="I1509" s="4">
        <v>10.4</v>
      </c>
      <c r="J1509" s="4">
        <v>54.7</v>
      </c>
      <c r="K1509" s="4">
        <v>1.19</v>
      </c>
      <c r="L1509" s="4">
        <v>77.333333333333343</v>
      </c>
      <c r="M1509" s="4">
        <v>75.2</v>
      </c>
      <c r="N1509" s="4">
        <v>37.75</v>
      </c>
      <c r="O1509" s="4">
        <v>26.125</v>
      </c>
      <c r="P1509" s="4">
        <v>44.000000000000007</v>
      </c>
      <c r="Q1509" s="4">
        <v>40</v>
      </c>
      <c r="R1509" s="4">
        <v>77</v>
      </c>
      <c r="S1509" s="4" t="str" cm="1">
        <f t="array" ref="S1509">_xlfn.IFS($R1509&lt;=50,"Good",$R1509&lt;=100,"Moderate",$R1509&lt;=200,"Poor",$R1509&lt;=300,"Very Poor",$R1509&lt;=500,"Hazardous")</f>
        <v>Moderate</v>
      </c>
      <c r="T1509" t="s">
        <v>25</v>
      </c>
      <c r="X1509" s="2"/>
      <c r="Y1509" s="2"/>
    </row>
    <row r="1510" spans="1:25" x14ac:dyDescent="0.3">
      <c r="A1510" s="2">
        <v>45593</v>
      </c>
      <c r="B1510" t="s">
        <v>23</v>
      </c>
      <c r="C1510" s="4">
        <v>62.4</v>
      </c>
      <c r="D1510" s="4">
        <v>62.9</v>
      </c>
      <c r="E1510" s="4">
        <v>47.1</v>
      </c>
      <c r="F1510" s="4">
        <v>7.28</v>
      </c>
      <c r="G1510" s="4">
        <v>81.8</v>
      </c>
      <c r="H1510" s="4">
        <v>1.5</v>
      </c>
      <c r="I1510" s="4">
        <v>12.1</v>
      </c>
      <c r="J1510" s="4">
        <v>37.200000000000003</v>
      </c>
      <c r="K1510" s="4">
        <v>2.57</v>
      </c>
      <c r="L1510" s="4">
        <v>104</v>
      </c>
      <c r="M1510" s="4">
        <v>62.9</v>
      </c>
      <c r="N1510" s="4">
        <v>58.875000000000007</v>
      </c>
      <c r="O1510" s="4">
        <v>18.2</v>
      </c>
      <c r="P1510" s="4">
        <v>204.5</v>
      </c>
      <c r="Q1510" s="4">
        <v>75</v>
      </c>
      <c r="R1510" s="4">
        <v>204</v>
      </c>
      <c r="S1510" s="4" t="str" cm="1">
        <f t="array" ref="S1510">_xlfn.IFS($R1510&lt;=50,"Good",$R1510&lt;=100,"Moderate",$R1510&lt;=200,"Poor",$R1510&lt;=300,"Very Poor",$R1510&lt;=500,"Hazardous")</f>
        <v>Very Poor</v>
      </c>
      <c r="T1510" t="s">
        <v>27</v>
      </c>
      <c r="X1510" s="2"/>
      <c r="Y1510" s="2"/>
    </row>
    <row r="1511" spans="1:25" x14ac:dyDescent="0.3">
      <c r="A1511" s="2">
        <v>45593</v>
      </c>
      <c r="B1511" t="s">
        <v>24</v>
      </c>
      <c r="C1511" s="4">
        <v>35.299999999999997</v>
      </c>
      <c r="D1511" s="4">
        <v>5</v>
      </c>
      <c r="E1511" s="4">
        <v>79.2</v>
      </c>
      <c r="F1511" s="4">
        <v>12.76</v>
      </c>
      <c r="G1511" s="4">
        <v>58.3</v>
      </c>
      <c r="H1511" s="4">
        <v>0.92</v>
      </c>
      <c r="I1511" s="4">
        <v>28</v>
      </c>
      <c r="J1511" s="4">
        <v>47.3</v>
      </c>
      <c r="K1511" s="4">
        <v>3.25</v>
      </c>
      <c r="L1511" s="4">
        <v>58.833333333333329</v>
      </c>
      <c r="M1511" s="4">
        <v>5</v>
      </c>
      <c r="N1511" s="4">
        <v>99</v>
      </c>
      <c r="O1511" s="4">
        <v>31.9</v>
      </c>
      <c r="P1511" s="4">
        <v>145.75</v>
      </c>
      <c r="Q1511" s="4">
        <v>46</v>
      </c>
      <c r="R1511" s="4">
        <v>146</v>
      </c>
      <c r="S1511" s="4" t="str" cm="1">
        <f t="array" ref="S1511">_xlfn.IFS($R1511&lt;=50,"Good",$R1511&lt;=100,"Moderate",$R1511&lt;=200,"Poor",$R1511&lt;=300,"Very Poor",$R1511&lt;=500,"Hazardous")</f>
        <v>Poor</v>
      </c>
      <c r="T1511" t="s">
        <v>27</v>
      </c>
      <c r="X1511" s="2"/>
      <c r="Y1511" s="2"/>
    </row>
    <row r="1512" spans="1:25" x14ac:dyDescent="0.3">
      <c r="A1512" s="2">
        <v>45594</v>
      </c>
      <c r="B1512" t="s">
        <v>20</v>
      </c>
      <c r="C1512" s="4">
        <v>37.200000000000003</v>
      </c>
      <c r="D1512" s="4">
        <v>242.6</v>
      </c>
      <c r="E1512" s="4">
        <v>15.6</v>
      </c>
      <c r="F1512" s="4">
        <v>16.29</v>
      </c>
      <c r="G1512" s="4">
        <v>47.1</v>
      </c>
      <c r="H1512" s="4">
        <v>1.04</v>
      </c>
      <c r="I1512" s="4">
        <v>26.2</v>
      </c>
      <c r="J1512" s="4">
        <v>73.2</v>
      </c>
      <c r="K1512" s="4">
        <v>4.1399999999999997</v>
      </c>
      <c r="L1512" s="4">
        <v>62.000000000000007</v>
      </c>
      <c r="M1512" s="4">
        <v>242.6</v>
      </c>
      <c r="N1512" s="4">
        <v>19.5</v>
      </c>
      <c r="O1512" s="4">
        <v>40.724999999999987</v>
      </c>
      <c r="P1512" s="4">
        <v>117.75</v>
      </c>
      <c r="Q1512" s="4">
        <v>52.000000000000007</v>
      </c>
      <c r="R1512" s="4">
        <v>243</v>
      </c>
      <c r="S1512" s="4" t="str" cm="1">
        <f t="array" ref="S1512">_xlfn.IFS($R1512&lt;=50,"Good",$R1512&lt;=100,"Moderate",$R1512&lt;=200,"Poor",$R1512&lt;=300,"Very Poor",$R1512&lt;=500,"Hazardous")</f>
        <v>Very Poor</v>
      </c>
      <c r="T1512" t="s">
        <v>28</v>
      </c>
      <c r="X1512" s="2"/>
      <c r="Y1512" s="2"/>
    </row>
    <row r="1513" spans="1:25" x14ac:dyDescent="0.3">
      <c r="A1513" s="2">
        <v>45594</v>
      </c>
      <c r="B1513" t="s">
        <v>21</v>
      </c>
      <c r="C1513" s="4">
        <v>86.7</v>
      </c>
      <c r="D1513" s="4">
        <v>83.2</v>
      </c>
      <c r="E1513" s="4">
        <v>57.6</v>
      </c>
      <c r="F1513" s="4">
        <v>21.35</v>
      </c>
      <c r="G1513" s="4">
        <v>92.1</v>
      </c>
      <c r="H1513" s="4">
        <v>2.1800000000000002</v>
      </c>
      <c r="I1513" s="4">
        <v>30.6</v>
      </c>
      <c r="J1513" s="4">
        <v>72.599999999999994</v>
      </c>
      <c r="K1513" s="4">
        <v>3.89</v>
      </c>
      <c r="L1513" s="4">
        <v>144.5</v>
      </c>
      <c r="M1513" s="4">
        <v>83.2</v>
      </c>
      <c r="N1513" s="4">
        <v>72.000000000000014</v>
      </c>
      <c r="O1513" s="4">
        <v>53.375000000000007</v>
      </c>
      <c r="P1513" s="4">
        <v>230.25</v>
      </c>
      <c r="Q1513" s="4">
        <v>109</v>
      </c>
      <c r="R1513" s="4">
        <v>230</v>
      </c>
      <c r="S1513" s="4" t="str" cm="1">
        <f t="array" ref="S1513">_xlfn.IFS($R1513&lt;=50,"Good",$R1513&lt;=100,"Moderate",$R1513&lt;=200,"Poor",$R1513&lt;=300,"Very Poor",$R1513&lt;=500,"Hazardous")</f>
        <v>Very Poor</v>
      </c>
      <c r="T1513" t="s">
        <v>27</v>
      </c>
      <c r="X1513" s="2"/>
      <c r="Y1513" s="2"/>
    </row>
    <row r="1514" spans="1:25" x14ac:dyDescent="0.3">
      <c r="A1514" s="2">
        <v>45594</v>
      </c>
      <c r="B1514" t="s">
        <v>22</v>
      </c>
      <c r="C1514" s="4">
        <v>44</v>
      </c>
      <c r="D1514" s="4">
        <v>36.799999999999997</v>
      </c>
      <c r="E1514" s="4">
        <v>44.1</v>
      </c>
      <c r="F1514" s="4">
        <v>3.72</v>
      </c>
      <c r="G1514" s="4">
        <v>12.9</v>
      </c>
      <c r="H1514" s="4">
        <v>0.73</v>
      </c>
      <c r="I1514" s="4">
        <v>42.4</v>
      </c>
      <c r="J1514" s="4">
        <v>62.5</v>
      </c>
      <c r="K1514" s="4">
        <v>2.93</v>
      </c>
      <c r="L1514" s="4">
        <v>73.333333333333329</v>
      </c>
      <c r="M1514" s="4">
        <v>36.799999999999997</v>
      </c>
      <c r="N1514" s="4">
        <v>55.125</v>
      </c>
      <c r="O1514" s="4">
        <v>9.3000000000000007</v>
      </c>
      <c r="P1514" s="4">
        <v>32.25</v>
      </c>
      <c r="Q1514" s="4">
        <v>36.5</v>
      </c>
      <c r="R1514" s="4">
        <v>73</v>
      </c>
      <c r="S1514" s="4" t="str" cm="1">
        <f t="array" ref="S1514">_xlfn.IFS($R1514&lt;=50,"Good",$R1514&lt;=100,"Moderate",$R1514&lt;=200,"Poor",$R1514&lt;=300,"Very Poor",$R1514&lt;=500,"Hazardous")</f>
        <v>Moderate</v>
      </c>
      <c r="T1514" t="s">
        <v>25</v>
      </c>
      <c r="X1514" s="2"/>
      <c r="Y1514" s="2"/>
    </row>
    <row r="1515" spans="1:25" x14ac:dyDescent="0.3">
      <c r="A1515" s="2">
        <v>45594</v>
      </c>
      <c r="B1515" t="s">
        <v>23</v>
      </c>
      <c r="C1515" s="4">
        <v>23.3</v>
      </c>
      <c r="D1515" s="4">
        <v>9.4</v>
      </c>
      <c r="E1515" s="4">
        <v>28.6</v>
      </c>
      <c r="F1515" s="4">
        <v>15.19</v>
      </c>
      <c r="G1515" s="4">
        <v>48.4</v>
      </c>
      <c r="H1515" s="4">
        <v>1.56</v>
      </c>
      <c r="I1515" s="4">
        <v>30.2</v>
      </c>
      <c r="J1515" s="4">
        <v>49.4</v>
      </c>
      <c r="K1515" s="4">
        <v>4.17</v>
      </c>
      <c r="L1515" s="4">
        <v>38.833333333333343</v>
      </c>
      <c r="M1515" s="4">
        <v>9.4</v>
      </c>
      <c r="N1515" s="4">
        <v>35.750000000000007</v>
      </c>
      <c r="O1515" s="4">
        <v>37.975000000000001</v>
      </c>
      <c r="P1515" s="4">
        <v>121</v>
      </c>
      <c r="Q1515" s="4">
        <v>78</v>
      </c>
      <c r="R1515" s="4">
        <v>121</v>
      </c>
      <c r="S1515" s="4" t="str" cm="1">
        <f t="array" ref="S1515">_xlfn.IFS($R1515&lt;=50,"Good",$R1515&lt;=100,"Moderate",$R1515&lt;=200,"Poor",$R1515&lt;=300,"Very Poor",$R1515&lt;=500,"Hazardous")</f>
        <v>Poor</v>
      </c>
      <c r="T1515" t="s">
        <v>27</v>
      </c>
      <c r="X1515" s="2"/>
      <c r="Y1515" s="2"/>
    </row>
    <row r="1516" spans="1:25" x14ac:dyDescent="0.3">
      <c r="A1516" s="2">
        <v>45594</v>
      </c>
      <c r="B1516" t="s">
        <v>24</v>
      </c>
      <c r="C1516" s="4">
        <v>45.1</v>
      </c>
      <c r="D1516" s="4">
        <v>224.8</v>
      </c>
      <c r="E1516" s="4">
        <v>59.2</v>
      </c>
      <c r="F1516" s="4">
        <v>0.5</v>
      </c>
      <c r="G1516" s="4">
        <v>23.4</v>
      </c>
      <c r="H1516" s="4">
        <v>0.14000000000000001</v>
      </c>
      <c r="I1516" s="4">
        <v>33.1</v>
      </c>
      <c r="J1516" s="4">
        <v>59.6</v>
      </c>
      <c r="K1516" s="4">
        <v>0.33</v>
      </c>
      <c r="L1516" s="4">
        <v>75.166666666666671</v>
      </c>
      <c r="M1516" s="4">
        <v>224.8</v>
      </c>
      <c r="N1516" s="4">
        <v>74.000000000000014</v>
      </c>
      <c r="O1516" s="4">
        <v>1.25</v>
      </c>
      <c r="P1516" s="4">
        <v>58.5</v>
      </c>
      <c r="Q1516" s="4">
        <v>7.0000000000000009</v>
      </c>
      <c r="R1516" s="4">
        <v>225</v>
      </c>
      <c r="S1516" s="4" t="str" cm="1">
        <f t="array" ref="S1516">_xlfn.IFS($R1516&lt;=50,"Good",$R1516&lt;=100,"Moderate",$R1516&lt;=200,"Poor",$R1516&lt;=300,"Very Poor",$R1516&lt;=500,"Hazardous")</f>
        <v>Very Poor</v>
      </c>
      <c r="T1516" t="s">
        <v>28</v>
      </c>
      <c r="X1516" s="2"/>
      <c r="Y1516" s="2"/>
    </row>
    <row r="1517" spans="1:25" x14ac:dyDescent="0.3">
      <c r="A1517" s="2">
        <v>45595</v>
      </c>
      <c r="B1517" t="s">
        <v>20</v>
      </c>
      <c r="C1517" s="4">
        <v>82</v>
      </c>
      <c r="D1517" s="4">
        <v>100.9</v>
      </c>
      <c r="E1517" s="4">
        <v>17.600000000000001</v>
      </c>
      <c r="F1517" s="4">
        <v>18.850000000000001</v>
      </c>
      <c r="G1517" s="4">
        <v>49.1</v>
      </c>
      <c r="H1517" s="4">
        <v>1.18</v>
      </c>
      <c r="I1517" s="4">
        <v>22.2</v>
      </c>
      <c r="J1517" s="4">
        <v>32.799999999999997</v>
      </c>
      <c r="K1517" s="4">
        <v>0.93</v>
      </c>
      <c r="L1517" s="4">
        <v>136.66666666666671</v>
      </c>
      <c r="M1517" s="4">
        <v>100.9</v>
      </c>
      <c r="N1517" s="4">
        <v>22</v>
      </c>
      <c r="O1517" s="4">
        <v>47.125</v>
      </c>
      <c r="P1517" s="4">
        <v>122.75</v>
      </c>
      <c r="Q1517" s="4">
        <v>59</v>
      </c>
      <c r="R1517" s="4">
        <v>137</v>
      </c>
      <c r="S1517" s="4" t="str" cm="1">
        <f t="array" ref="S1517">_xlfn.IFS($R1517&lt;=50,"Good",$R1517&lt;=100,"Moderate",$R1517&lt;=200,"Poor",$R1517&lt;=300,"Very Poor",$R1517&lt;=500,"Hazardous")</f>
        <v>Poor</v>
      </c>
      <c r="T1517" t="s">
        <v>25</v>
      </c>
      <c r="X1517" s="2"/>
      <c r="Y1517" s="2"/>
    </row>
    <row r="1518" spans="1:25" x14ac:dyDescent="0.3">
      <c r="A1518" s="2">
        <v>45595</v>
      </c>
      <c r="B1518" t="s">
        <v>21</v>
      </c>
      <c r="C1518" s="4">
        <v>123.2</v>
      </c>
      <c r="D1518" s="4">
        <v>114.5</v>
      </c>
      <c r="E1518" s="4">
        <v>56.8</v>
      </c>
      <c r="F1518" s="4">
        <v>0.5</v>
      </c>
      <c r="G1518" s="4">
        <v>8.8000000000000007</v>
      </c>
      <c r="H1518" s="4">
        <v>1.96</v>
      </c>
      <c r="I1518" s="4">
        <v>27.6</v>
      </c>
      <c r="J1518" s="4">
        <v>91.6</v>
      </c>
      <c r="K1518" s="4">
        <v>4.1100000000000003</v>
      </c>
      <c r="L1518" s="4">
        <v>205.33333333333329</v>
      </c>
      <c r="M1518" s="4">
        <v>114.5</v>
      </c>
      <c r="N1518" s="4">
        <v>71</v>
      </c>
      <c r="O1518" s="4">
        <v>1.25</v>
      </c>
      <c r="P1518" s="4">
        <v>22</v>
      </c>
      <c r="Q1518" s="4">
        <v>98</v>
      </c>
      <c r="R1518" s="4">
        <v>205</v>
      </c>
      <c r="S1518" s="4" t="str" cm="1">
        <f t="array" ref="S1518">_xlfn.IFS($R1518&lt;=50,"Good",$R1518&lt;=100,"Moderate",$R1518&lt;=200,"Poor",$R1518&lt;=300,"Very Poor",$R1518&lt;=500,"Hazardous")</f>
        <v>Very Poor</v>
      </c>
      <c r="T1518" t="s">
        <v>25</v>
      </c>
      <c r="X1518" s="2"/>
      <c r="Y1518" s="2"/>
    </row>
    <row r="1519" spans="1:25" x14ac:dyDescent="0.3">
      <c r="A1519" s="2">
        <v>45595</v>
      </c>
      <c r="B1519" t="s">
        <v>22</v>
      </c>
      <c r="C1519" s="4">
        <v>50.4</v>
      </c>
      <c r="D1519" s="4">
        <v>141</v>
      </c>
      <c r="E1519" s="4">
        <v>36.700000000000003</v>
      </c>
      <c r="F1519" s="4">
        <v>17.36</v>
      </c>
      <c r="G1519" s="4">
        <v>65.3</v>
      </c>
      <c r="H1519" s="4">
        <v>1.24</v>
      </c>
      <c r="I1519" s="4">
        <v>26.4</v>
      </c>
      <c r="J1519" s="4">
        <v>86</v>
      </c>
      <c r="K1519" s="4">
        <v>3.2</v>
      </c>
      <c r="L1519" s="4">
        <v>83.999999999999986</v>
      </c>
      <c r="M1519" s="4">
        <v>141</v>
      </c>
      <c r="N1519" s="4">
        <v>45.875000000000007</v>
      </c>
      <c r="O1519" s="4">
        <v>43.4</v>
      </c>
      <c r="P1519" s="4">
        <v>163.25</v>
      </c>
      <c r="Q1519" s="4">
        <v>62</v>
      </c>
      <c r="R1519" s="4">
        <v>163</v>
      </c>
      <c r="S1519" s="4" t="str" cm="1">
        <f t="array" ref="S1519">_xlfn.IFS($R1519&lt;=50,"Good",$R1519&lt;=100,"Moderate",$R1519&lt;=200,"Poor",$R1519&lt;=300,"Very Poor",$R1519&lt;=500,"Hazardous")</f>
        <v>Poor</v>
      </c>
      <c r="T1519" t="s">
        <v>27</v>
      </c>
      <c r="X1519" s="2"/>
      <c r="Y1519" s="2"/>
    </row>
    <row r="1520" spans="1:25" x14ac:dyDescent="0.3">
      <c r="A1520" s="2">
        <v>45595</v>
      </c>
      <c r="B1520" t="s">
        <v>23</v>
      </c>
      <c r="C1520" s="4">
        <v>106.8</v>
      </c>
      <c r="D1520" s="4">
        <v>5</v>
      </c>
      <c r="E1520" s="4">
        <v>54.2</v>
      </c>
      <c r="F1520" s="4">
        <v>5.42</v>
      </c>
      <c r="G1520" s="4">
        <v>83.9</v>
      </c>
      <c r="H1520" s="4">
        <v>2.13</v>
      </c>
      <c r="I1520" s="4">
        <v>25.2</v>
      </c>
      <c r="J1520" s="4">
        <v>87.6</v>
      </c>
      <c r="K1520" s="4">
        <v>4.6399999999999997</v>
      </c>
      <c r="L1520" s="4">
        <v>178</v>
      </c>
      <c r="M1520" s="4">
        <v>5</v>
      </c>
      <c r="N1520" s="4">
        <v>67.75</v>
      </c>
      <c r="O1520" s="4">
        <v>13.55</v>
      </c>
      <c r="P1520" s="4">
        <v>209.75</v>
      </c>
      <c r="Q1520" s="4">
        <v>106.5</v>
      </c>
      <c r="R1520" s="4">
        <v>210</v>
      </c>
      <c r="S1520" s="4" t="str" cm="1">
        <f t="array" ref="S1520">_xlfn.IFS($R1520&lt;=50,"Good",$R1520&lt;=100,"Moderate",$R1520&lt;=200,"Poor",$R1520&lt;=300,"Very Poor",$R1520&lt;=500,"Hazardous")</f>
        <v>Very Poor</v>
      </c>
      <c r="T1520" t="s">
        <v>27</v>
      </c>
      <c r="X1520" s="2"/>
      <c r="Y1520" s="2"/>
    </row>
    <row r="1521" spans="1:25" x14ac:dyDescent="0.3">
      <c r="A1521" s="2">
        <v>45595</v>
      </c>
      <c r="B1521" t="s">
        <v>24</v>
      </c>
      <c r="C1521" s="4">
        <v>68.5</v>
      </c>
      <c r="D1521" s="4">
        <v>295.10000000000002</v>
      </c>
      <c r="E1521" s="4">
        <v>48.8</v>
      </c>
      <c r="F1521" s="4">
        <v>7.62</v>
      </c>
      <c r="G1521" s="4">
        <v>67.8</v>
      </c>
      <c r="H1521" s="4">
        <v>1.0900000000000001</v>
      </c>
      <c r="I1521" s="4">
        <v>25.6</v>
      </c>
      <c r="J1521" s="4">
        <v>85.4</v>
      </c>
      <c r="K1521" s="4">
        <v>3.02</v>
      </c>
      <c r="L1521" s="4">
        <v>114.1666666666667</v>
      </c>
      <c r="M1521" s="4">
        <v>295.10000000000002</v>
      </c>
      <c r="N1521" s="4">
        <v>61</v>
      </c>
      <c r="O1521" s="4">
        <v>19.05</v>
      </c>
      <c r="P1521" s="4">
        <v>169.5</v>
      </c>
      <c r="Q1521" s="4">
        <v>54.500000000000007</v>
      </c>
      <c r="R1521" s="4">
        <v>295</v>
      </c>
      <c r="S1521" s="4" t="str" cm="1">
        <f t="array" ref="S1521">_xlfn.IFS($R1521&lt;=50,"Good",$R1521&lt;=100,"Moderate",$R1521&lt;=200,"Poor",$R1521&lt;=300,"Very Poor",$R1521&lt;=500,"Hazardous")</f>
        <v>Very Poor</v>
      </c>
      <c r="T1521" t="s">
        <v>28</v>
      </c>
      <c r="X1521" s="2"/>
      <c r="Y1521" s="2"/>
    </row>
    <row r="1522" spans="1:25" x14ac:dyDescent="0.3">
      <c r="A1522" s="2">
        <v>45596</v>
      </c>
      <c r="B1522" t="s">
        <v>20</v>
      </c>
      <c r="C1522" s="4">
        <v>10.5</v>
      </c>
      <c r="D1522" s="4">
        <v>163.30000000000001</v>
      </c>
      <c r="E1522" s="4">
        <v>35.700000000000003</v>
      </c>
      <c r="F1522" s="4">
        <v>14.18</v>
      </c>
      <c r="G1522" s="4">
        <v>66</v>
      </c>
      <c r="H1522" s="4">
        <v>2.4</v>
      </c>
      <c r="I1522" s="4">
        <v>31.4</v>
      </c>
      <c r="J1522" s="4">
        <v>79.599999999999994</v>
      </c>
      <c r="K1522" s="4">
        <v>1.7</v>
      </c>
      <c r="L1522" s="4">
        <v>17.5</v>
      </c>
      <c r="M1522" s="4">
        <v>163.30000000000001</v>
      </c>
      <c r="N1522" s="4">
        <v>44.625000000000007</v>
      </c>
      <c r="O1522" s="4">
        <v>35.450000000000003</v>
      </c>
      <c r="P1522" s="4">
        <v>165</v>
      </c>
      <c r="Q1522" s="4">
        <v>120</v>
      </c>
      <c r="R1522" s="4">
        <v>165</v>
      </c>
      <c r="S1522" s="4" t="str" cm="1">
        <f t="array" ref="S1522">_xlfn.IFS($R1522&lt;=50,"Good",$R1522&lt;=100,"Moderate",$R1522&lt;=200,"Poor",$R1522&lt;=300,"Very Poor",$R1522&lt;=500,"Hazardous")</f>
        <v>Poor</v>
      </c>
      <c r="T1522" t="s">
        <v>27</v>
      </c>
      <c r="X1522" s="2"/>
      <c r="Y1522" s="2"/>
    </row>
    <row r="1523" spans="1:25" x14ac:dyDescent="0.3">
      <c r="A1523" s="2">
        <v>45596</v>
      </c>
      <c r="B1523" t="s">
        <v>21</v>
      </c>
      <c r="C1523" s="4">
        <v>105.1</v>
      </c>
      <c r="D1523" s="4">
        <v>297.60000000000002</v>
      </c>
      <c r="E1523" s="4">
        <v>39</v>
      </c>
      <c r="F1523" s="4">
        <v>21.25</v>
      </c>
      <c r="G1523" s="4">
        <v>32.799999999999997</v>
      </c>
      <c r="H1523" s="4">
        <v>0.86</v>
      </c>
      <c r="I1523" s="4">
        <v>27.1</v>
      </c>
      <c r="J1523" s="4">
        <v>72.900000000000006</v>
      </c>
      <c r="K1523" s="4">
        <v>3.59</v>
      </c>
      <c r="L1523" s="4">
        <v>175.16666666666671</v>
      </c>
      <c r="M1523" s="4">
        <v>297.60000000000002</v>
      </c>
      <c r="N1523" s="4">
        <v>48.75</v>
      </c>
      <c r="O1523" s="4">
        <v>53.125</v>
      </c>
      <c r="P1523" s="4">
        <v>81.999999999999986</v>
      </c>
      <c r="Q1523" s="4">
        <v>43</v>
      </c>
      <c r="R1523" s="4">
        <v>298</v>
      </c>
      <c r="S1523" s="4" t="str" cm="1">
        <f t="array" ref="S1523">_xlfn.IFS($R1523&lt;=50,"Good",$R1523&lt;=100,"Moderate",$R1523&lt;=200,"Poor",$R1523&lt;=300,"Very Poor",$R1523&lt;=500,"Hazardous")</f>
        <v>Very Poor</v>
      </c>
      <c r="T1523" t="s">
        <v>28</v>
      </c>
      <c r="X1523" s="2"/>
      <c r="Y1523" s="2"/>
    </row>
    <row r="1524" spans="1:25" x14ac:dyDescent="0.3">
      <c r="A1524" s="2">
        <v>45596</v>
      </c>
      <c r="B1524" t="s">
        <v>22</v>
      </c>
      <c r="C1524" s="4">
        <v>29.6</v>
      </c>
      <c r="D1524" s="4">
        <v>138.80000000000001</v>
      </c>
      <c r="E1524" s="4">
        <v>29.7</v>
      </c>
      <c r="F1524" s="4">
        <v>0.53</v>
      </c>
      <c r="G1524" s="4">
        <v>15.9</v>
      </c>
      <c r="H1524" s="4">
        <v>0.71</v>
      </c>
      <c r="I1524" s="4">
        <v>28.7</v>
      </c>
      <c r="J1524" s="4">
        <v>80.7</v>
      </c>
      <c r="K1524" s="4">
        <v>0.73</v>
      </c>
      <c r="L1524" s="4">
        <v>49.333333333333343</v>
      </c>
      <c r="M1524" s="4">
        <v>138.80000000000001</v>
      </c>
      <c r="N1524" s="4">
        <v>37.125</v>
      </c>
      <c r="O1524" s="4">
        <v>1.325</v>
      </c>
      <c r="P1524" s="4">
        <v>39.75</v>
      </c>
      <c r="Q1524" s="4">
        <v>35.5</v>
      </c>
      <c r="R1524" s="4">
        <v>139</v>
      </c>
      <c r="S1524" s="4" t="str" cm="1">
        <f t="array" ref="S1524">_xlfn.IFS($R1524&lt;=50,"Good",$R1524&lt;=100,"Moderate",$R1524&lt;=200,"Poor",$R1524&lt;=300,"Very Poor",$R1524&lt;=500,"Hazardous")</f>
        <v>Poor</v>
      </c>
      <c r="T1524" t="s">
        <v>28</v>
      </c>
      <c r="X1524" s="2"/>
      <c r="Y1524" s="2"/>
    </row>
    <row r="1525" spans="1:25" x14ac:dyDescent="0.3">
      <c r="A1525" s="2">
        <v>45596</v>
      </c>
      <c r="B1525" t="s">
        <v>23</v>
      </c>
      <c r="C1525" s="4">
        <v>70.599999999999994</v>
      </c>
      <c r="D1525" s="4">
        <v>49.4</v>
      </c>
      <c r="E1525" s="4">
        <v>57.6</v>
      </c>
      <c r="F1525" s="4">
        <v>4.8899999999999997</v>
      </c>
      <c r="G1525" s="4">
        <v>13.7</v>
      </c>
      <c r="H1525" s="4">
        <v>1.68</v>
      </c>
      <c r="I1525" s="4">
        <v>20.9</v>
      </c>
      <c r="J1525" s="4">
        <v>54.3</v>
      </c>
      <c r="K1525" s="4">
        <v>0.2</v>
      </c>
      <c r="L1525" s="4">
        <v>117.6666666666667</v>
      </c>
      <c r="M1525" s="4">
        <v>49.4</v>
      </c>
      <c r="N1525" s="4">
        <v>72.000000000000014</v>
      </c>
      <c r="O1525" s="4">
        <v>12.225</v>
      </c>
      <c r="P1525" s="4">
        <v>34.249999999999993</v>
      </c>
      <c r="Q1525" s="4">
        <v>83.999999999999986</v>
      </c>
      <c r="R1525" s="4">
        <v>118</v>
      </c>
      <c r="S1525" s="4" t="str" cm="1">
        <f t="array" ref="S1525">_xlfn.IFS($R1525&lt;=50,"Good",$R1525&lt;=100,"Moderate",$R1525&lt;=200,"Poor",$R1525&lt;=300,"Very Poor",$R1525&lt;=500,"Hazardous")</f>
        <v>Poor</v>
      </c>
      <c r="T1525" t="s">
        <v>25</v>
      </c>
      <c r="X1525" s="2"/>
      <c r="Y1525" s="2"/>
    </row>
    <row r="1526" spans="1:25" x14ac:dyDescent="0.3">
      <c r="A1526" s="2">
        <v>45596</v>
      </c>
      <c r="B1526" t="s">
        <v>24</v>
      </c>
      <c r="C1526" s="4">
        <v>97.2</v>
      </c>
      <c r="D1526" s="4">
        <v>186.2</v>
      </c>
      <c r="E1526" s="4">
        <v>49.6</v>
      </c>
      <c r="F1526" s="4">
        <v>0.5</v>
      </c>
      <c r="G1526" s="4">
        <v>77.3</v>
      </c>
      <c r="H1526" s="4">
        <v>0.88</v>
      </c>
      <c r="I1526" s="4">
        <v>21.8</v>
      </c>
      <c r="J1526" s="4">
        <v>100</v>
      </c>
      <c r="K1526" s="4">
        <v>2.16</v>
      </c>
      <c r="L1526" s="4">
        <v>162</v>
      </c>
      <c r="M1526" s="4">
        <v>186.2</v>
      </c>
      <c r="N1526" s="4">
        <v>62</v>
      </c>
      <c r="O1526" s="4">
        <v>1.25</v>
      </c>
      <c r="P1526" s="4">
        <v>193.25</v>
      </c>
      <c r="Q1526" s="4">
        <v>44</v>
      </c>
      <c r="R1526" s="4">
        <v>193</v>
      </c>
      <c r="S1526" s="4" t="str" cm="1">
        <f t="array" ref="S1526">_xlfn.IFS($R1526&lt;=50,"Good",$R1526&lt;=100,"Moderate",$R1526&lt;=200,"Poor",$R1526&lt;=300,"Very Poor",$R1526&lt;=500,"Hazardous")</f>
        <v>Poor</v>
      </c>
      <c r="T1526" t="s">
        <v>27</v>
      </c>
      <c r="X1526" s="2"/>
      <c r="Y1526" s="2"/>
    </row>
    <row r="1527" spans="1:25" x14ac:dyDescent="0.3">
      <c r="A1527" s="2">
        <v>45597</v>
      </c>
      <c r="B1527" t="s">
        <v>20</v>
      </c>
      <c r="C1527" s="4">
        <v>151.4</v>
      </c>
      <c r="D1527" s="4">
        <v>282.89999999999998</v>
      </c>
      <c r="E1527" s="4">
        <v>97.2</v>
      </c>
      <c r="F1527" s="4">
        <v>17.309999999999999</v>
      </c>
      <c r="G1527" s="4">
        <v>51.1</v>
      </c>
      <c r="H1527" s="4">
        <v>2.5099999999999998</v>
      </c>
      <c r="I1527" s="4">
        <v>24.6</v>
      </c>
      <c r="J1527" s="4">
        <v>87.2</v>
      </c>
      <c r="K1527" s="4">
        <v>0.92</v>
      </c>
      <c r="L1527" s="4">
        <v>252.33333333333329</v>
      </c>
      <c r="M1527" s="4">
        <v>282.89999999999998</v>
      </c>
      <c r="N1527" s="4">
        <v>121.5</v>
      </c>
      <c r="O1527" s="4">
        <v>43.274999999999991</v>
      </c>
      <c r="P1527" s="4">
        <v>127.75</v>
      </c>
      <c r="Q1527" s="4">
        <v>125.5</v>
      </c>
      <c r="R1527" s="4">
        <v>283</v>
      </c>
      <c r="S1527" s="4" t="str" cm="1">
        <f t="array" ref="S1527">_xlfn.IFS($R1527&lt;=50,"Good",$R1527&lt;=100,"Moderate",$R1527&lt;=200,"Poor",$R1527&lt;=300,"Very Poor",$R1527&lt;=500,"Hazardous")</f>
        <v>Very Poor</v>
      </c>
      <c r="T1527" t="s">
        <v>28</v>
      </c>
      <c r="X1527" s="2"/>
      <c r="Y1527" s="2"/>
    </row>
    <row r="1528" spans="1:25" x14ac:dyDescent="0.3">
      <c r="A1528" s="2">
        <v>45597</v>
      </c>
      <c r="B1528" t="s">
        <v>21</v>
      </c>
      <c r="C1528" s="4">
        <v>181.3</v>
      </c>
      <c r="D1528" s="4">
        <v>338.7</v>
      </c>
      <c r="E1528" s="4">
        <v>117.9</v>
      </c>
      <c r="F1528" s="4">
        <v>27.17</v>
      </c>
      <c r="G1528" s="4">
        <v>42.4</v>
      </c>
      <c r="H1528" s="4">
        <v>0.16</v>
      </c>
      <c r="I1528" s="4">
        <v>24.5</v>
      </c>
      <c r="J1528" s="4">
        <v>42.2</v>
      </c>
      <c r="K1528" s="4">
        <v>1.62</v>
      </c>
      <c r="L1528" s="4">
        <v>302.16666666666669</v>
      </c>
      <c r="M1528" s="4">
        <v>338.7</v>
      </c>
      <c r="N1528" s="4">
        <v>147.375</v>
      </c>
      <c r="O1528" s="4">
        <v>67.924999999999997</v>
      </c>
      <c r="P1528" s="4">
        <v>106</v>
      </c>
      <c r="Q1528" s="4">
        <v>8</v>
      </c>
      <c r="R1528" s="4">
        <v>339</v>
      </c>
      <c r="S1528" s="4" t="str" cm="1">
        <f t="array" ref="S1528">_xlfn.IFS($R1528&lt;=50,"Good",$R1528&lt;=100,"Moderate",$R1528&lt;=200,"Poor",$R1528&lt;=300,"Very Poor",$R1528&lt;=500,"Hazardous")</f>
        <v>Hazardous</v>
      </c>
      <c r="T1528" t="s">
        <v>28</v>
      </c>
      <c r="X1528" s="2"/>
      <c r="Y1528" s="2"/>
    </row>
    <row r="1529" spans="1:25" x14ac:dyDescent="0.3">
      <c r="A1529" s="2">
        <v>45597</v>
      </c>
      <c r="B1529" t="s">
        <v>22</v>
      </c>
      <c r="C1529" s="4">
        <v>34.5</v>
      </c>
      <c r="D1529" s="4">
        <v>138.9</v>
      </c>
      <c r="E1529" s="4">
        <v>50.3</v>
      </c>
      <c r="F1529" s="4">
        <v>0.5</v>
      </c>
      <c r="G1529" s="4">
        <v>49.2</v>
      </c>
      <c r="H1529" s="4">
        <v>3.85</v>
      </c>
      <c r="I1529" s="4">
        <v>29.2</v>
      </c>
      <c r="J1529" s="4">
        <v>56.3</v>
      </c>
      <c r="K1529" s="4">
        <v>2.4300000000000002</v>
      </c>
      <c r="L1529" s="4">
        <v>57.5</v>
      </c>
      <c r="M1529" s="4">
        <v>138.9</v>
      </c>
      <c r="N1529" s="4">
        <v>62.875</v>
      </c>
      <c r="O1529" s="4">
        <v>1.25</v>
      </c>
      <c r="P1529" s="4">
        <v>123</v>
      </c>
      <c r="Q1529" s="4">
        <v>192.5</v>
      </c>
      <c r="R1529" s="4">
        <v>192</v>
      </c>
      <c r="S1529" s="4" t="str" cm="1">
        <f t="array" ref="S1529">_xlfn.IFS($R1529&lt;=50,"Good",$R1529&lt;=100,"Moderate",$R1529&lt;=200,"Poor",$R1529&lt;=300,"Very Poor",$R1529&lt;=500,"Hazardous")</f>
        <v>Poor</v>
      </c>
      <c r="T1529" t="s">
        <v>29</v>
      </c>
      <c r="X1529" s="2"/>
      <c r="Y1529" s="2"/>
    </row>
    <row r="1530" spans="1:25" x14ac:dyDescent="0.3">
      <c r="A1530" s="2">
        <v>45597</v>
      </c>
      <c r="B1530" t="s">
        <v>23</v>
      </c>
      <c r="C1530" s="4">
        <v>75.8</v>
      </c>
      <c r="D1530" s="4">
        <v>200.6</v>
      </c>
      <c r="E1530" s="4">
        <v>70.8</v>
      </c>
      <c r="F1530" s="4">
        <v>6.07</v>
      </c>
      <c r="G1530" s="4">
        <v>73.900000000000006</v>
      </c>
      <c r="H1530" s="4">
        <v>0.49</v>
      </c>
      <c r="I1530" s="4">
        <v>30</v>
      </c>
      <c r="J1530" s="4">
        <v>58.2</v>
      </c>
      <c r="K1530" s="4">
        <v>4.78</v>
      </c>
      <c r="L1530" s="4">
        <v>126.3333333333333</v>
      </c>
      <c r="M1530" s="4">
        <v>200.6</v>
      </c>
      <c r="N1530" s="4">
        <v>88.5</v>
      </c>
      <c r="O1530" s="4">
        <v>15.175000000000001</v>
      </c>
      <c r="P1530" s="4">
        <v>184.75</v>
      </c>
      <c r="Q1530" s="4">
        <v>24.5</v>
      </c>
      <c r="R1530" s="4">
        <v>201</v>
      </c>
      <c r="S1530" s="4" t="str" cm="1">
        <f t="array" ref="S1530">_xlfn.IFS($R1530&lt;=50,"Good",$R1530&lt;=100,"Moderate",$R1530&lt;=200,"Poor",$R1530&lt;=300,"Very Poor",$R1530&lt;=500,"Hazardous")</f>
        <v>Very Poor</v>
      </c>
      <c r="T1530" t="s">
        <v>28</v>
      </c>
      <c r="X1530" s="2"/>
      <c r="Y1530" s="2"/>
    </row>
    <row r="1531" spans="1:25" x14ac:dyDescent="0.3">
      <c r="A1531" s="2">
        <v>45597</v>
      </c>
      <c r="B1531" t="s">
        <v>24</v>
      </c>
      <c r="C1531" s="4">
        <v>123.6</v>
      </c>
      <c r="D1531" s="4">
        <v>173.2</v>
      </c>
      <c r="E1531" s="4">
        <v>70.5</v>
      </c>
      <c r="F1531" s="4">
        <v>14.43</v>
      </c>
      <c r="G1531" s="4">
        <v>11.3</v>
      </c>
      <c r="H1531" s="4">
        <v>1.3</v>
      </c>
      <c r="I1531" s="4">
        <v>12.5</v>
      </c>
      <c r="J1531" s="4">
        <v>43.4</v>
      </c>
      <c r="K1531" s="4">
        <v>3.11</v>
      </c>
      <c r="L1531" s="4">
        <v>206</v>
      </c>
      <c r="M1531" s="4">
        <v>173.2</v>
      </c>
      <c r="N1531" s="4">
        <v>88.125</v>
      </c>
      <c r="O1531" s="4">
        <v>36.075000000000003</v>
      </c>
      <c r="P1531" s="4">
        <v>28.25</v>
      </c>
      <c r="Q1531" s="4">
        <v>65</v>
      </c>
      <c r="R1531" s="4">
        <v>206</v>
      </c>
      <c r="S1531" s="4" t="str" cm="1">
        <f t="array" ref="S1531">_xlfn.IFS($R1531&lt;=50,"Good",$R1531&lt;=100,"Moderate",$R1531&lt;=200,"Poor",$R1531&lt;=300,"Very Poor",$R1531&lt;=500,"Hazardous")</f>
        <v>Very Poor</v>
      </c>
      <c r="T1531" t="s">
        <v>25</v>
      </c>
      <c r="X1531" s="2"/>
      <c r="Y1531" s="2"/>
    </row>
    <row r="1532" spans="1:25" x14ac:dyDescent="0.3">
      <c r="A1532" s="2">
        <v>45598</v>
      </c>
      <c r="B1532" t="s">
        <v>20</v>
      </c>
      <c r="C1532" s="4">
        <v>127</v>
      </c>
      <c r="D1532" s="4">
        <v>5</v>
      </c>
      <c r="E1532" s="4">
        <v>77.8</v>
      </c>
      <c r="F1532" s="4">
        <v>19.899999999999999</v>
      </c>
      <c r="G1532" s="4">
        <v>37.200000000000003</v>
      </c>
      <c r="H1532" s="4">
        <v>1.51</v>
      </c>
      <c r="I1532" s="4">
        <v>22.1</v>
      </c>
      <c r="J1532" s="4">
        <v>50.3</v>
      </c>
      <c r="K1532" s="4">
        <v>1.74</v>
      </c>
      <c r="L1532" s="4">
        <v>211.66666666666671</v>
      </c>
      <c r="M1532" s="4">
        <v>5</v>
      </c>
      <c r="N1532" s="4">
        <v>97.25</v>
      </c>
      <c r="O1532" s="4">
        <v>49.749999999999993</v>
      </c>
      <c r="P1532" s="4">
        <v>93.000000000000014</v>
      </c>
      <c r="Q1532" s="4">
        <v>75.5</v>
      </c>
      <c r="R1532" s="4">
        <v>212</v>
      </c>
      <c r="S1532" s="4" t="str" cm="1">
        <f t="array" ref="S1532">_xlfn.IFS($R1532&lt;=50,"Good",$R1532&lt;=100,"Moderate",$R1532&lt;=200,"Poor",$R1532&lt;=300,"Very Poor",$R1532&lt;=500,"Hazardous")</f>
        <v>Very Poor</v>
      </c>
      <c r="T1532" t="s">
        <v>25</v>
      </c>
      <c r="X1532" s="2"/>
      <c r="Y1532" s="2"/>
    </row>
    <row r="1533" spans="1:25" x14ac:dyDescent="0.3">
      <c r="A1533" s="2">
        <v>45598</v>
      </c>
      <c r="B1533" t="s">
        <v>21</v>
      </c>
      <c r="C1533" s="4">
        <v>130.4</v>
      </c>
      <c r="D1533" s="4">
        <v>516.9</v>
      </c>
      <c r="E1533" s="4">
        <v>60.3</v>
      </c>
      <c r="F1533" s="4">
        <v>12.82</v>
      </c>
      <c r="G1533" s="4">
        <v>43.5</v>
      </c>
      <c r="H1533" s="4">
        <v>1.58</v>
      </c>
      <c r="I1533" s="4">
        <v>32.700000000000003</v>
      </c>
      <c r="J1533" s="4">
        <v>17.3</v>
      </c>
      <c r="K1533" s="4">
        <v>1.86</v>
      </c>
      <c r="L1533" s="4">
        <v>217.33333333333329</v>
      </c>
      <c r="M1533" s="4">
        <v>500</v>
      </c>
      <c r="N1533" s="4">
        <v>75.375</v>
      </c>
      <c r="O1533" s="4">
        <v>32.049999999999997</v>
      </c>
      <c r="P1533" s="4">
        <v>108.75</v>
      </c>
      <c r="Q1533" s="4">
        <v>79</v>
      </c>
      <c r="R1533" s="4">
        <v>500</v>
      </c>
      <c r="S1533" s="4" t="str" cm="1">
        <f t="array" ref="S1533">_xlfn.IFS($R1533&lt;=50,"Good",$R1533&lt;=100,"Moderate",$R1533&lt;=200,"Poor",$R1533&lt;=300,"Very Poor",$R1533&lt;=500,"Hazardous")</f>
        <v>Hazardous</v>
      </c>
      <c r="T1533" t="s">
        <v>28</v>
      </c>
      <c r="X1533" s="2"/>
      <c r="Y1533" s="2"/>
    </row>
    <row r="1534" spans="1:25" x14ac:dyDescent="0.3">
      <c r="A1534" s="2">
        <v>45598</v>
      </c>
      <c r="B1534" t="s">
        <v>22</v>
      </c>
      <c r="C1534" s="4">
        <v>128.5</v>
      </c>
      <c r="D1534" s="4">
        <v>155.6</v>
      </c>
      <c r="E1534" s="4">
        <v>43.4</v>
      </c>
      <c r="F1534" s="4">
        <v>15.51</v>
      </c>
      <c r="G1534" s="4">
        <v>53.6</v>
      </c>
      <c r="H1534" s="4">
        <v>2.02</v>
      </c>
      <c r="I1534" s="4">
        <v>19.399999999999999</v>
      </c>
      <c r="J1534" s="4">
        <v>68.2</v>
      </c>
      <c r="K1534" s="4">
        <v>2.02</v>
      </c>
      <c r="L1534" s="4">
        <v>214.16666666666671</v>
      </c>
      <c r="M1534" s="4">
        <v>155.6</v>
      </c>
      <c r="N1534" s="4">
        <v>54.25</v>
      </c>
      <c r="O1534" s="4">
        <v>38.774999999999999</v>
      </c>
      <c r="P1534" s="4">
        <v>134</v>
      </c>
      <c r="Q1534" s="4">
        <v>101</v>
      </c>
      <c r="R1534" s="4">
        <v>214</v>
      </c>
      <c r="S1534" s="4" t="str" cm="1">
        <f t="array" ref="S1534">_xlfn.IFS($R1534&lt;=50,"Good",$R1534&lt;=100,"Moderate",$R1534&lt;=200,"Poor",$R1534&lt;=300,"Very Poor",$R1534&lt;=500,"Hazardous")</f>
        <v>Very Poor</v>
      </c>
      <c r="T1534" t="s">
        <v>25</v>
      </c>
      <c r="X1534" s="2"/>
      <c r="Y1534" s="2"/>
    </row>
    <row r="1535" spans="1:25" x14ac:dyDescent="0.3">
      <c r="A1535" s="2">
        <v>45598</v>
      </c>
      <c r="B1535" t="s">
        <v>23</v>
      </c>
      <c r="C1535" s="4">
        <v>131.80000000000001</v>
      </c>
      <c r="D1535" s="4">
        <v>334.4</v>
      </c>
      <c r="E1535" s="4">
        <v>2</v>
      </c>
      <c r="F1535" s="4">
        <v>13.69</v>
      </c>
      <c r="G1535" s="4">
        <v>1</v>
      </c>
      <c r="H1535" s="4">
        <v>4.26</v>
      </c>
      <c r="I1535" s="4">
        <v>21.7</v>
      </c>
      <c r="J1535" s="4">
        <v>73.400000000000006</v>
      </c>
      <c r="K1535" s="4">
        <v>2.46</v>
      </c>
      <c r="L1535" s="4">
        <v>219.66666666666671</v>
      </c>
      <c r="M1535" s="4">
        <v>334.4</v>
      </c>
      <c r="N1535" s="4">
        <v>2.5</v>
      </c>
      <c r="O1535" s="4">
        <v>34.225000000000001</v>
      </c>
      <c r="P1535" s="4">
        <v>2.5</v>
      </c>
      <c r="Q1535" s="4">
        <v>213</v>
      </c>
      <c r="R1535" s="4">
        <v>334</v>
      </c>
      <c r="S1535" s="4" t="str" cm="1">
        <f t="array" ref="S1535">_xlfn.IFS($R1535&lt;=50,"Good",$R1535&lt;=100,"Moderate",$R1535&lt;=200,"Poor",$R1535&lt;=300,"Very Poor",$R1535&lt;=500,"Hazardous")</f>
        <v>Hazardous</v>
      </c>
      <c r="T1535" t="s">
        <v>28</v>
      </c>
      <c r="X1535" s="2"/>
      <c r="Y1535" s="2"/>
    </row>
    <row r="1536" spans="1:25" x14ac:dyDescent="0.3">
      <c r="A1536" s="2">
        <v>45598</v>
      </c>
      <c r="B1536" t="s">
        <v>24</v>
      </c>
      <c r="C1536" s="4">
        <v>63.2</v>
      </c>
      <c r="D1536" s="4">
        <v>113.8</v>
      </c>
      <c r="E1536" s="4">
        <v>135</v>
      </c>
      <c r="F1536" s="4">
        <v>22.49</v>
      </c>
      <c r="G1536" s="4">
        <v>87.7</v>
      </c>
      <c r="H1536" s="4">
        <v>2.17</v>
      </c>
      <c r="I1536" s="4">
        <v>27</v>
      </c>
      <c r="J1536" s="4">
        <v>55.2</v>
      </c>
      <c r="K1536" s="4">
        <v>2.66</v>
      </c>
      <c r="L1536" s="4">
        <v>105.3333333333333</v>
      </c>
      <c r="M1536" s="4">
        <v>113.8</v>
      </c>
      <c r="N1536" s="4">
        <v>168.75</v>
      </c>
      <c r="O1536" s="4">
        <v>56.224999999999987</v>
      </c>
      <c r="P1536" s="4">
        <v>219.25</v>
      </c>
      <c r="Q1536" s="4">
        <v>108.5</v>
      </c>
      <c r="R1536" s="4">
        <v>219</v>
      </c>
      <c r="S1536" s="4" t="str" cm="1">
        <f t="array" ref="S1536">_xlfn.IFS($R1536&lt;=50,"Good",$R1536&lt;=100,"Moderate",$R1536&lt;=200,"Poor",$R1536&lt;=300,"Very Poor",$R1536&lt;=500,"Hazardous")</f>
        <v>Very Poor</v>
      </c>
      <c r="T1536" t="s">
        <v>27</v>
      </c>
      <c r="X1536" s="2"/>
      <c r="Y1536" s="2"/>
    </row>
    <row r="1537" spans="1:25" x14ac:dyDescent="0.3">
      <c r="A1537" s="2">
        <v>45599</v>
      </c>
      <c r="B1537" t="s">
        <v>20</v>
      </c>
      <c r="C1537" s="4">
        <v>52.9</v>
      </c>
      <c r="D1537" s="4">
        <v>230.1</v>
      </c>
      <c r="E1537" s="4">
        <v>53.8</v>
      </c>
      <c r="F1537" s="4">
        <v>18.79</v>
      </c>
      <c r="G1537" s="4">
        <v>45.8</v>
      </c>
      <c r="H1537" s="4">
        <v>2.5299999999999998</v>
      </c>
      <c r="I1537" s="4">
        <v>36.700000000000003</v>
      </c>
      <c r="J1537" s="4">
        <v>59.3</v>
      </c>
      <c r="K1537" s="4">
        <v>3.41</v>
      </c>
      <c r="L1537" s="4">
        <v>88.166666666666671</v>
      </c>
      <c r="M1537" s="4">
        <v>230.1</v>
      </c>
      <c r="N1537" s="4">
        <v>67.249999999999986</v>
      </c>
      <c r="O1537" s="4">
        <v>46.974999999999987</v>
      </c>
      <c r="P1537" s="4">
        <v>114.5</v>
      </c>
      <c r="Q1537" s="4">
        <v>126.5</v>
      </c>
      <c r="R1537" s="4">
        <v>230</v>
      </c>
      <c r="S1537" s="4" t="str" cm="1">
        <f t="array" ref="S1537">_xlfn.IFS($R1537&lt;=50,"Good",$R1537&lt;=100,"Moderate",$R1537&lt;=200,"Poor",$R1537&lt;=300,"Very Poor",$R1537&lt;=500,"Hazardous")</f>
        <v>Very Poor</v>
      </c>
      <c r="T1537" t="s">
        <v>28</v>
      </c>
      <c r="X1537" s="2"/>
      <c r="Y1537" s="2"/>
    </row>
    <row r="1538" spans="1:25" x14ac:dyDescent="0.3">
      <c r="A1538" s="2">
        <v>45599</v>
      </c>
      <c r="B1538" t="s">
        <v>21</v>
      </c>
      <c r="C1538" s="4">
        <v>243.1</v>
      </c>
      <c r="D1538" s="4">
        <v>396.8</v>
      </c>
      <c r="E1538" s="4">
        <v>136.1</v>
      </c>
      <c r="F1538" s="4">
        <v>12.93</v>
      </c>
      <c r="G1538" s="4">
        <v>51.5</v>
      </c>
      <c r="H1538" s="4">
        <v>0.82</v>
      </c>
      <c r="I1538" s="4">
        <v>28.5</v>
      </c>
      <c r="J1538" s="4">
        <v>64.900000000000006</v>
      </c>
      <c r="K1538" s="4">
        <v>2.5299999999999998</v>
      </c>
      <c r="L1538" s="4">
        <v>405.16666666666669</v>
      </c>
      <c r="M1538" s="4">
        <v>396.8</v>
      </c>
      <c r="N1538" s="4">
        <v>170.125</v>
      </c>
      <c r="O1538" s="4">
        <v>32.325000000000003</v>
      </c>
      <c r="P1538" s="4">
        <v>128.75</v>
      </c>
      <c r="Q1538" s="4">
        <v>40.999999999999993</v>
      </c>
      <c r="R1538" s="4">
        <v>405</v>
      </c>
      <c r="S1538" s="4" t="str" cm="1">
        <f t="array" ref="S1538">_xlfn.IFS($R1538&lt;=50,"Good",$R1538&lt;=100,"Moderate",$R1538&lt;=200,"Poor",$R1538&lt;=300,"Very Poor",$R1538&lt;=500,"Hazardous")</f>
        <v>Hazardous</v>
      </c>
      <c r="T1538" t="s">
        <v>25</v>
      </c>
      <c r="X1538" s="2"/>
      <c r="Y1538" s="2"/>
    </row>
    <row r="1539" spans="1:25" x14ac:dyDescent="0.3">
      <c r="A1539" s="2">
        <v>45599</v>
      </c>
      <c r="B1539" t="s">
        <v>22</v>
      </c>
      <c r="C1539" s="4">
        <v>138</v>
      </c>
      <c r="D1539" s="4">
        <v>72.3</v>
      </c>
      <c r="E1539" s="4">
        <v>118.1</v>
      </c>
      <c r="F1539" s="4">
        <v>19.010000000000002</v>
      </c>
      <c r="G1539" s="4">
        <v>32.700000000000003</v>
      </c>
      <c r="H1539" s="4">
        <v>1.69</v>
      </c>
      <c r="I1539" s="4">
        <v>28.4</v>
      </c>
      <c r="J1539" s="4">
        <v>87.4</v>
      </c>
      <c r="K1539" s="4">
        <v>2.62</v>
      </c>
      <c r="L1539" s="4">
        <v>230</v>
      </c>
      <c r="M1539" s="4">
        <v>72.3</v>
      </c>
      <c r="N1539" s="4">
        <v>147.625</v>
      </c>
      <c r="O1539" s="4">
        <v>47.525000000000013</v>
      </c>
      <c r="P1539" s="4">
        <v>81.75</v>
      </c>
      <c r="Q1539" s="4">
        <v>84.499999999999986</v>
      </c>
      <c r="R1539" s="4">
        <v>230</v>
      </c>
      <c r="S1539" s="4" t="str" cm="1">
        <f t="array" ref="S1539">_xlfn.IFS($R1539&lt;=50,"Good",$R1539&lt;=100,"Moderate",$R1539&lt;=200,"Poor",$R1539&lt;=300,"Very Poor",$R1539&lt;=500,"Hazardous")</f>
        <v>Very Poor</v>
      </c>
      <c r="T1539" t="s">
        <v>25</v>
      </c>
      <c r="X1539" s="2"/>
      <c r="Y1539" s="2"/>
    </row>
    <row r="1540" spans="1:25" x14ac:dyDescent="0.3">
      <c r="A1540" s="2">
        <v>45599</v>
      </c>
      <c r="B1540" t="s">
        <v>23</v>
      </c>
      <c r="C1540" s="4">
        <v>102.9</v>
      </c>
      <c r="D1540" s="4">
        <v>193.7</v>
      </c>
      <c r="E1540" s="4">
        <v>129</v>
      </c>
      <c r="F1540" s="4">
        <v>9.85</v>
      </c>
      <c r="G1540" s="4">
        <v>35.299999999999997</v>
      </c>
      <c r="H1540" s="4">
        <v>3.32</v>
      </c>
      <c r="I1540" s="4">
        <v>26</v>
      </c>
      <c r="J1540" s="4">
        <v>80.5</v>
      </c>
      <c r="K1540" s="4">
        <v>1.41</v>
      </c>
      <c r="L1540" s="4">
        <v>171.5</v>
      </c>
      <c r="M1540" s="4">
        <v>193.7</v>
      </c>
      <c r="N1540" s="4">
        <v>161.25</v>
      </c>
      <c r="O1540" s="4">
        <v>24.625</v>
      </c>
      <c r="P1540" s="4">
        <v>88.25</v>
      </c>
      <c r="Q1540" s="4">
        <v>166</v>
      </c>
      <c r="R1540" s="4">
        <v>194</v>
      </c>
      <c r="S1540" s="4" t="str" cm="1">
        <f t="array" ref="S1540">_xlfn.IFS($R1540&lt;=50,"Good",$R1540&lt;=100,"Moderate",$R1540&lt;=200,"Poor",$R1540&lt;=300,"Very Poor",$R1540&lt;=500,"Hazardous")</f>
        <v>Poor</v>
      </c>
      <c r="T1540" t="s">
        <v>28</v>
      </c>
      <c r="X1540" s="2"/>
      <c r="Y1540" s="2"/>
    </row>
    <row r="1541" spans="1:25" x14ac:dyDescent="0.3">
      <c r="A1541" s="2">
        <v>45599</v>
      </c>
      <c r="B1541" t="s">
        <v>24</v>
      </c>
      <c r="C1541" s="4">
        <v>94.8</v>
      </c>
      <c r="D1541" s="4">
        <v>368</v>
      </c>
      <c r="E1541" s="4">
        <v>55.4</v>
      </c>
      <c r="F1541" s="4">
        <v>12.75</v>
      </c>
      <c r="G1541" s="4">
        <v>46</v>
      </c>
      <c r="H1541" s="4">
        <v>1.07</v>
      </c>
      <c r="I1541" s="4">
        <v>22.1</v>
      </c>
      <c r="J1541" s="4">
        <v>62</v>
      </c>
      <c r="K1541" s="4">
        <v>3.06</v>
      </c>
      <c r="L1541" s="4">
        <v>158</v>
      </c>
      <c r="M1541" s="4">
        <v>368</v>
      </c>
      <c r="N1541" s="4">
        <v>69.249999999999986</v>
      </c>
      <c r="O1541" s="4">
        <v>31.875</v>
      </c>
      <c r="P1541" s="4">
        <v>115</v>
      </c>
      <c r="Q1541" s="4">
        <v>53.500000000000007</v>
      </c>
      <c r="R1541" s="4">
        <v>368</v>
      </c>
      <c r="S1541" s="4" t="str" cm="1">
        <f t="array" ref="S1541">_xlfn.IFS($R1541&lt;=50,"Good",$R1541&lt;=100,"Moderate",$R1541&lt;=200,"Poor",$R1541&lt;=300,"Very Poor",$R1541&lt;=500,"Hazardous")</f>
        <v>Hazardous</v>
      </c>
      <c r="T1541" t="s">
        <v>28</v>
      </c>
      <c r="X1541" s="2"/>
      <c r="Y1541" s="2"/>
    </row>
    <row r="1542" spans="1:25" x14ac:dyDescent="0.3">
      <c r="A1542" s="2">
        <v>45600</v>
      </c>
      <c r="B1542" t="s">
        <v>20</v>
      </c>
      <c r="C1542" s="4">
        <v>181.1</v>
      </c>
      <c r="D1542" s="4">
        <v>391</v>
      </c>
      <c r="E1542" s="4">
        <v>51.3</v>
      </c>
      <c r="F1542" s="4">
        <v>15.74</v>
      </c>
      <c r="G1542" s="4">
        <v>58.8</v>
      </c>
      <c r="H1542" s="4">
        <v>3.88</v>
      </c>
      <c r="I1542" s="4">
        <v>30</v>
      </c>
      <c r="J1542" s="4">
        <v>65.2</v>
      </c>
      <c r="K1542" s="4">
        <v>3.3</v>
      </c>
      <c r="L1542" s="4">
        <v>301.83333333333331</v>
      </c>
      <c r="M1542" s="4">
        <v>391</v>
      </c>
      <c r="N1542" s="4">
        <v>64.125</v>
      </c>
      <c r="O1542" s="4">
        <v>39.35</v>
      </c>
      <c r="P1542" s="4">
        <v>147</v>
      </c>
      <c r="Q1542" s="4">
        <v>194</v>
      </c>
      <c r="R1542" s="4">
        <v>391</v>
      </c>
      <c r="S1542" s="4" t="str" cm="1">
        <f t="array" ref="S1542">_xlfn.IFS($R1542&lt;=50,"Good",$R1542&lt;=100,"Moderate",$R1542&lt;=200,"Poor",$R1542&lt;=300,"Very Poor",$R1542&lt;=500,"Hazardous")</f>
        <v>Hazardous</v>
      </c>
      <c r="T1542" t="s">
        <v>28</v>
      </c>
      <c r="X1542" s="2"/>
      <c r="Y1542" s="2"/>
    </row>
    <row r="1543" spans="1:25" x14ac:dyDescent="0.3">
      <c r="A1543" s="2">
        <v>45600</v>
      </c>
      <c r="B1543" t="s">
        <v>21</v>
      </c>
      <c r="C1543" s="4">
        <v>160.4</v>
      </c>
      <c r="D1543" s="4">
        <v>128.69999999999999</v>
      </c>
      <c r="E1543" s="4">
        <v>97.7</v>
      </c>
      <c r="F1543" s="4">
        <v>30.59</v>
      </c>
      <c r="G1543" s="4">
        <v>39.200000000000003</v>
      </c>
      <c r="H1543" s="4">
        <v>2.56</v>
      </c>
      <c r="I1543" s="4">
        <v>23.3</v>
      </c>
      <c r="J1543" s="4">
        <v>18.399999999999999</v>
      </c>
      <c r="K1543" s="4">
        <v>2.52</v>
      </c>
      <c r="L1543" s="4">
        <v>267.33333333333343</v>
      </c>
      <c r="M1543" s="4">
        <v>128.69999999999999</v>
      </c>
      <c r="N1543" s="4">
        <v>122.125</v>
      </c>
      <c r="O1543" s="4">
        <v>76.474999999999994</v>
      </c>
      <c r="P1543" s="4">
        <v>98</v>
      </c>
      <c r="Q1543" s="4">
        <v>128</v>
      </c>
      <c r="R1543" s="4">
        <v>267</v>
      </c>
      <c r="S1543" s="4" t="str" cm="1">
        <f t="array" ref="S1543">_xlfn.IFS($R1543&lt;=50,"Good",$R1543&lt;=100,"Moderate",$R1543&lt;=200,"Poor",$R1543&lt;=300,"Very Poor",$R1543&lt;=500,"Hazardous")</f>
        <v>Very Poor</v>
      </c>
      <c r="T1543" t="s">
        <v>25</v>
      </c>
      <c r="X1543" s="2"/>
      <c r="Y1543" s="2"/>
    </row>
    <row r="1544" spans="1:25" x14ac:dyDescent="0.3">
      <c r="A1544" s="2">
        <v>45600</v>
      </c>
      <c r="B1544" t="s">
        <v>22</v>
      </c>
      <c r="C1544" s="4">
        <v>105</v>
      </c>
      <c r="D1544" s="4">
        <v>135.69999999999999</v>
      </c>
      <c r="E1544" s="4">
        <v>33.299999999999997</v>
      </c>
      <c r="F1544" s="4">
        <v>5.47</v>
      </c>
      <c r="G1544" s="4">
        <v>50.5</v>
      </c>
      <c r="H1544" s="4">
        <v>3.62</v>
      </c>
      <c r="I1544" s="4">
        <v>34.700000000000003</v>
      </c>
      <c r="J1544" s="4">
        <v>35.799999999999997</v>
      </c>
      <c r="K1544" s="4">
        <v>3.53</v>
      </c>
      <c r="L1544" s="4">
        <v>175</v>
      </c>
      <c r="M1544" s="4">
        <v>135.69999999999999</v>
      </c>
      <c r="N1544" s="4">
        <v>41.624999999999993</v>
      </c>
      <c r="O1544" s="4">
        <v>13.675000000000001</v>
      </c>
      <c r="P1544" s="4">
        <v>126.25</v>
      </c>
      <c r="Q1544" s="4">
        <v>181</v>
      </c>
      <c r="R1544" s="4">
        <v>181</v>
      </c>
      <c r="S1544" s="4" t="str" cm="1">
        <f t="array" ref="S1544">_xlfn.IFS($R1544&lt;=50,"Good",$R1544&lt;=100,"Moderate",$R1544&lt;=200,"Poor",$R1544&lt;=300,"Very Poor",$R1544&lt;=500,"Hazardous")</f>
        <v>Poor</v>
      </c>
      <c r="T1544" t="s">
        <v>29</v>
      </c>
      <c r="X1544" s="2"/>
      <c r="Y1544" s="2"/>
    </row>
    <row r="1545" spans="1:25" x14ac:dyDescent="0.3">
      <c r="A1545" s="2">
        <v>45600</v>
      </c>
      <c r="B1545" t="s">
        <v>23</v>
      </c>
      <c r="C1545" s="4">
        <v>64.2</v>
      </c>
      <c r="D1545" s="4">
        <v>136.1</v>
      </c>
      <c r="E1545" s="4">
        <v>57.2</v>
      </c>
      <c r="F1545" s="4">
        <v>18.45</v>
      </c>
      <c r="G1545" s="4">
        <v>57.6</v>
      </c>
      <c r="H1545" s="4">
        <v>1.83</v>
      </c>
      <c r="I1545" s="4">
        <v>24.4</v>
      </c>
      <c r="J1545" s="4">
        <v>68.400000000000006</v>
      </c>
      <c r="K1545" s="4">
        <v>3.18</v>
      </c>
      <c r="L1545" s="4">
        <v>107</v>
      </c>
      <c r="M1545" s="4">
        <v>136.1</v>
      </c>
      <c r="N1545" s="4">
        <v>71.500000000000014</v>
      </c>
      <c r="O1545" s="4">
        <v>46.125</v>
      </c>
      <c r="P1545" s="4">
        <v>144</v>
      </c>
      <c r="Q1545" s="4">
        <v>91.5</v>
      </c>
      <c r="R1545" s="4">
        <v>144</v>
      </c>
      <c r="S1545" s="4" t="str" cm="1">
        <f t="array" ref="S1545">_xlfn.IFS($R1545&lt;=50,"Good",$R1545&lt;=100,"Moderate",$R1545&lt;=200,"Poor",$R1545&lt;=300,"Very Poor",$R1545&lt;=500,"Hazardous")</f>
        <v>Poor</v>
      </c>
      <c r="T1545" t="s">
        <v>27</v>
      </c>
      <c r="X1545" s="2"/>
      <c r="Y1545" s="2"/>
    </row>
    <row r="1546" spans="1:25" x14ac:dyDescent="0.3">
      <c r="A1546" s="2">
        <v>45600</v>
      </c>
      <c r="B1546" t="s">
        <v>24</v>
      </c>
      <c r="C1546" s="4">
        <v>167.7</v>
      </c>
      <c r="D1546" s="4">
        <v>75.599999999999994</v>
      </c>
      <c r="E1546" s="4">
        <v>79.900000000000006</v>
      </c>
      <c r="F1546" s="4">
        <v>4.68</v>
      </c>
      <c r="G1546" s="4">
        <v>38.299999999999997</v>
      </c>
      <c r="H1546" s="4">
        <v>1.87</v>
      </c>
      <c r="I1546" s="4">
        <v>24.7</v>
      </c>
      <c r="J1546" s="4">
        <v>45.6</v>
      </c>
      <c r="K1546" s="4">
        <v>1.22</v>
      </c>
      <c r="L1546" s="4">
        <v>279.49999999999989</v>
      </c>
      <c r="M1546" s="4">
        <v>75.599999999999994</v>
      </c>
      <c r="N1546" s="4">
        <v>99.875</v>
      </c>
      <c r="O1546" s="4">
        <v>11.7</v>
      </c>
      <c r="P1546" s="4">
        <v>95.749999999999986</v>
      </c>
      <c r="Q1546" s="4">
        <v>93.5</v>
      </c>
      <c r="R1546" s="4">
        <v>279</v>
      </c>
      <c r="S1546" s="4" t="str" cm="1">
        <f t="array" ref="S1546">_xlfn.IFS($R1546&lt;=50,"Good",$R1546&lt;=100,"Moderate",$R1546&lt;=200,"Poor",$R1546&lt;=300,"Very Poor",$R1546&lt;=500,"Hazardous")</f>
        <v>Very Poor</v>
      </c>
      <c r="T1546" t="s">
        <v>25</v>
      </c>
      <c r="X1546" s="2"/>
      <c r="Y1546" s="2"/>
    </row>
    <row r="1547" spans="1:25" x14ac:dyDescent="0.3">
      <c r="A1547" s="2">
        <v>45601</v>
      </c>
      <c r="B1547" t="s">
        <v>20</v>
      </c>
      <c r="C1547" s="4">
        <v>2</v>
      </c>
      <c r="D1547" s="4">
        <v>206.3</v>
      </c>
      <c r="E1547" s="4">
        <v>66.900000000000006</v>
      </c>
      <c r="F1547" s="4">
        <v>8.5</v>
      </c>
      <c r="G1547" s="4">
        <v>75.599999999999994</v>
      </c>
      <c r="H1547" s="4">
        <v>1.26</v>
      </c>
      <c r="I1547" s="4">
        <v>34.9</v>
      </c>
      <c r="J1547" s="4">
        <v>89.2</v>
      </c>
      <c r="K1547" s="4">
        <v>0.2</v>
      </c>
      <c r="L1547" s="4">
        <v>3.333333333333333</v>
      </c>
      <c r="M1547" s="4">
        <v>206.3</v>
      </c>
      <c r="N1547" s="4">
        <v>83.625</v>
      </c>
      <c r="O1547" s="4">
        <v>21.25</v>
      </c>
      <c r="P1547" s="4">
        <v>189</v>
      </c>
      <c r="Q1547" s="4">
        <v>63</v>
      </c>
      <c r="R1547" s="4">
        <v>206</v>
      </c>
      <c r="S1547" s="4" t="str" cm="1">
        <f t="array" ref="S1547">_xlfn.IFS($R1547&lt;=50,"Good",$R1547&lt;=100,"Moderate",$R1547&lt;=200,"Poor",$R1547&lt;=300,"Very Poor",$R1547&lt;=500,"Hazardous")</f>
        <v>Very Poor</v>
      </c>
      <c r="T1547" t="s">
        <v>28</v>
      </c>
      <c r="X1547" s="2"/>
      <c r="Y1547" s="2"/>
    </row>
    <row r="1548" spans="1:25" x14ac:dyDescent="0.3">
      <c r="A1548" s="2">
        <v>45601</v>
      </c>
      <c r="B1548" t="s">
        <v>21</v>
      </c>
      <c r="C1548" s="4">
        <v>125.5</v>
      </c>
      <c r="D1548" s="4">
        <v>192</v>
      </c>
      <c r="E1548" s="4">
        <v>2</v>
      </c>
      <c r="F1548" s="4">
        <v>1.55</v>
      </c>
      <c r="G1548" s="4">
        <v>66.8</v>
      </c>
      <c r="H1548" s="4">
        <v>4.82</v>
      </c>
      <c r="I1548" s="4">
        <v>31.3</v>
      </c>
      <c r="J1548" s="4">
        <v>65.8</v>
      </c>
      <c r="K1548" s="4">
        <v>2.4700000000000002</v>
      </c>
      <c r="L1548" s="4">
        <v>209.16666666666671</v>
      </c>
      <c r="M1548" s="4">
        <v>192</v>
      </c>
      <c r="N1548" s="4">
        <v>2.5</v>
      </c>
      <c r="O1548" s="4">
        <v>3.875</v>
      </c>
      <c r="P1548" s="4">
        <v>167</v>
      </c>
      <c r="Q1548" s="4">
        <v>241</v>
      </c>
      <c r="R1548" s="4">
        <v>241</v>
      </c>
      <c r="S1548" s="4" t="str" cm="1">
        <f t="array" ref="S1548">_xlfn.IFS($R1548&lt;=50,"Good",$R1548&lt;=100,"Moderate",$R1548&lt;=200,"Poor",$R1548&lt;=300,"Very Poor",$R1548&lt;=500,"Hazardous")</f>
        <v>Very Poor</v>
      </c>
      <c r="T1548" t="s">
        <v>29</v>
      </c>
      <c r="X1548" s="2"/>
      <c r="Y1548" s="2"/>
    </row>
    <row r="1549" spans="1:25" x14ac:dyDescent="0.3">
      <c r="A1549" s="2">
        <v>45601</v>
      </c>
      <c r="B1549" t="s">
        <v>22</v>
      </c>
      <c r="C1549" s="4">
        <v>167.9</v>
      </c>
      <c r="D1549" s="4">
        <v>378.3</v>
      </c>
      <c r="E1549" s="4">
        <v>50.6</v>
      </c>
      <c r="F1549" s="4">
        <v>0.5</v>
      </c>
      <c r="G1549" s="4">
        <v>1</v>
      </c>
      <c r="H1549" s="4">
        <v>3.03</v>
      </c>
      <c r="I1549" s="4">
        <v>24.7</v>
      </c>
      <c r="J1549" s="4">
        <v>63.3</v>
      </c>
      <c r="K1549" s="4">
        <v>0.35</v>
      </c>
      <c r="L1549" s="4">
        <v>279.83333333333331</v>
      </c>
      <c r="M1549" s="4">
        <v>378.3</v>
      </c>
      <c r="N1549" s="4">
        <v>63.25</v>
      </c>
      <c r="O1549" s="4">
        <v>1.25</v>
      </c>
      <c r="P1549" s="4">
        <v>2.5</v>
      </c>
      <c r="Q1549" s="4">
        <v>151.5</v>
      </c>
      <c r="R1549" s="4">
        <v>378</v>
      </c>
      <c r="S1549" s="4" t="str" cm="1">
        <f t="array" ref="S1549">_xlfn.IFS($R1549&lt;=50,"Good",$R1549&lt;=100,"Moderate",$R1549&lt;=200,"Poor",$R1549&lt;=300,"Very Poor",$R1549&lt;=500,"Hazardous")</f>
        <v>Hazardous</v>
      </c>
      <c r="T1549" t="s">
        <v>28</v>
      </c>
      <c r="X1549" s="2"/>
      <c r="Y1549" s="2"/>
    </row>
    <row r="1550" spans="1:25" x14ac:dyDescent="0.3">
      <c r="A1550" s="2">
        <v>45601</v>
      </c>
      <c r="B1550" t="s">
        <v>23</v>
      </c>
      <c r="C1550" s="4">
        <v>59.8</v>
      </c>
      <c r="D1550" s="4">
        <v>163.6</v>
      </c>
      <c r="E1550" s="4">
        <v>78.7</v>
      </c>
      <c r="F1550" s="4">
        <v>9.61</v>
      </c>
      <c r="G1550" s="4">
        <v>12.7</v>
      </c>
      <c r="H1550" s="4">
        <v>1.17</v>
      </c>
      <c r="I1550" s="4">
        <v>33.5</v>
      </c>
      <c r="J1550" s="4">
        <v>64.400000000000006</v>
      </c>
      <c r="K1550" s="4">
        <v>3.23</v>
      </c>
      <c r="L1550" s="4">
        <v>99.666666666666671</v>
      </c>
      <c r="M1550" s="4">
        <v>163.6</v>
      </c>
      <c r="N1550" s="4">
        <v>98.375</v>
      </c>
      <c r="O1550" s="4">
        <v>24.024999999999999</v>
      </c>
      <c r="P1550" s="4">
        <v>31.75</v>
      </c>
      <c r="Q1550" s="4">
        <v>58.5</v>
      </c>
      <c r="R1550" s="4">
        <v>164</v>
      </c>
      <c r="S1550" s="4" t="str" cm="1">
        <f t="array" ref="S1550">_xlfn.IFS($R1550&lt;=50,"Good",$R1550&lt;=100,"Moderate",$R1550&lt;=200,"Poor",$R1550&lt;=300,"Very Poor",$R1550&lt;=500,"Hazardous")</f>
        <v>Poor</v>
      </c>
      <c r="T1550" t="s">
        <v>28</v>
      </c>
      <c r="X1550" s="2"/>
      <c r="Y1550" s="2"/>
    </row>
    <row r="1551" spans="1:25" x14ac:dyDescent="0.3">
      <c r="A1551" s="2">
        <v>45601</v>
      </c>
      <c r="B1551" t="s">
        <v>24</v>
      </c>
      <c r="C1551" s="4">
        <v>58.1</v>
      </c>
      <c r="D1551" s="4">
        <v>5</v>
      </c>
      <c r="E1551" s="4">
        <v>60.8</v>
      </c>
      <c r="F1551" s="4">
        <v>6.45</v>
      </c>
      <c r="G1551" s="4">
        <v>48.2</v>
      </c>
      <c r="H1551" s="4">
        <v>5.58</v>
      </c>
      <c r="I1551" s="4">
        <v>29.9</v>
      </c>
      <c r="J1551" s="4">
        <v>100</v>
      </c>
      <c r="K1551" s="4">
        <v>3.68</v>
      </c>
      <c r="L1551" s="4">
        <v>96.833333333333343</v>
      </c>
      <c r="M1551" s="4">
        <v>5</v>
      </c>
      <c r="N1551" s="4">
        <v>76</v>
      </c>
      <c r="O1551" s="4">
        <v>16.125</v>
      </c>
      <c r="P1551" s="4">
        <v>120.5</v>
      </c>
      <c r="Q1551" s="4">
        <v>279</v>
      </c>
      <c r="R1551" s="4">
        <v>279</v>
      </c>
      <c r="S1551" s="4" t="str" cm="1">
        <f t="array" ref="S1551">_xlfn.IFS($R1551&lt;=50,"Good",$R1551&lt;=100,"Moderate",$R1551&lt;=200,"Poor",$R1551&lt;=300,"Very Poor",$R1551&lt;=500,"Hazardous")</f>
        <v>Very Poor</v>
      </c>
      <c r="T1551" t="s">
        <v>29</v>
      </c>
      <c r="X1551" s="2"/>
      <c r="Y1551" s="2"/>
    </row>
    <row r="1552" spans="1:25" x14ac:dyDescent="0.3">
      <c r="A1552" s="2">
        <v>45602</v>
      </c>
      <c r="B1552" t="s">
        <v>20</v>
      </c>
      <c r="C1552" s="4">
        <v>75.599999999999994</v>
      </c>
      <c r="D1552" s="4">
        <v>259.2</v>
      </c>
      <c r="E1552" s="4">
        <v>148.30000000000001</v>
      </c>
      <c r="F1552" s="4">
        <v>31.55</v>
      </c>
      <c r="G1552" s="4">
        <v>26.5</v>
      </c>
      <c r="H1552" s="4">
        <v>2.4900000000000002</v>
      </c>
      <c r="I1552" s="4">
        <v>15</v>
      </c>
      <c r="J1552" s="4">
        <v>74.8</v>
      </c>
      <c r="K1552" s="4">
        <v>4.3600000000000003</v>
      </c>
      <c r="L1552" s="4">
        <v>126</v>
      </c>
      <c r="M1552" s="4">
        <v>259.2</v>
      </c>
      <c r="N1552" s="4">
        <v>185.375</v>
      </c>
      <c r="O1552" s="4">
        <v>78.875</v>
      </c>
      <c r="P1552" s="4">
        <v>66.25</v>
      </c>
      <c r="Q1552" s="4">
        <v>124.5</v>
      </c>
      <c r="R1552" s="4">
        <v>259</v>
      </c>
      <c r="S1552" s="4" t="str" cm="1">
        <f t="array" ref="S1552">_xlfn.IFS($R1552&lt;=50,"Good",$R1552&lt;=100,"Moderate",$R1552&lt;=200,"Poor",$R1552&lt;=300,"Very Poor",$R1552&lt;=500,"Hazardous")</f>
        <v>Very Poor</v>
      </c>
      <c r="T1552" t="s">
        <v>28</v>
      </c>
      <c r="X1552" s="2"/>
      <c r="Y1552" s="2"/>
    </row>
    <row r="1553" spans="1:25" x14ac:dyDescent="0.3">
      <c r="A1553" s="2">
        <v>45602</v>
      </c>
      <c r="B1553" t="s">
        <v>21</v>
      </c>
      <c r="C1553" s="4">
        <v>122.4</v>
      </c>
      <c r="D1553" s="4">
        <v>159.9</v>
      </c>
      <c r="E1553" s="4">
        <v>104.4</v>
      </c>
      <c r="F1553" s="4">
        <v>20.170000000000002</v>
      </c>
      <c r="G1553" s="4">
        <v>47.3</v>
      </c>
      <c r="H1553" s="4">
        <v>2.61</v>
      </c>
      <c r="I1553" s="4">
        <v>23.8</v>
      </c>
      <c r="J1553" s="4">
        <v>77.900000000000006</v>
      </c>
      <c r="K1553" s="4">
        <v>3.38</v>
      </c>
      <c r="L1553" s="4">
        <v>204</v>
      </c>
      <c r="M1553" s="4">
        <v>159.9</v>
      </c>
      <c r="N1553" s="4">
        <v>130.5</v>
      </c>
      <c r="O1553" s="4">
        <v>50.424999999999997</v>
      </c>
      <c r="P1553" s="4">
        <v>118.25</v>
      </c>
      <c r="Q1553" s="4">
        <v>130.5</v>
      </c>
      <c r="R1553" s="4">
        <v>204</v>
      </c>
      <c r="S1553" s="4" t="str" cm="1">
        <f t="array" ref="S1553">_xlfn.IFS($R1553&lt;=50,"Good",$R1553&lt;=100,"Moderate",$R1553&lt;=200,"Poor",$R1553&lt;=300,"Very Poor",$R1553&lt;=500,"Hazardous")</f>
        <v>Very Poor</v>
      </c>
      <c r="T1553" t="s">
        <v>25</v>
      </c>
      <c r="X1553" s="2"/>
      <c r="Y1553" s="2"/>
    </row>
    <row r="1554" spans="1:25" x14ac:dyDescent="0.3">
      <c r="A1554" s="2">
        <v>45602</v>
      </c>
      <c r="B1554" t="s">
        <v>22</v>
      </c>
      <c r="C1554" s="4">
        <v>46.4</v>
      </c>
      <c r="D1554" s="4">
        <v>90.2</v>
      </c>
      <c r="E1554" s="4">
        <v>60.7</v>
      </c>
      <c r="F1554" s="4">
        <v>17.760000000000002</v>
      </c>
      <c r="G1554" s="4">
        <v>37.4</v>
      </c>
      <c r="H1554" s="4">
        <v>1.24</v>
      </c>
      <c r="I1554" s="4">
        <v>26.8</v>
      </c>
      <c r="J1554" s="4">
        <v>54</v>
      </c>
      <c r="K1554" s="4">
        <v>3.56</v>
      </c>
      <c r="L1554" s="4">
        <v>77.333333333333343</v>
      </c>
      <c r="M1554" s="4">
        <v>90.2</v>
      </c>
      <c r="N1554" s="4">
        <v>75.875</v>
      </c>
      <c r="O1554" s="4">
        <v>44.4</v>
      </c>
      <c r="P1554" s="4">
        <v>93.5</v>
      </c>
      <c r="Q1554" s="4">
        <v>62</v>
      </c>
      <c r="R1554" s="4">
        <v>94</v>
      </c>
      <c r="S1554" s="4" t="str" cm="1">
        <f t="array" ref="S1554">_xlfn.IFS($R1554&lt;=50,"Good",$R1554&lt;=100,"Moderate",$R1554&lt;=200,"Poor",$R1554&lt;=300,"Very Poor",$R1554&lt;=500,"Hazardous")</f>
        <v>Moderate</v>
      </c>
      <c r="T1554" t="s">
        <v>27</v>
      </c>
      <c r="X1554" s="2"/>
      <c r="Y1554" s="2"/>
    </row>
    <row r="1555" spans="1:25" x14ac:dyDescent="0.3">
      <c r="A1555" s="2">
        <v>45602</v>
      </c>
      <c r="B1555" t="s">
        <v>23</v>
      </c>
      <c r="C1555" s="4">
        <v>112</v>
      </c>
      <c r="D1555" s="4">
        <v>161.69999999999999</v>
      </c>
      <c r="E1555" s="4">
        <v>79.400000000000006</v>
      </c>
      <c r="F1555" s="4">
        <v>23.32</v>
      </c>
      <c r="G1555" s="4">
        <v>23.2</v>
      </c>
      <c r="H1555" s="4">
        <v>2.31</v>
      </c>
      <c r="I1555" s="4">
        <v>24.5</v>
      </c>
      <c r="J1555" s="4">
        <v>67.7</v>
      </c>
      <c r="K1555" s="4">
        <v>1.71</v>
      </c>
      <c r="L1555" s="4">
        <v>186.66666666666671</v>
      </c>
      <c r="M1555" s="4">
        <v>161.69999999999999</v>
      </c>
      <c r="N1555" s="4">
        <v>99.25</v>
      </c>
      <c r="O1555" s="4">
        <v>58.3</v>
      </c>
      <c r="P1555" s="4">
        <v>57.999999999999993</v>
      </c>
      <c r="Q1555" s="4">
        <v>115.5</v>
      </c>
      <c r="R1555" s="4">
        <v>187</v>
      </c>
      <c r="S1555" s="4" t="str" cm="1">
        <f t="array" ref="S1555">_xlfn.IFS($R1555&lt;=50,"Good",$R1555&lt;=100,"Moderate",$R1555&lt;=200,"Poor",$R1555&lt;=300,"Very Poor",$R1555&lt;=500,"Hazardous")</f>
        <v>Poor</v>
      </c>
      <c r="T1555" t="s">
        <v>25</v>
      </c>
      <c r="X1555" s="2"/>
      <c r="Y1555" s="2"/>
    </row>
    <row r="1556" spans="1:25" x14ac:dyDescent="0.3">
      <c r="A1556" s="2">
        <v>45602</v>
      </c>
      <c r="B1556" t="s">
        <v>24</v>
      </c>
      <c r="C1556" s="4">
        <v>111.4</v>
      </c>
      <c r="D1556" s="4">
        <v>328.2</v>
      </c>
      <c r="E1556" s="4">
        <v>46.2</v>
      </c>
      <c r="F1556" s="4">
        <v>2.38</v>
      </c>
      <c r="G1556" s="4">
        <v>7.6</v>
      </c>
      <c r="H1556" s="4">
        <v>0.88</v>
      </c>
      <c r="I1556" s="4">
        <v>29.2</v>
      </c>
      <c r="J1556" s="4">
        <v>34.700000000000003</v>
      </c>
      <c r="K1556" s="4">
        <v>2.64</v>
      </c>
      <c r="L1556" s="4">
        <v>185.66666666666671</v>
      </c>
      <c r="M1556" s="4">
        <v>328.2</v>
      </c>
      <c r="N1556" s="4">
        <v>57.75</v>
      </c>
      <c r="O1556" s="4">
        <v>5.9499999999999993</v>
      </c>
      <c r="P1556" s="4">
        <v>19</v>
      </c>
      <c r="Q1556" s="4">
        <v>44</v>
      </c>
      <c r="R1556" s="4">
        <v>328</v>
      </c>
      <c r="S1556" s="4" t="str" cm="1">
        <f t="array" ref="S1556">_xlfn.IFS($R1556&lt;=50,"Good",$R1556&lt;=100,"Moderate",$R1556&lt;=200,"Poor",$R1556&lt;=300,"Very Poor",$R1556&lt;=500,"Hazardous")</f>
        <v>Hazardous</v>
      </c>
      <c r="T1556" t="s">
        <v>28</v>
      </c>
      <c r="X1556" s="2"/>
      <c r="Y1556" s="2"/>
    </row>
    <row r="1557" spans="1:25" x14ac:dyDescent="0.3">
      <c r="A1557" s="2">
        <v>45603</v>
      </c>
      <c r="B1557" t="s">
        <v>20</v>
      </c>
      <c r="C1557" s="4">
        <v>144.5</v>
      </c>
      <c r="D1557" s="4">
        <v>266.8</v>
      </c>
      <c r="E1557" s="4">
        <v>68.599999999999994</v>
      </c>
      <c r="F1557" s="4">
        <v>16.48</v>
      </c>
      <c r="G1557" s="4">
        <v>44.2</v>
      </c>
      <c r="H1557" s="4">
        <v>1.96</v>
      </c>
      <c r="I1557" s="4">
        <v>23.5</v>
      </c>
      <c r="J1557" s="4">
        <v>100</v>
      </c>
      <c r="K1557" s="4">
        <v>3.47</v>
      </c>
      <c r="L1557" s="4">
        <v>240.83333333333329</v>
      </c>
      <c r="M1557" s="4">
        <v>266.8</v>
      </c>
      <c r="N1557" s="4">
        <v>85.75</v>
      </c>
      <c r="O1557" s="4">
        <v>41.2</v>
      </c>
      <c r="P1557" s="4">
        <v>110.5</v>
      </c>
      <c r="Q1557" s="4">
        <v>98</v>
      </c>
      <c r="R1557" s="4">
        <v>267</v>
      </c>
      <c r="S1557" s="4" t="str" cm="1">
        <f t="array" ref="S1557">_xlfn.IFS($R1557&lt;=50,"Good",$R1557&lt;=100,"Moderate",$R1557&lt;=200,"Poor",$R1557&lt;=300,"Very Poor",$R1557&lt;=500,"Hazardous")</f>
        <v>Very Poor</v>
      </c>
      <c r="T1557" t="s">
        <v>28</v>
      </c>
      <c r="X1557" s="2"/>
      <c r="Y1557" s="2"/>
    </row>
    <row r="1558" spans="1:25" x14ac:dyDescent="0.3">
      <c r="A1558" s="2">
        <v>45603</v>
      </c>
      <c r="B1558" t="s">
        <v>21</v>
      </c>
      <c r="C1558" s="4">
        <v>268.8</v>
      </c>
      <c r="D1558" s="4">
        <v>180.4</v>
      </c>
      <c r="E1558" s="4">
        <v>86.6</v>
      </c>
      <c r="F1558" s="4">
        <v>2.68</v>
      </c>
      <c r="G1558" s="4">
        <v>22.2</v>
      </c>
      <c r="H1558" s="4">
        <v>4.68</v>
      </c>
      <c r="I1558" s="4">
        <v>21.3</v>
      </c>
      <c r="J1558" s="4">
        <v>94.5</v>
      </c>
      <c r="K1558" s="4">
        <v>1.01</v>
      </c>
      <c r="L1558" s="4">
        <v>448</v>
      </c>
      <c r="M1558" s="4">
        <v>180.4</v>
      </c>
      <c r="N1558" s="4">
        <v>108.25</v>
      </c>
      <c r="O1558" s="4">
        <v>6.7</v>
      </c>
      <c r="P1558" s="4">
        <v>55.5</v>
      </c>
      <c r="Q1558" s="4">
        <v>234</v>
      </c>
      <c r="R1558" s="4">
        <v>448</v>
      </c>
      <c r="S1558" s="4" t="str" cm="1">
        <f t="array" ref="S1558">_xlfn.IFS($R1558&lt;=50,"Good",$R1558&lt;=100,"Moderate",$R1558&lt;=200,"Poor",$R1558&lt;=300,"Very Poor",$R1558&lt;=500,"Hazardous")</f>
        <v>Hazardous</v>
      </c>
      <c r="T1558" t="s">
        <v>25</v>
      </c>
      <c r="X1558" s="2"/>
      <c r="Y1558" s="2"/>
    </row>
    <row r="1559" spans="1:25" x14ac:dyDescent="0.3">
      <c r="A1559" s="2">
        <v>45603</v>
      </c>
      <c r="B1559" t="s">
        <v>22</v>
      </c>
      <c r="C1559" s="4">
        <v>43.2</v>
      </c>
      <c r="D1559" s="4">
        <v>151.30000000000001</v>
      </c>
      <c r="E1559" s="4">
        <v>66.5</v>
      </c>
      <c r="F1559" s="4">
        <v>19.18</v>
      </c>
      <c r="G1559" s="4">
        <v>43.8</v>
      </c>
      <c r="H1559" s="4">
        <v>1.44</v>
      </c>
      <c r="I1559" s="4">
        <v>24.1</v>
      </c>
      <c r="J1559" s="4">
        <v>54.3</v>
      </c>
      <c r="K1559" s="4">
        <v>1.4</v>
      </c>
      <c r="L1559" s="4">
        <v>72.000000000000014</v>
      </c>
      <c r="M1559" s="4">
        <v>151.30000000000001</v>
      </c>
      <c r="N1559" s="4">
        <v>83.125</v>
      </c>
      <c r="O1559" s="4">
        <v>47.95</v>
      </c>
      <c r="P1559" s="4">
        <v>109.5</v>
      </c>
      <c r="Q1559" s="4">
        <v>72</v>
      </c>
      <c r="R1559" s="4">
        <v>151</v>
      </c>
      <c r="S1559" s="4" t="str" cm="1">
        <f t="array" ref="S1559">_xlfn.IFS($R1559&lt;=50,"Good",$R1559&lt;=100,"Moderate",$R1559&lt;=200,"Poor",$R1559&lt;=300,"Very Poor",$R1559&lt;=500,"Hazardous")</f>
        <v>Poor</v>
      </c>
      <c r="T1559" t="s">
        <v>28</v>
      </c>
      <c r="X1559" s="2"/>
      <c r="Y1559" s="2"/>
    </row>
    <row r="1560" spans="1:25" x14ac:dyDescent="0.3">
      <c r="A1560" s="2">
        <v>45603</v>
      </c>
      <c r="B1560" t="s">
        <v>23</v>
      </c>
      <c r="C1560" s="4">
        <v>53.4</v>
      </c>
      <c r="D1560" s="4">
        <v>290.7</v>
      </c>
      <c r="E1560" s="4">
        <v>13.5</v>
      </c>
      <c r="F1560" s="4">
        <v>25.74</v>
      </c>
      <c r="G1560" s="4">
        <v>28.3</v>
      </c>
      <c r="H1560" s="4">
        <v>1.18</v>
      </c>
      <c r="I1560" s="4">
        <v>30.2</v>
      </c>
      <c r="J1560" s="4">
        <v>86.7</v>
      </c>
      <c r="K1560" s="4">
        <v>3.84</v>
      </c>
      <c r="L1560" s="4">
        <v>89</v>
      </c>
      <c r="M1560" s="4">
        <v>290.7</v>
      </c>
      <c r="N1560" s="4">
        <v>16.875</v>
      </c>
      <c r="O1560" s="4">
        <v>64.349999999999994</v>
      </c>
      <c r="P1560" s="4">
        <v>70.750000000000014</v>
      </c>
      <c r="Q1560" s="4">
        <v>59</v>
      </c>
      <c r="R1560" s="4">
        <v>291</v>
      </c>
      <c r="S1560" s="4" t="str" cm="1">
        <f t="array" ref="S1560">_xlfn.IFS($R1560&lt;=50,"Good",$R1560&lt;=100,"Moderate",$R1560&lt;=200,"Poor",$R1560&lt;=300,"Very Poor",$R1560&lt;=500,"Hazardous")</f>
        <v>Very Poor</v>
      </c>
      <c r="T1560" t="s">
        <v>28</v>
      </c>
      <c r="X1560" s="2"/>
      <c r="Y1560" s="2"/>
    </row>
    <row r="1561" spans="1:25" x14ac:dyDescent="0.3">
      <c r="A1561" s="2">
        <v>45603</v>
      </c>
      <c r="B1561" t="s">
        <v>24</v>
      </c>
      <c r="C1561" s="4">
        <v>132.1</v>
      </c>
      <c r="D1561" s="4">
        <v>326</v>
      </c>
      <c r="E1561" s="4">
        <v>18.8</v>
      </c>
      <c r="F1561" s="4">
        <v>9.49</v>
      </c>
      <c r="G1561" s="4">
        <v>17</v>
      </c>
      <c r="H1561" s="4">
        <v>3.41</v>
      </c>
      <c r="I1561" s="4">
        <v>22.3</v>
      </c>
      <c r="J1561" s="4">
        <v>75.2</v>
      </c>
      <c r="K1561" s="4">
        <v>3.64</v>
      </c>
      <c r="L1561" s="4">
        <v>220.16666666666671</v>
      </c>
      <c r="M1561" s="4">
        <v>326</v>
      </c>
      <c r="N1561" s="4">
        <v>23.5</v>
      </c>
      <c r="O1561" s="4">
        <v>23.725000000000001</v>
      </c>
      <c r="P1561" s="4">
        <v>42.5</v>
      </c>
      <c r="Q1561" s="4">
        <v>170.5</v>
      </c>
      <c r="R1561" s="4">
        <v>326</v>
      </c>
      <c r="S1561" s="4" t="str" cm="1">
        <f t="array" ref="S1561">_xlfn.IFS($R1561&lt;=50,"Good",$R1561&lt;=100,"Moderate",$R1561&lt;=200,"Poor",$R1561&lt;=300,"Very Poor",$R1561&lt;=500,"Hazardous")</f>
        <v>Hazardous</v>
      </c>
      <c r="T1561" t="s">
        <v>28</v>
      </c>
      <c r="X1561" s="2"/>
      <c r="Y1561" s="2"/>
    </row>
    <row r="1562" spans="1:25" x14ac:dyDescent="0.3">
      <c r="A1562" s="2">
        <v>45604</v>
      </c>
      <c r="B1562" t="s">
        <v>20</v>
      </c>
      <c r="C1562" s="4">
        <v>62.8</v>
      </c>
      <c r="D1562" s="4">
        <v>156</v>
      </c>
      <c r="E1562" s="4">
        <v>130.4</v>
      </c>
      <c r="F1562" s="4">
        <v>7.59</v>
      </c>
      <c r="G1562" s="4">
        <v>44.6</v>
      </c>
      <c r="H1562" s="4">
        <v>1.34</v>
      </c>
      <c r="I1562" s="4">
        <v>22.8</v>
      </c>
      <c r="J1562" s="4">
        <v>59.2</v>
      </c>
      <c r="K1562" s="4">
        <v>1.56</v>
      </c>
      <c r="L1562" s="4">
        <v>104.6666666666667</v>
      </c>
      <c r="M1562" s="4">
        <v>156</v>
      </c>
      <c r="N1562" s="4">
        <v>163</v>
      </c>
      <c r="O1562" s="4">
        <v>18.975000000000001</v>
      </c>
      <c r="P1562" s="4">
        <v>111.5</v>
      </c>
      <c r="Q1562" s="4">
        <v>67</v>
      </c>
      <c r="R1562" s="4">
        <v>163</v>
      </c>
      <c r="S1562" s="4" t="str" cm="1">
        <f t="array" ref="S1562">_xlfn.IFS($R1562&lt;=50,"Good",$R1562&lt;=100,"Moderate",$R1562&lt;=200,"Poor",$R1562&lt;=300,"Very Poor",$R1562&lt;=500,"Hazardous")</f>
        <v>Poor</v>
      </c>
      <c r="T1562" t="s">
        <v>26</v>
      </c>
      <c r="X1562" s="2"/>
      <c r="Y1562" s="2"/>
    </row>
    <row r="1563" spans="1:25" x14ac:dyDescent="0.3">
      <c r="A1563" s="2">
        <v>45604</v>
      </c>
      <c r="B1563" t="s">
        <v>21</v>
      </c>
      <c r="C1563" s="4">
        <v>62.4</v>
      </c>
      <c r="D1563" s="4">
        <v>274.39999999999998</v>
      </c>
      <c r="E1563" s="4">
        <v>56.2</v>
      </c>
      <c r="F1563" s="4">
        <v>7.89</v>
      </c>
      <c r="G1563" s="4">
        <v>18.600000000000001</v>
      </c>
      <c r="H1563" s="4">
        <v>2.31</v>
      </c>
      <c r="I1563" s="4">
        <v>31.6</v>
      </c>
      <c r="J1563" s="4">
        <v>87.1</v>
      </c>
      <c r="K1563" s="4">
        <v>1.63</v>
      </c>
      <c r="L1563" s="4">
        <v>104</v>
      </c>
      <c r="M1563" s="4">
        <v>274.39999999999998</v>
      </c>
      <c r="N1563" s="4">
        <v>70.25</v>
      </c>
      <c r="O1563" s="4">
        <v>19.725000000000001</v>
      </c>
      <c r="P1563" s="4">
        <v>46.500000000000007</v>
      </c>
      <c r="Q1563" s="4">
        <v>115.5</v>
      </c>
      <c r="R1563" s="4">
        <v>274</v>
      </c>
      <c r="S1563" s="4" t="str" cm="1">
        <f t="array" ref="S1563">_xlfn.IFS($R1563&lt;=50,"Good",$R1563&lt;=100,"Moderate",$R1563&lt;=200,"Poor",$R1563&lt;=300,"Very Poor",$R1563&lt;=500,"Hazardous")</f>
        <v>Very Poor</v>
      </c>
      <c r="T1563" t="s">
        <v>28</v>
      </c>
      <c r="X1563" s="2"/>
      <c r="Y1563" s="2"/>
    </row>
    <row r="1564" spans="1:25" x14ac:dyDescent="0.3">
      <c r="A1564" s="2">
        <v>45604</v>
      </c>
      <c r="B1564" t="s">
        <v>22</v>
      </c>
      <c r="C1564" s="4">
        <v>189.3</v>
      </c>
      <c r="D1564" s="4">
        <v>90.8</v>
      </c>
      <c r="E1564" s="4">
        <v>101.3</v>
      </c>
      <c r="F1564" s="4">
        <v>6.68</v>
      </c>
      <c r="G1564" s="4">
        <v>15.6</v>
      </c>
      <c r="H1564" s="4">
        <v>1.1399999999999999</v>
      </c>
      <c r="I1564" s="4">
        <v>24.6</v>
      </c>
      <c r="J1564" s="4">
        <v>70.400000000000006</v>
      </c>
      <c r="K1564" s="4">
        <v>3.3</v>
      </c>
      <c r="L1564" s="4">
        <v>315.5</v>
      </c>
      <c r="M1564" s="4">
        <v>90.8</v>
      </c>
      <c r="N1564" s="4">
        <v>126.625</v>
      </c>
      <c r="O1564" s="4">
        <v>16.7</v>
      </c>
      <c r="P1564" s="4">
        <v>39</v>
      </c>
      <c r="Q1564" s="4">
        <v>56.999999999999993</v>
      </c>
      <c r="R1564" s="4">
        <v>316</v>
      </c>
      <c r="S1564" s="4" t="str" cm="1">
        <f t="array" ref="S1564">_xlfn.IFS($R1564&lt;=50,"Good",$R1564&lt;=100,"Moderate",$R1564&lt;=200,"Poor",$R1564&lt;=300,"Very Poor",$R1564&lt;=500,"Hazardous")</f>
        <v>Hazardous</v>
      </c>
      <c r="T1564" t="s">
        <v>25</v>
      </c>
      <c r="X1564" s="2"/>
      <c r="Y1564" s="2"/>
    </row>
    <row r="1565" spans="1:25" x14ac:dyDescent="0.3">
      <c r="A1565" s="2">
        <v>45604</v>
      </c>
      <c r="B1565" t="s">
        <v>23</v>
      </c>
      <c r="C1565" s="4">
        <v>50.7</v>
      </c>
      <c r="D1565" s="4">
        <v>97</v>
      </c>
      <c r="E1565" s="4">
        <v>42.7</v>
      </c>
      <c r="F1565" s="4">
        <v>11.91</v>
      </c>
      <c r="G1565" s="4">
        <v>31.3</v>
      </c>
      <c r="H1565" s="4">
        <v>1.01</v>
      </c>
      <c r="I1565" s="4">
        <v>26.9</v>
      </c>
      <c r="J1565" s="4">
        <v>100</v>
      </c>
      <c r="K1565" s="4">
        <v>1.89</v>
      </c>
      <c r="L1565" s="4">
        <v>84.5</v>
      </c>
      <c r="M1565" s="4">
        <v>97</v>
      </c>
      <c r="N1565" s="4">
        <v>53.375000000000007</v>
      </c>
      <c r="O1565" s="4">
        <v>29.774999999999999</v>
      </c>
      <c r="P1565" s="4">
        <v>78.25</v>
      </c>
      <c r="Q1565" s="4">
        <v>50.5</v>
      </c>
      <c r="R1565" s="4">
        <v>97</v>
      </c>
      <c r="S1565" s="4" t="str" cm="1">
        <f t="array" ref="S1565">_xlfn.IFS($R1565&lt;=50,"Good",$R1565&lt;=100,"Moderate",$R1565&lt;=200,"Poor",$R1565&lt;=300,"Very Poor",$R1565&lt;=500,"Hazardous")</f>
        <v>Moderate</v>
      </c>
      <c r="T1565" t="s">
        <v>28</v>
      </c>
      <c r="X1565" s="2"/>
      <c r="Y1565" s="2"/>
    </row>
    <row r="1566" spans="1:25" x14ac:dyDescent="0.3">
      <c r="A1566" s="2">
        <v>45604</v>
      </c>
      <c r="B1566" t="s">
        <v>24</v>
      </c>
      <c r="C1566" s="4">
        <v>82.7</v>
      </c>
      <c r="D1566" s="4">
        <v>270.3</v>
      </c>
      <c r="E1566" s="4">
        <v>59.5</v>
      </c>
      <c r="F1566" s="4">
        <v>19.97</v>
      </c>
      <c r="G1566" s="4">
        <v>21.8</v>
      </c>
      <c r="H1566" s="4">
        <v>4.05</v>
      </c>
      <c r="I1566" s="4">
        <v>27.4</v>
      </c>
      <c r="J1566" s="4">
        <v>48.8</v>
      </c>
      <c r="K1566" s="4">
        <v>2.29</v>
      </c>
      <c r="L1566" s="4">
        <v>137.83333333333329</v>
      </c>
      <c r="M1566" s="4">
        <v>270.3</v>
      </c>
      <c r="N1566" s="4">
        <v>74.375</v>
      </c>
      <c r="O1566" s="4">
        <v>49.924999999999997</v>
      </c>
      <c r="P1566" s="4">
        <v>54.5</v>
      </c>
      <c r="Q1566" s="4">
        <v>202.5</v>
      </c>
      <c r="R1566" s="4">
        <v>270</v>
      </c>
      <c r="S1566" s="4" t="str" cm="1">
        <f t="array" ref="S1566">_xlfn.IFS($R1566&lt;=50,"Good",$R1566&lt;=100,"Moderate",$R1566&lt;=200,"Poor",$R1566&lt;=300,"Very Poor",$R1566&lt;=500,"Hazardous")</f>
        <v>Very Poor</v>
      </c>
      <c r="T1566" t="s">
        <v>28</v>
      </c>
      <c r="X1566" s="2"/>
      <c r="Y1566" s="2"/>
    </row>
    <row r="1567" spans="1:25" x14ac:dyDescent="0.3">
      <c r="A1567" s="2">
        <v>45605</v>
      </c>
      <c r="B1567" t="s">
        <v>20</v>
      </c>
      <c r="C1567" s="4">
        <v>82</v>
      </c>
      <c r="D1567" s="4">
        <v>372.4</v>
      </c>
      <c r="E1567" s="4">
        <v>36.1</v>
      </c>
      <c r="F1567" s="4">
        <v>8.57</v>
      </c>
      <c r="G1567" s="4">
        <v>26.9</v>
      </c>
      <c r="H1567" s="4">
        <v>2.19</v>
      </c>
      <c r="I1567" s="4">
        <v>23.1</v>
      </c>
      <c r="J1567" s="4">
        <v>33.200000000000003</v>
      </c>
      <c r="K1567" s="4">
        <v>2.02</v>
      </c>
      <c r="L1567" s="4">
        <v>136.66666666666671</v>
      </c>
      <c r="M1567" s="4">
        <v>372.4</v>
      </c>
      <c r="N1567" s="4">
        <v>45.125</v>
      </c>
      <c r="O1567" s="4">
        <v>21.425000000000001</v>
      </c>
      <c r="P1567" s="4">
        <v>67.249999999999986</v>
      </c>
      <c r="Q1567" s="4">
        <v>109.5</v>
      </c>
      <c r="R1567" s="4">
        <v>372</v>
      </c>
      <c r="S1567" s="4" t="str" cm="1">
        <f t="array" ref="S1567">_xlfn.IFS($R1567&lt;=50,"Good",$R1567&lt;=100,"Moderate",$R1567&lt;=200,"Poor",$R1567&lt;=300,"Very Poor",$R1567&lt;=500,"Hazardous")</f>
        <v>Hazardous</v>
      </c>
      <c r="T1567" t="s">
        <v>28</v>
      </c>
      <c r="X1567" s="2"/>
      <c r="Y1567" s="2"/>
    </row>
    <row r="1568" spans="1:25" x14ac:dyDescent="0.3">
      <c r="A1568" s="2">
        <v>45605</v>
      </c>
      <c r="B1568" t="s">
        <v>21</v>
      </c>
      <c r="C1568" s="4">
        <v>114</v>
      </c>
      <c r="D1568" s="4">
        <v>164.6</v>
      </c>
      <c r="E1568" s="4">
        <v>117.5</v>
      </c>
      <c r="F1568" s="4">
        <v>25.19</v>
      </c>
      <c r="G1568" s="4">
        <v>42.8</v>
      </c>
      <c r="H1568" s="4">
        <v>2.68</v>
      </c>
      <c r="I1568" s="4">
        <v>9.9</v>
      </c>
      <c r="J1568" s="4">
        <v>52.4</v>
      </c>
      <c r="K1568" s="4">
        <v>3.71</v>
      </c>
      <c r="L1568" s="4">
        <v>190</v>
      </c>
      <c r="M1568" s="4">
        <v>164.6</v>
      </c>
      <c r="N1568" s="4">
        <v>146.875</v>
      </c>
      <c r="O1568" s="4">
        <v>62.975000000000001</v>
      </c>
      <c r="P1568" s="4">
        <v>107</v>
      </c>
      <c r="Q1568" s="4">
        <v>134</v>
      </c>
      <c r="R1568" s="4">
        <v>190</v>
      </c>
      <c r="S1568" s="4" t="str" cm="1">
        <f t="array" ref="S1568">_xlfn.IFS($R1568&lt;=50,"Good",$R1568&lt;=100,"Moderate",$R1568&lt;=200,"Poor",$R1568&lt;=300,"Very Poor",$R1568&lt;=500,"Hazardous")</f>
        <v>Poor</v>
      </c>
      <c r="T1568" t="s">
        <v>25</v>
      </c>
      <c r="X1568" s="2"/>
      <c r="Y1568" s="2"/>
    </row>
    <row r="1569" spans="1:25" x14ac:dyDescent="0.3">
      <c r="A1569" s="2">
        <v>45605</v>
      </c>
      <c r="B1569" t="s">
        <v>22</v>
      </c>
      <c r="C1569" s="4">
        <v>71.900000000000006</v>
      </c>
      <c r="D1569" s="4">
        <v>115.2</v>
      </c>
      <c r="E1569" s="4">
        <v>137.6</v>
      </c>
      <c r="F1569" s="4">
        <v>25.98</v>
      </c>
      <c r="G1569" s="4">
        <v>44.2</v>
      </c>
      <c r="H1569" s="4">
        <v>2.86</v>
      </c>
      <c r="I1569" s="4">
        <v>9.4</v>
      </c>
      <c r="J1569" s="4">
        <v>45.8</v>
      </c>
      <c r="K1569" s="4">
        <v>1.94</v>
      </c>
      <c r="L1569" s="4">
        <v>119.8333333333333</v>
      </c>
      <c r="M1569" s="4">
        <v>115.2</v>
      </c>
      <c r="N1569" s="4">
        <v>172</v>
      </c>
      <c r="O1569" s="4">
        <v>64.95</v>
      </c>
      <c r="P1569" s="4">
        <v>110.5</v>
      </c>
      <c r="Q1569" s="4">
        <v>143</v>
      </c>
      <c r="R1569" s="4">
        <v>172</v>
      </c>
      <c r="S1569" s="4" t="str" cm="1">
        <f t="array" ref="S1569">_xlfn.IFS($R1569&lt;=50,"Good",$R1569&lt;=100,"Moderate",$R1569&lt;=200,"Poor",$R1569&lt;=300,"Very Poor",$R1569&lt;=500,"Hazardous")</f>
        <v>Poor</v>
      </c>
      <c r="T1569" t="s">
        <v>26</v>
      </c>
      <c r="X1569" s="2"/>
      <c r="Y1569" s="2"/>
    </row>
    <row r="1570" spans="1:25" x14ac:dyDescent="0.3">
      <c r="A1570" s="2">
        <v>45605</v>
      </c>
      <c r="B1570" t="s">
        <v>23</v>
      </c>
      <c r="C1570" s="4">
        <v>84.7</v>
      </c>
      <c r="D1570" s="4">
        <v>145</v>
      </c>
      <c r="E1570" s="4">
        <v>2</v>
      </c>
      <c r="F1570" s="4">
        <v>15.89</v>
      </c>
      <c r="G1570" s="4">
        <v>48.2</v>
      </c>
      <c r="H1570" s="4">
        <v>3.46</v>
      </c>
      <c r="I1570" s="4">
        <v>19.5</v>
      </c>
      <c r="J1570" s="4">
        <v>44.3</v>
      </c>
      <c r="K1570" s="4">
        <v>0.2</v>
      </c>
      <c r="L1570" s="4">
        <v>141.16666666666671</v>
      </c>
      <c r="M1570" s="4">
        <v>145</v>
      </c>
      <c r="N1570" s="4">
        <v>2.5</v>
      </c>
      <c r="O1570" s="4">
        <v>39.725000000000001</v>
      </c>
      <c r="P1570" s="4">
        <v>120.5</v>
      </c>
      <c r="Q1570" s="4">
        <v>173</v>
      </c>
      <c r="R1570" s="4">
        <v>173</v>
      </c>
      <c r="S1570" s="4" t="str" cm="1">
        <f t="array" ref="S1570">_xlfn.IFS($R1570&lt;=50,"Good",$R1570&lt;=100,"Moderate",$R1570&lt;=200,"Poor",$R1570&lt;=300,"Very Poor",$R1570&lt;=500,"Hazardous")</f>
        <v>Poor</v>
      </c>
      <c r="T1570" t="s">
        <v>29</v>
      </c>
      <c r="X1570" s="2"/>
      <c r="Y1570" s="2"/>
    </row>
    <row r="1571" spans="1:25" x14ac:dyDescent="0.3">
      <c r="A1571" s="2">
        <v>45605</v>
      </c>
      <c r="B1571" t="s">
        <v>24</v>
      </c>
      <c r="C1571" s="4">
        <v>90.1</v>
      </c>
      <c r="D1571" s="4">
        <v>306.39999999999998</v>
      </c>
      <c r="E1571" s="4">
        <v>57.7</v>
      </c>
      <c r="F1571" s="4">
        <v>32.94</v>
      </c>
      <c r="G1571" s="4">
        <v>33.200000000000003</v>
      </c>
      <c r="H1571" s="4">
        <v>2.27</v>
      </c>
      <c r="I1571" s="4">
        <v>15.5</v>
      </c>
      <c r="J1571" s="4">
        <v>65.2</v>
      </c>
      <c r="K1571" s="4">
        <v>0.62</v>
      </c>
      <c r="L1571" s="4">
        <v>150.16666666666671</v>
      </c>
      <c r="M1571" s="4">
        <v>306.39999999999998</v>
      </c>
      <c r="N1571" s="4">
        <v>72.125000000000014</v>
      </c>
      <c r="O1571" s="4">
        <v>82.35</v>
      </c>
      <c r="P1571" s="4">
        <v>83</v>
      </c>
      <c r="Q1571" s="4">
        <v>113.5</v>
      </c>
      <c r="R1571" s="4">
        <v>306</v>
      </c>
      <c r="S1571" s="4" t="str" cm="1">
        <f t="array" ref="S1571">_xlfn.IFS($R1571&lt;=50,"Good",$R1571&lt;=100,"Moderate",$R1571&lt;=200,"Poor",$R1571&lt;=300,"Very Poor",$R1571&lt;=500,"Hazardous")</f>
        <v>Hazardous</v>
      </c>
      <c r="T1571" t="s">
        <v>28</v>
      </c>
      <c r="X1571" s="2"/>
      <c r="Y1571" s="2"/>
    </row>
    <row r="1572" spans="1:25" x14ac:dyDescent="0.3">
      <c r="A1572" s="2">
        <v>45606</v>
      </c>
      <c r="B1572" t="s">
        <v>20</v>
      </c>
      <c r="C1572" s="4">
        <v>148.69999999999999</v>
      </c>
      <c r="D1572" s="4">
        <v>300.8</v>
      </c>
      <c r="E1572" s="4">
        <v>132.80000000000001</v>
      </c>
      <c r="F1572" s="4">
        <v>5.34</v>
      </c>
      <c r="G1572" s="4">
        <v>45.6</v>
      </c>
      <c r="H1572" s="4">
        <v>2.83</v>
      </c>
      <c r="I1572" s="4">
        <v>28.1</v>
      </c>
      <c r="J1572" s="4">
        <v>44.4</v>
      </c>
      <c r="K1572" s="4">
        <v>0.2</v>
      </c>
      <c r="L1572" s="4">
        <v>247.83333333333329</v>
      </c>
      <c r="M1572" s="4">
        <v>300.8</v>
      </c>
      <c r="N1572" s="4">
        <v>166</v>
      </c>
      <c r="O1572" s="4">
        <v>13.35</v>
      </c>
      <c r="P1572" s="4">
        <v>114</v>
      </c>
      <c r="Q1572" s="4">
        <v>141.5</v>
      </c>
      <c r="R1572" s="4">
        <v>301</v>
      </c>
      <c r="S1572" s="4" t="str" cm="1">
        <f t="array" ref="S1572">_xlfn.IFS($R1572&lt;=50,"Good",$R1572&lt;=100,"Moderate",$R1572&lt;=200,"Poor",$R1572&lt;=300,"Very Poor",$R1572&lt;=500,"Hazardous")</f>
        <v>Hazardous</v>
      </c>
      <c r="T1572" t="s">
        <v>28</v>
      </c>
      <c r="X1572" s="2"/>
      <c r="Y1572" s="2"/>
    </row>
    <row r="1573" spans="1:25" x14ac:dyDescent="0.3">
      <c r="A1573" s="2">
        <v>45606</v>
      </c>
      <c r="B1573" t="s">
        <v>21</v>
      </c>
      <c r="C1573" s="4">
        <v>140.80000000000001</v>
      </c>
      <c r="D1573" s="4">
        <v>221.7</v>
      </c>
      <c r="E1573" s="4">
        <v>67.3</v>
      </c>
      <c r="F1573" s="4">
        <v>23.64</v>
      </c>
      <c r="G1573" s="4">
        <v>43.7</v>
      </c>
      <c r="H1573" s="4">
        <v>0.82</v>
      </c>
      <c r="I1573" s="4">
        <v>11.5</v>
      </c>
      <c r="J1573" s="4">
        <v>39.700000000000003</v>
      </c>
      <c r="K1573" s="4">
        <v>5.37</v>
      </c>
      <c r="L1573" s="4">
        <v>234.66666666666671</v>
      </c>
      <c r="M1573" s="4">
        <v>221.7</v>
      </c>
      <c r="N1573" s="4">
        <v>84.124999999999986</v>
      </c>
      <c r="O1573" s="4">
        <v>59.1</v>
      </c>
      <c r="P1573" s="4">
        <v>109.25</v>
      </c>
      <c r="Q1573" s="4">
        <v>40.999999999999993</v>
      </c>
      <c r="R1573" s="4">
        <v>235</v>
      </c>
      <c r="S1573" s="4" t="str" cm="1">
        <f t="array" ref="S1573">_xlfn.IFS($R1573&lt;=50,"Good",$R1573&lt;=100,"Moderate",$R1573&lt;=200,"Poor",$R1573&lt;=300,"Very Poor",$R1573&lt;=500,"Hazardous")</f>
        <v>Very Poor</v>
      </c>
      <c r="T1573" t="s">
        <v>25</v>
      </c>
      <c r="X1573" s="2"/>
      <c r="Y1573" s="2"/>
    </row>
    <row r="1574" spans="1:25" x14ac:dyDescent="0.3">
      <c r="A1574" s="2">
        <v>45606</v>
      </c>
      <c r="B1574" t="s">
        <v>22</v>
      </c>
      <c r="C1574" s="4">
        <v>124.2</v>
      </c>
      <c r="D1574" s="4">
        <v>199.6</v>
      </c>
      <c r="E1574" s="4">
        <v>62.9</v>
      </c>
      <c r="F1574" s="4">
        <v>10.28</v>
      </c>
      <c r="G1574" s="4">
        <v>59.1</v>
      </c>
      <c r="H1574" s="4">
        <v>1.38</v>
      </c>
      <c r="I1574" s="4">
        <v>29</v>
      </c>
      <c r="J1574" s="4">
        <v>53.7</v>
      </c>
      <c r="K1574" s="4">
        <v>4.83</v>
      </c>
      <c r="L1574" s="4">
        <v>207</v>
      </c>
      <c r="M1574" s="4">
        <v>199.6</v>
      </c>
      <c r="N1574" s="4">
        <v>78.625</v>
      </c>
      <c r="O1574" s="4">
        <v>25.7</v>
      </c>
      <c r="P1574" s="4">
        <v>147.75</v>
      </c>
      <c r="Q1574" s="4">
        <v>68.999999999999986</v>
      </c>
      <c r="R1574" s="4">
        <v>207</v>
      </c>
      <c r="S1574" s="4" t="str" cm="1">
        <f t="array" ref="S1574">_xlfn.IFS($R1574&lt;=50,"Good",$R1574&lt;=100,"Moderate",$R1574&lt;=200,"Poor",$R1574&lt;=300,"Very Poor",$R1574&lt;=500,"Hazardous")</f>
        <v>Very Poor</v>
      </c>
      <c r="T1574" t="s">
        <v>25</v>
      </c>
      <c r="X1574" s="2"/>
      <c r="Y1574" s="2"/>
    </row>
    <row r="1575" spans="1:25" x14ac:dyDescent="0.3">
      <c r="A1575" s="2">
        <v>45606</v>
      </c>
      <c r="B1575" t="s">
        <v>23</v>
      </c>
      <c r="C1575" s="4">
        <v>131.6</v>
      </c>
      <c r="D1575" s="4">
        <v>311.60000000000002</v>
      </c>
      <c r="E1575" s="4">
        <v>53.3</v>
      </c>
      <c r="F1575" s="4">
        <v>21.27</v>
      </c>
      <c r="G1575" s="4">
        <v>29</v>
      </c>
      <c r="H1575" s="4">
        <v>2.0299999999999998</v>
      </c>
      <c r="I1575" s="4">
        <v>36.4</v>
      </c>
      <c r="J1575" s="4">
        <v>41.2</v>
      </c>
      <c r="K1575" s="4">
        <v>2.74</v>
      </c>
      <c r="L1575" s="4">
        <v>219.33333333333329</v>
      </c>
      <c r="M1575" s="4">
        <v>311.60000000000002</v>
      </c>
      <c r="N1575" s="4">
        <v>66.624999999999986</v>
      </c>
      <c r="O1575" s="4">
        <v>53.174999999999997</v>
      </c>
      <c r="P1575" s="4">
        <v>72.5</v>
      </c>
      <c r="Q1575" s="4">
        <v>101.5</v>
      </c>
      <c r="R1575" s="4">
        <v>312</v>
      </c>
      <c r="S1575" s="4" t="str" cm="1">
        <f t="array" ref="S1575">_xlfn.IFS($R1575&lt;=50,"Good",$R1575&lt;=100,"Moderate",$R1575&lt;=200,"Poor",$R1575&lt;=300,"Very Poor",$R1575&lt;=500,"Hazardous")</f>
        <v>Hazardous</v>
      </c>
      <c r="T1575" t="s">
        <v>28</v>
      </c>
      <c r="X1575" s="2"/>
      <c r="Y1575" s="2"/>
    </row>
    <row r="1576" spans="1:25" x14ac:dyDescent="0.3">
      <c r="A1576" s="2">
        <v>45606</v>
      </c>
      <c r="B1576" t="s">
        <v>24</v>
      </c>
      <c r="C1576" s="4">
        <v>128.69999999999999</v>
      </c>
      <c r="D1576" s="4">
        <v>266.10000000000002</v>
      </c>
      <c r="E1576" s="4">
        <v>63.3</v>
      </c>
      <c r="F1576" s="4">
        <v>32.44</v>
      </c>
      <c r="G1576" s="4">
        <v>7.6</v>
      </c>
      <c r="H1576" s="4">
        <v>3.65</v>
      </c>
      <c r="I1576" s="4">
        <v>33.5</v>
      </c>
      <c r="J1576" s="4">
        <v>94.2</v>
      </c>
      <c r="K1576" s="4">
        <v>1.0900000000000001</v>
      </c>
      <c r="L1576" s="4">
        <v>214.5</v>
      </c>
      <c r="M1576" s="4">
        <v>266.10000000000002</v>
      </c>
      <c r="N1576" s="4">
        <v>79.125</v>
      </c>
      <c r="O1576" s="4">
        <v>81.099999999999994</v>
      </c>
      <c r="P1576" s="4">
        <v>19</v>
      </c>
      <c r="Q1576" s="4">
        <v>182.5</v>
      </c>
      <c r="R1576" s="4">
        <v>266</v>
      </c>
      <c r="S1576" s="4" t="str" cm="1">
        <f t="array" ref="S1576">_xlfn.IFS($R1576&lt;=50,"Good",$R1576&lt;=100,"Moderate",$R1576&lt;=200,"Poor",$R1576&lt;=300,"Very Poor",$R1576&lt;=500,"Hazardous")</f>
        <v>Very Poor</v>
      </c>
      <c r="T1576" t="s">
        <v>28</v>
      </c>
      <c r="X1576" s="2"/>
      <c r="Y1576" s="2"/>
    </row>
    <row r="1577" spans="1:25" x14ac:dyDescent="0.3">
      <c r="A1577" s="2">
        <v>45607</v>
      </c>
      <c r="B1577" t="s">
        <v>20</v>
      </c>
      <c r="C1577" s="4">
        <v>62.4</v>
      </c>
      <c r="D1577" s="4">
        <v>385.5</v>
      </c>
      <c r="E1577" s="4">
        <v>13.7</v>
      </c>
      <c r="F1577" s="4">
        <v>0.5</v>
      </c>
      <c r="G1577" s="4">
        <v>28.8</v>
      </c>
      <c r="H1577" s="4">
        <v>2.42</v>
      </c>
      <c r="I1577" s="4">
        <v>36.1</v>
      </c>
      <c r="J1577" s="4">
        <v>56.7</v>
      </c>
      <c r="K1577" s="4">
        <v>1.77</v>
      </c>
      <c r="L1577" s="4">
        <v>104</v>
      </c>
      <c r="M1577" s="4">
        <v>385.5</v>
      </c>
      <c r="N1577" s="4">
        <v>17.125</v>
      </c>
      <c r="O1577" s="4">
        <v>1.25</v>
      </c>
      <c r="P1577" s="4">
        <v>72.000000000000014</v>
      </c>
      <c r="Q1577" s="4">
        <v>121</v>
      </c>
      <c r="R1577" s="4">
        <v>386</v>
      </c>
      <c r="S1577" s="4" t="str" cm="1">
        <f t="array" ref="S1577">_xlfn.IFS($R1577&lt;=50,"Good",$R1577&lt;=100,"Moderate",$R1577&lt;=200,"Poor",$R1577&lt;=300,"Very Poor",$R1577&lt;=500,"Hazardous")</f>
        <v>Hazardous</v>
      </c>
      <c r="T1577" t="s">
        <v>28</v>
      </c>
      <c r="X1577" s="2"/>
      <c r="Y1577" s="2"/>
    </row>
    <row r="1578" spans="1:25" x14ac:dyDescent="0.3">
      <c r="A1578" s="2">
        <v>45607</v>
      </c>
      <c r="B1578" t="s">
        <v>21</v>
      </c>
      <c r="C1578" s="4">
        <v>138.69999999999999</v>
      </c>
      <c r="D1578" s="4">
        <v>296.39999999999998</v>
      </c>
      <c r="E1578" s="4">
        <v>107.6</v>
      </c>
      <c r="F1578" s="4">
        <v>14.22</v>
      </c>
      <c r="G1578" s="4">
        <v>1</v>
      </c>
      <c r="H1578" s="4">
        <v>1.3</v>
      </c>
      <c r="I1578" s="4">
        <v>34.9</v>
      </c>
      <c r="J1578" s="4">
        <v>63.4</v>
      </c>
      <c r="K1578" s="4">
        <v>2.11</v>
      </c>
      <c r="L1578" s="4">
        <v>231.16666666666671</v>
      </c>
      <c r="M1578" s="4">
        <v>296.39999999999998</v>
      </c>
      <c r="N1578" s="4">
        <v>134.5</v>
      </c>
      <c r="O1578" s="4">
        <v>35.549999999999997</v>
      </c>
      <c r="P1578" s="4">
        <v>2.5</v>
      </c>
      <c r="Q1578" s="4">
        <v>65</v>
      </c>
      <c r="R1578" s="4">
        <v>296</v>
      </c>
      <c r="S1578" s="4" t="str" cm="1">
        <f t="array" ref="S1578">_xlfn.IFS($R1578&lt;=50,"Good",$R1578&lt;=100,"Moderate",$R1578&lt;=200,"Poor",$R1578&lt;=300,"Very Poor",$R1578&lt;=500,"Hazardous")</f>
        <v>Very Poor</v>
      </c>
      <c r="T1578" t="s">
        <v>28</v>
      </c>
      <c r="X1578" s="2"/>
      <c r="Y1578" s="2"/>
    </row>
    <row r="1579" spans="1:25" x14ac:dyDescent="0.3">
      <c r="A1579" s="2">
        <v>45607</v>
      </c>
      <c r="B1579" t="s">
        <v>22</v>
      </c>
      <c r="C1579" s="4">
        <v>142.19999999999999</v>
      </c>
      <c r="D1579" s="4">
        <v>79.3</v>
      </c>
      <c r="E1579" s="4">
        <v>61.5</v>
      </c>
      <c r="F1579" s="4">
        <v>13.21</v>
      </c>
      <c r="G1579" s="4">
        <v>24.8</v>
      </c>
      <c r="H1579" s="4">
        <v>1.92</v>
      </c>
      <c r="I1579" s="4">
        <v>23.7</v>
      </c>
      <c r="J1579" s="4">
        <v>34.799999999999997</v>
      </c>
      <c r="K1579" s="4">
        <v>2.72</v>
      </c>
      <c r="L1579" s="4">
        <v>237</v>
      </c>
      <c r="M1579" s="4">
        <v>79.3</v>
      </c>
      <c r="N1579" s="4">
        <v>76.875</v>
      </c>
      <c r="O1579" s="4">
        <v>33.024999999999999</v>
      </c>
      <c r="P1579" s="4">
        <v>62</v>
      </c>
      <c r="Q1579" s="4">
        <v>96</v>
      </c>
      <c r="R1579" s="4">
        <v>237</v>
      </c>
      <c r="S1579" s="4" t="str" cm="1">
        <f t="array" ref="S1579">_xlfn.IFS($R1579&lt;=50,"Good",$R1579&lt;=100,"Moderate",$R1579&lt;=200,"Poor",$R1579&lt;=300,"Very Poor",$R1579&lt;=500,"Hazardous")</f>
        <v>Very Poor</v>
      </c>
      <c r="T1579" t="s">
        <v>25</v>
      </c>
      <c r="X1579" s="2"/>
      <c r="Y1579" s="2"/>
    </row>
    <row r="1580" spans="1:25" x14ac:dyDescent="0.3">
      <c r="A1580" s="2">
        <v>45607</v>
      </c>
      <c r="B1580" t="s">
        <v>23</v>
      </c>
      <c r="C1580" s="4">
        <v>32.200000000000003</v>
      </c>
      <c r="D1580" s="4">
        <v>207.9</v>
      </c>
      <c r="E1580" s="4">
        <v>116</v>
      </c>
      <c r="F1580" s="4">
        <v>10.55</v>
      </c>
      <c r="G1580" s="4">
        <v>9.6</v>
      </c>
      <c r="H1580" s="4">
        <v>1.8</v>
      </c>
      <c r="I1580" s="4">
        <v>19.2</v>
      </c>
      <c r="J1580" s="4">
        <v>70.7</v>
      </c>
      <c r="K1580" s="4">
        <v>2.3199999999999998</v>
      </c>
      <c r="L1580" s="4">
        <v>53.666666666666671</v>
      </c>
      <c r="M1580" s="4">
        <v>207.9</v>
      </c>
      <c r="N1580" s="4">
        <v>145</v>
      </c>
      <c r="O1580" s="4">
        <v>26.375</v>
      </c>
      <c r="P1580" s="4">
        <v>24</v>
      </c>
      <c r="Q1580" s="4">
        <v>90</v>
      </c>
      <c r="R1580" s="4">
        <v>208</v>
      </c>
      <c r="S1580" s="4" t="str" cm="1">
        <f t="array" ref="S1580">_xlfn.IFS($R1580&lt;=50,"Good",$R1580&lt;=100,"Moderate",$R1580&lt;=200,"Poor",$R1580&lt;=300,"Very Poor",$R1580&lt;=500,"Hazardous")</f>
        <v>Very Poor</v>
      </c>
      <c r="T1580" t="s">
        <v>28</v>
      </c>
      <c r="X1580" s="2"/>
      <c r="Y1580" s="2"/>
    </row>
    <row r="1581" spans="1:25" x14ac:dyDescent="0.3">
      <c r="A1581" s="2">
        <v>45607</v>
      </c>
      <c r="B1581" t="s">
        <v>24</v>
      </c>
      <c r="C1581" s="4">
        <v>195.9</v>
      </c>
      <c r="D1581" s="4">
        <v>334</v>
      </c>
      <c r="E1581" s="4">
        <v>73.8</v>
      </c>
      <c r="F1581" s="4">
        <v>20.38</v>
      </c>
      <c r="G1581" s="4">
        <v>29.9</v>
      </c>
      <c r="H1581" s="4">
        <v>2.15</v>
      </c>
      <c r="I1581" s="4">
        <v>22.5</v>
      </c>
      <c r="J1581" s="4">
        <v>73.8</v>
      </c>
      <c r="K1581" s="4">
        <v>4.72</v>
      </c>
      <c r="L1581" s="4">
        <v>326.5</v>
      </c>
      <c r="M1581" s="4">
        <v>334</v>
      </c>
      <c r="N1581" s="4">
        <v>92.25</v>
      </c>
      <c r="O1581" s="4">
        <v>50.95</v>
      </c>
      <c r="P1581" s="4">
        <v>74.75</v>
      </c>
      <c r="Q1581" s="4">
        <v>107.5</v>
      </c>
      <c r="R1581" s="4">
        <v>334</v>
      </c>
      <c r="S1581" s="4" t="str" cm="1">
        <f t="array" ref="S1581">_xlfn.IFS($R1581&lt;=50,"Good",$R1581&lt;=100,"Moderate",$R1581&lt;=200,"Poor",$R1581&lt;=300,"Very Poor",$R1581&lt;=500,"Hazardous")</f>
        <v>Hazardous</v>
      </c>
      <c r="T1581" t="s">
        <v>28</v>
      </c>
      <c r="X1581" s="2"/>
      <c r="Y1581" s="2"/>
    </row>
    <row r="1582" spans="1:25" x14ac:dyDescent="0.3">
      <c r="A1582" s="2">
        <v>45608</v>
      </c>
      <c r="B1582" t="s">
        <v>20</v>
      </c>
      <c r="C1582" s="4">
        <v>154.5</v>
      </c>
      <c r="D1582" s="4">
        <v>322.60000000000002</v>
      </c>
      <c r="E1582" s="4">
        <v>116.8</v>
      </c>
      <c r="F1582" s="4">
        <v>19.79</v>
      </c>
      <c r="G1582" s="4">
        <v>11.9</v>
      </c>
      <c r="H1582" s="4">
        <v>4.09</v>
      </c>
      <c r="I1582" s="4">
        <v>37.6</v>
      </c>
      <c r="J1582" s="4">
        <v>55.8</v>
      </c>
      <c r="K1582" s="4">
        <v>2.06</v>
      </c>
      <c r="L1582" s="4">
        <v>257.5</v>
      </c>
      <c r="M1582" s="4">
        <v>322.60000000000002</v>
      </c>
      <c r="N1582" s="4">
        <v>146</v>
      </c>
      <c r="O1582" s="4">
        <v>49.475000000000001</v>
      </c>
      <c r="P1582" s="4">
        <v>29.75</v>
      </c>
      <c r="Q1582" s="4">
        <v>204.5</v>
      </c>
      <c r="R1582" s="4">
        <v>323</v>
      </c>
      <c r="S1582" s="4" t="str" cm="1">
        <f t="array" ref="S1582">_xlfn.IFS($R1582&lt;=50,"Good",$R1582&lt;=100,"Moderate",$R1582&lt;=200,"Poor",$R1582&lt;=300,"Very Poor",$R1582&lt;=500,"Hazardous")</f>
        <v>Hazardous</v>
      </c>
      <c r="T1582" t="s">
        <v>28</v>
      </c>
      <c r="X1582" s="2"/>
      <c r="Y1582" s="2"/>
    </row>
    <row r="1583" spans="1:25" x14ac:dyDescent="0.3">
      <c r="A1583" s="2">
        <v>45608</v>
      </c>
      <c r="B1583" t="s">
        <v>21</v>
      </c>
      <c r="C1583" s="4">
        <v>156.69999999999999</v>
      </c>
      <c r="D1583" s="4">
        <v>306.10000000000002</v>
      </c>
      <c r="E1583" s="4">
        <v>81.900000000000006</v>
      </c>
      <c r="F1583" s="4">
        <v>3.5</v>
      </c>
      <c r="G1583" s="4">
        <v>53.6</v>
      </c>
      <c r="H1583" s="4">
        <v>3.06</v>
      </c>
      <c r="I1583" s="4">
        <v>30.1</v>
      </c>
      <c r="J1583" s="4">
        <v>66.3</v>
      </c>
      <c r="K1583" s="4">
        <v>2.17</v>
      </c>
      <c r="L1583" s="4">
        <v>261.16666666666669</v>
      </c>
      <c r="M1583" s="4">
        <v>306.10000000000002</v>
      </c>
      <c r="N1583" s="4">
        <v>102.375</v>
      </c>
      <c r="O1583" s="4">
        <v>8.75</v>
      </c>
      <c r="P1583" s="4">
        <v>134</v>
      </c>
      <c r="Q1583" s="4">
        <v>153</v>
      </c>
      <c r="R1583" s="4">
        <v>306</v>
      </c>
      <c r="S1583" s="4" t="str" cm="1">
        <f t="array" ref="S1583">_xlfn.IFS($R1583&lt;=50,"Good",$R1583&lt;=100,"Moderate",$R1583&lt;=200,"Poor",$R1583&lt;=300,"Very Poor",$R1583&lt;=500,"Hazardous")</f>
        <v>Hazardous</v>
      </c>
      <c r="T1583" t="s">
        <v>28</v>
      </c>
      <c r="X1583" s="2"/>
      <c r="Y1583" s="2"/>
    </row>
    <row r="1584" spans="1:25" x14ac:dyDescent="0.3">
      <c r="A1584" s="2">
        <v>45608</v>
      </c>
      <c r="B1584" t="s">
        <v>22</v>
      </c>
      <c r="C1584" s="4">
        <v>136.5</v>
      </c>
      <c r="D1584" s="4">
        <v>188.4</v>
      </c>
      <c r="E1584" s="4">
        <v>54.3</v>
      </c>
      <c r="F1584" s="4">
        <v>10.79</v>
      </c>
      <c r="G1584" s="4">
        <v>1</v>
      </c>
      <c r="H1584" s="4">
        <v>1.66</v>
      </c>
      <c r="I1584" s="4">
        <v>29.8</v>
      </c>
      <c r="J1584" s="4">
        <v>66.099999999999994</v>
      </c>
      <c r="K1584" s="4">
        <v>4.32</v>
      </c>
      <c r="L1584" s="4">
        <v>227.5</v>
      </c>
      <c r="M1584" s="4">
        <v>188.4</v>
      </c>
      <c r="N1584" s="4">
        <v>67.874999999999986</v>
      </c>
      <c r="O1584" s="4">
        <v>26.975000000000001</v>
      </c>
      <c r="P1584" s="4">
        <v>2.5</v>
      </c>
      <c r="Q1584" s="4">
        <v>82.999999999999986</v>
      </c>
      <c r="R1584" s="4">
        <v>228</v>
      </c>
      <c r="S1584" s="4" t="str" cm="1">
        <f t="array" ref="S1584">_xlfn.IFS($R1584&lt;=50,"Good",$R1584&lt;=100,"Moderate",$R1584&lt;=200,"Poor",$R1584&lt;=300,"Very Poor",$R1584&lt;=500,"Hazardous")</f>
        <v>Very Poor</v>
      </c>
      <c r="T1584" t="s">
        <v>25</v>
      </c>
      <c r="X1584" s="2"/>
      <c r="Y1584" s="2"/>
    </row>
    <row r="1585" spans="1:25" x14ac:dyDescent="0.3">
      <c r="A1585" s="2">
        <v>45608</v>
      </c>
      <c r="B1585" t="s">
        <v>23</v>
      </c>
      <c r="C1585" s="4">
        <v>83.4</v>
      </c>
      <c r="D1585" s="4">
        <v>238.8</v>
      </c>
      <c r="E1585" s="4">
        <v>97.4</v>
      </c>
      <c r="F1585" s="4">
        <v>31.54</v>
      </c>
      <c r="G1585" s="4">
        <v>39.299999999999997</v>
      </c>
      <c r="H1585" s="4">
        <v>0.92</v>
      </c>
      <c r="I1585" s="4">
        <v>30.9</v>
      </c>
      <c r="J1585" s="4">
        <v>93.6</v>
      </c>
      <c r="K1585" s="4">
        <v>2.11</v>
      </c>
      <c r="L1585" s="4">
        <v>139</v>
      </c>
      <c r="M1585" s="4">
        <v>238.8</v>
      </c>
      <c r="N1585" s="4">
        <v>121.75</v>
      </c>
      <c r="O1585" s="4">
        <v>78.850000000000009</v>
      </c>
      <c r="P1585" s="4">
        <v>98.249999999999986</v>
      </c>
      <c r="Q1585" s="4">
        <v>46</v>
      </c>
      <c r="R1585" s="4">
        <v>239</v>
      </c>
      <c r="S1585" s="4" t="str" cm="1">
        <f t="array" ref="S1585">_xlfn.IFS($R1585&lt;=50,"Good",$R1585&lt;=100,"Moderate",$R1585&lt;=200,"Poor",$R1585&lt;=300,"Very Poor",$R1585&lt;=500,"Hazardous")</f>
        <v>Very Poor</v>
      </c>
      <c r="T1585" t="s">
        <v>28</v>
      </c>
      <c r="X1585" s="2"/>
      <c r="Y1585" s="2"/>
    </row>
    <row r="1586" spans="1:25" x14ac:dyDescent="0.3">
      <c r="A1586" s="2">
        <v>45608</v>
      </c>
      <c r="B1586" t="s">
        <v>24</v>
      </c>
      <c r="C1586" s="4">
        <v>150</v>
      </c>
      <c r="D1586" s="4">
        <v>341</v>
      </c>
      <c r="E1586" s="4">
        <v>115</v>
      </c>
      <c r="F1586" s="4">
        <v>15.18</v>
      </c>
      <c r="G1586" s="4">
        <v>22.3</v>
      </c>
      <c r="H1586" s="4">
        <v>2.0299999999999998</v>
      </c>
      <c r="I1586" s="4">
        <v>28.2</v>
      </c>
      <c r="J1586" s="4">
        <v>76.3</v>
      </c>
      <c r="K1586" s="4">
        <v>3.4</v>
      </c>
      <c r="L1586" s="4">
        <v>250</v>
      </c>
      <c r="M1586" s="4">
        <v>341</v>
      </c>
      <c r="N1586" s="4">
        <v>143.75</v>
      </c>
      <c r="O1586" s="4">
        <v>37.950000000000003</v>
      </c>
      <c r="P1586" s="4">
        <v>55.75</v>
      </c>
      <c r="Q1586" s="4">
        <v>101.5</v>
      </c>
      <c r="R1586" s="4">
        <v>341</v>
      </c>
      <c r="S1586" s="4" t="str" cm="1">
        <f t="array" ref="S1586">_xlfn.IFS($R1586&lt;=50,"Good",$R1586&lt;=100,"Moderate",$R1586&lt;=200,"Poor",$R1586&lt;=300,"Very Poor",$R1586&lt;=500,"Hazardous")</f>
        <v>Hazardous</v>
      </c>
      <c r="T1586" t="s">
        <v>28</v>
      </c>
      <c r="X1586" s="2"/>
      <c r="Y1586" s="2"/>
    </row>
    <row r="1587" spans="1:25" x14ac:dyDescent="0.3">
      <c r="A1587" s="2">
        <v>45609</v>
      </c>
      <c r="B1587" t="s">
        <v>20</v>
      </c>
      <c r="C1587" s="4">
        <v>89.4</v>
      </c>
      <c r="D1587" s="4">
        <v>282.10000000000002</v>
      </c>
      <c r="E1587" s="4">
        <v>114.5</v>
      </c>
      <c r="F1587" s="4">
        <v>18.21</v>
      </c>
      <c r="G1587" s="4">
        <v>19.8</v>
      </c>
      <c r="H1587" s="4">
        <v>2.0099999999999998</v>
      </c>
      <c r="I1587" s="4">
        <v>31.6</v>
      </c>
      <c r="J1587" s="4">
        <v>35.1</v>
      </c>
      <c r="K1587" s="4">
        <v>0.2</v>
      </c>
      <c r="L1587" s="4">
        <v>149</v>
      </c>
      <c r="M1587" s="4">
        <v>282.10000000000002</v>
      </c>
      <c r="N1587" s="4">
        <v>143.125</v>
      </c>
      <c r="O1587" s="4">
        <v>45.525000000000013</v>
      </c>
      <c r="P1587" s="4">
        <v>49.5</v>
      </c>
      <c r="Q1587" s="4">
        <v>100.5</v>
      </c>
      <c r="R1587" s="4">
        <v>282</v>
      </c>
      <c r="S1587" s="4" t="str" cm="1">
        <f t="array" ref="S1587">_xlfn.IFS($R1587&lt;=50,"Good",$R1587&lt;=100,"Moderate",$R1587&lt;=200,"Poor",$R1587&lt;=300,"Very Poor",$R1587&lt;=500,"Hazardous")</f>
        <v>Very Poor</v>
      </c>
      <c r="T1587" t="s">
        <v>28</v>
      </c>
      <c r="X1587" s="2"/>
      <c r="Y1587" s="2"/>
    </row>
    <row r="1588" spans="1:25" x14ac:dyDescent="0.3">
      <c r="A1588" s="2">
        <v>45609</v>
      </c>
      <c r="B1588" t="s">
        <v>21</v>
      </c>
      <c r="C1588" s="4">
        <v>210.5</v>
      </c>
      <c r="D1588" s="4">
        <v>301.39999999999998</v>
      </c>
      <c r="E1588" s="4">
        <v>114.3</v>
      </c>
      <c r="F1588" s="4">
        <v>5.23</v>
      </c>
      <c r="G1588" s="4">
        <v>65.7</v>
      </c>
      <c r="H1588" s="4">
        <v>2.73</v>
      </c>
      <c r="I1588" s="4">
        <v>13.9</v>
      </c>
      <c r="J1588" s="4">
        <v>85.6</v>
      </c>
      <c r="K1588" s="4">
        <v>2.69</v>
      </c>
      <c r="L1588" s="4">
        <v>350.83333333333331</v>
      </c>
      <c r="M1588" s="4">
        <v>301.39999999999998</v>
      </c>
      <c r="N1588" s="4">
        <v>142.875</v>
      </c>
      <c r="O1588" s="4">
        <v>13.074999999999999</v>
      </c>
      <c r="P1588" s="4">
        <v>164.25</v>
      </c>
      <c r="Q1588" s="4">
        <v>136.5</v>
      </c>
      <c r="R1588" s="4">
        <v>351</v>
      </c>
      <c r="S1588" s="4" t="str" cm="1">
        <f t="array" ref="S1588">_xlfn.IFS($R1588&lt;=50,"Good",$R1588&lt;=100,"Moderate",$R1588&lt;=200,"Poor",$R1588&lt;=300,"Very Poor",$R1588&lt;=500,"Hazardous")</f>
        <v>Hazardous</v>
      </c>
      <c r="T1588" t="s">
        <v>25</v>
      </c>
      <c r="X1588" s="2"/>
      <c r="Y1588" s="2"/>
    </row>
    <row r="1589" spans="1:25" x14ac:dyDescent="0.3">
      <c r="A1589" s="2">
        <v>45609</v>
      </c>
      <c r="B1589" t="s">
        <v>22</v>
      </c>
      <c r="C1589" s="4">
        <v>73.099999999999994</v>
      </c>
      <c r="D1589" s="4">
        <v>147.9</v>
      </c>
      <c r="E1589" s="4">
        <v>7.1</v>
      </c>
      <c r="F1589" s="4">
        <v>16.670000000000002</v>
      </c>
      <c r="G1589" s="4">
        <v>39.799999999999997</v>
      </c>
      <c r="H1589" s="4">
        <v>1.65</v>
      </c>
      <c r="I1589" s="4">
        <v>33.9</v>
      </c>
      <c r="J1589" s="4">
        <v>35.1</v>
      </c>
      <c r="K1589" s="4">
        <v>1.78</v>
      </c>
      <c r="L1589" s="4">
        <v>121.8333333333333</v>
      </c>
      <c r="M1589" s="4">
        <v>147.9</v>
      </c>
      <c r="N1589" s="4">
        <v>8.875</v>
      </c>
      <c r="O1589" s="4">
        <v>41.674999999999997</v>
      </c>
      <c r="P1589" s="4">
        <v>99.499999999999986</v>
      </c>
      <c r="Q1589" s="4">
        <v>82.499999999999986</v>
      </c>
      <c r="R1589" s="4">
        <v>148</v>
      </c>
      <c r="S1589" s="4" t="str" cm="1">
        <f t="array" ref="S1589">_xlfn.IFS($R1589&lt;=50,"Good",$R1589&lt;=100,"Moderate",$R1589&lt;=200,"Poor",$R1589&lt;=300,"Very Poor",$R1589&lt;=500,"Hazardous")</f>
        <v>Poor</v>
      </c>
      <c r="T1589" t="s">
        <v>28</v>
      </c>
      <c r="X1589" s="2"/>
      <c r="Y1589" s="2"/>
    </row>
    <row r="1590" spans="1:25" x14ac:dyDescent="0.3">
      <c r="A1590" s="2">
        <v>45609</v>
      </c>
      <c r="B1590" t="s">
        <v>23</v>
      </c>
      <c r="C1590" s="4">
        <v>55.2</v>
      </c>
      <c r="D1590" s="4">
        <v>165.2</v>
      </c>
      <c r="E1590" s="4">
        <v>74.2</v>
      </c>
      <c r="F1590" s="4">
        <v>16.239999999999998</v>
      </c>
      <c r="G1590" s="4">
        <v>28.2</v>
      </c>
      <c r="H1590" s="4">
        <v>1.08</v>
      </c>
      <c r="I1590" s="4">
        <v>36.799999999999997</v>
      </c>
      <c r="J1590" s="4">
        <v>100</v>
      </c>
      <c r="K1590" s="4">
        <v>2.67</v>
      </c>
      <c r="L1590" s="4">
        <v>92</v>
      </c>
      <c r="M1590" s="4">
        <v>165.2</v>
      </c>
      <c r="N1590" s="4">
        <v>92.75</v>
      </c>
      <c r="O1590" s="4">
        <v>40.599999999999987</v>
      </c>
      <c r="P1590" s="4">
        <v>70.5</v>
      </c>
      <c r="Q1590" s="4">
        <v>54.000000000000007</v>
      </c>
      <c r="R1590" s="4">
        <v>165</v>
      </c>
      <c r="S1590" s="4" t="str" cm="1">
        <f t="array" ref="S1590">_xlfn.IFS($R1590&lt;=50,"Good",$R1590&lt;=100,"Moderate",$R1590&lt;=200,"Poor",$R1590&lt;=300,"Very Poor",$R1590&lt;=500,"Hazardous")</f>
        <v>Poor</v>
      </c>
      <c r="T1590" t="s">
        <v>28</v>
      </c>
      <c r="X1590" s="2"/>
      <c r="Y1590" s="2"/>
    </row>
    <row r="1591" spans="1:25" x14ac:dyDescent="0.3">
      <c r="A1591" s="2">
        <v>45609</v>
      </c>
      <c r="B1591" t="s">
        <v>24</v>
      </c>
      <c r="C1591" s="4">
        <v>65.599999999999994</v>
      </c>
      <c r="D1591" s="4">
        <v>367</v>
      </c>
      <c r="E1591" s="4">
        <v>28.3</v>
      </c>
      <c r="F1591" s="4">
        <v>11.13</v>
      </c>
      <c r="G1591" s="4">
        <v>22.4</v>
      </c>
      <c r="H1591" s="4">
        <v>0.89</v>
      </c>
      <c r="I1591" s="4">
        <v>23</v>
      </c>
      <c r="J1591" s="4">
        <v>44.4</v>
      </c>
      <c r="K1591" s="4">
        <v>3.02</v>
      </c>
      <c r="L1591" s="4">
        <v>109.3333333333333</v>
      </c>
      <c r="M1591" s="4">
        <v>367</v>
      </c>
      <c r="N1591" s="4">
        <v>35.375000000000007</v>
      </c>
      <c r="O1591" s="4">
        <v>27.824999999999999</v>
      </c>
      <c r="P1591" s="4">
        <v>55.999999999999993</v>
      </c>
      <c r="Q1591" s="4">
        <v>44.5</v>
      </c>
      <c r="R1591" s="4">
        <v>367</v>
      </c>
      <c r="S1591" s="4" t="str" cm="1">
        <f t="array" ref="S1591">_xlfn.IFS($R1591&lt;=50,"Good",$R1591&lt;=100,"Moderate",$R1591&lt;=200,"Poor",$R1591&lt;=300,"Very Poor",$R1591&lt;=500,"Hazardous")</f>
        <v>Hazardous</v>
      </c>
      <c r="T1591" t="s">
        <v>28</v>
      </c>
      <c r="X1591" s="2"/>
      <c r="Y1591" s="2"/>
    </row>
    <row r="1592" spans="1:25" x14ac:dyDescent="0.3">
      <c r="A1592" s="2">
        <v>45610</v>
      </c>
      <c r="B1592" t="s">
        <v>20</v>
      </c>
      <c r="C1592" s="4">
        <v>111.9</v>
      </c>
      <c r="D1592" s="4">
        <v>152.19999999999999</v>
      </c>
      <c r="E1592" s="4">
        <v>69.2</v>
      </c>
      <c r="F1592" s="4">
        <v>12.6</v>
      </c>
      <c r="G1592" s="4">
        <v>62.4</v>
      </c>
      <c r="H1592" s="4">
        <v>2.04</v>
      </c>
      <c r="I1592" s="4">
        <v>30.8</v>
      </c>
      <c r="J1592" s="4">
        <v>70.5</v>
      </c>
      <c r="K1592" s="4">
        <v>3.19</v>
      </c>
      <c r="L1592" s="4">
        <v>186.5</v>
      </c>
      <c r="M1592" s="4">
        <v>152.19999999999999</v>
      </c>
      <c r="N1592" s="4">
        <v>86.500000000000014</v>
      </c>
      <c r="O1592" s="4">
        <v>31.5</v>
      </c>
      <c r="P1592" s="4">
        <v>156</v>
      </c>
      <c r="Q1592" s="4">
        <v>102</v>
      </c>
      <c r="R1592" s="4">
        <v>186</v>
      </c>
      <c r="S1592" s="4" t="str" cm="1">
        <f t="array" ref="S1592">_xlfn.IFS($R1592&lt;=50,"Good",$R1592&lt;=100,"Moderate",$R1592&lt;=200,"Poor",$R1592&lt;=300,"Very Poor",$R1592&lt;=500,"Hazardous")</f>
        <v>Poor</v>
      </c>
      <c r="T1592" t="s">
        <v>25</v>
      </c>
      <c r="X1592" s="2"/>
      <c r="Y1592" s="2"/>
    </row>
    <row r="1593" spans="1:25" x14ac:dyDescent="0.3">
      <c r="A1593" s="2">
        <v>45610</v>
      </c>
      <c r="B1593" t="s">
        <v>21</v>
      </c>
      <c r="C1593" s="4">
        <v>203.3</v>
      </c>
      <c r="D1593" s="4">
        <v>105.7</v>
      </c>
      <c r="E1593" s="4">
        <v>71.099999999999994</v>
      </c>
      <c r="F1593" s="4">
        <v>33.630000000000003</v>
      </c>
      <c r="G1593" s="4">
        <v>37.799999999999997</v>
      </c>
      <c r="H1593" s="4">
        <v>0.05</v>
      </c>
      <c r="I1593" s="4">
        <v>23.6</v>
      </c>
      <c r="J1593" s="4">
        <v>62.4</v>
      </c>
      <c r="K1593" s="4">
        <v>0.2</v>
      </c>
      <c r="L1593" s="4">
        <v>338.83333333333343</v>
      </c>
      <c r="M1593" s="4">
        <v>105.7</v>
      </c>
      <c r="N1593" s="4">
        <v>88.875</v>
      </c>
      <c r="O1593" s="4">
        <v>84.075000000000017</v>
      </c>
      <c r="P1593" s="4">
        <v>94.499999999999986</v>
      </c>
      <c r="Q1593" s="4">
        <v>2.5</v>
      </c>
      <c r="R1593" s="4">
        <v>339</v>
      </c>
      <c r="S1593" s="4" t="str" cm="1">
        <f t="array" ref="S1593">_xlfn.IFS($R1593&lt;=50,"Good",$R1593&lt;=100,"Moderate",$R1593&lt;=200,"Poor",$R1593&lt;=300,"Very Poor",$R1593&lt;=500,"Hazardous")</f>
        <v>Hazardous</v>
      </c>
      <c r="T1593" t="s">
        <v>25</v>
      </c>
      <c r="X1593" s="2"/>
      <c r="Y1593" s="2"/>
    </row>
    <row r="1594" spans="1:25" x14ac:dyDescent="0.3">
      <c r="A1594" s="2">
        <v>45610</v>
      </c>
      <c r="B1594" t="s">
        <v>22</v>
      </c>
      <c r="C1594" s="4">
        <v>152</v>
      </c>
      <c r="D1594" s="4">
        <v>117.3</v>
      </c>
      <c r="E1594" s="4">
        <v>78.400000000000006</v>
      </c>
      <c r="F1594" s="4">
        <v>10.44</v>
      </c>
      <c r="G1594" s="4">
        <v>6.7</v>
      </c>
      <c r="H1594" s="4">
        <v>0.85</v>
      </c>
      <c r="I1594" s="4">
        <v>18.5</v>
      </c>
      <c r="J1594" s="4">
        <v>79.5</v>
      </c>
      <c r="K1594" s="4">
        <v>2.3199999999999998</v>
      </c>
      <c r="L1594" s="4">
        <v>253.33333333333329</v>
      </c>
      <c r="M1594" s="4">
        <v>117.3</v>
      </c>
      <c r="N1594" s="4">
        <v>98</v>
      </c>
      <c r="O1594" s="4">
        <v>26.1</v>
      </c>
      <c r="P1594" s="4">
        <v>16.75</v>
      </c>
      <c r="Q1594" s="4">
        <v>42.499999999999993</v>
      </c>
      <c r="R1594" s="4">
        <v>253</v>
      </c>
      <c r="S1594" s="4" t="str" cm="1">
        <f t="array" ref="S1594">_xlfn.IFS($R1594&lt;=50,"Good",$R1594&lt;=100,"Moderate",$R1594&lt;=200,"Poor",$R1594&lt;=300,"Very Poor",$R1594&lt;=500,"Hazardous")</f>
        <v>Very Poor</v>
      </c>
      <c r="T1594" t="s">
        <v>25</v>
      </c>
      <c r="X1594" s="2"/>
      <c r="Y1594" s="2"/>
    </row>
    <row r="1595" spans="1:25" x14ac:dyDescent="0.3">
      <c r="A1595" s="2">
        <v>45610</v>
      </c>
      <c r="B1595" t="s">
        <v>23</v>
      </c>
      <c r="C1595" s="4">
        <v>71</v>
      </c>
      <c r="D1595" s="4">
        <v>102.3</v>
      </c>
      <c r="E1595" s="4">
        <v>110.3</v>
      </c>
      <c r="F1595" s="4">
        <v>24.51</v>
      </c>
      <c r="G1595" s="4">
        <v>62.7</v>
      </c>
      <c r="H1595" s="4">
        <v>2.39</v>
      </c>
      <c r="I1595" s="4">
        <v>27</v>
      </c>
      <c r="J1595" s="4">
        <v>38.1</v>
      </c>
      <c r="K1595" s="4">
        <v>2.21</v>
      </c>
      <c r="L1595" s="4">
        <v>118.3333333333333</v>
      </c>
      <c r="M1595" s="4">
        <v>102.3</v>
      </c>
      <c r="N1595" s="4">
        <v>137.875</v>
      </c>
      <c r="O1595" s="4">
        <v>61.275000000000013</v>
      </c>
      <c r="P1595" s="4">
        <v>156.75</v>
      </c>
      <c r="Q1595" s="4">
        <v>119.5</v>
      </c>
      <c r="R1595" s="4">
        <v>157</v>
      </c>
      <c r="S1595" s="4" t="str" cm="1">
        <f t="array" ref="S1595">_xlfn.IFS($R1595&lt;=50,"Good",$R1595&lt;=100,"Moderate",$R1595&lt;=200,"Poor",$R1595&lt;=300,"Very Poor",$R1595&lt;=500,"Hazardous")</f>
        <v>Poor</v>
      </c>
      <c r="T1595" t="s">
        <v>27</v>
      </c>
      <c r="X1595" s="2"/>
      <c r="Y1595" s="2"/>
    </row>
    <row r="1596" spans="1:25" x14ac:dyDescent="0.3">
      <c r="A1596" s="2">
        <v>45610</v>
      </c>
      <c r="B1596" t="s">
        <v>24</v>
      </c>
      <c r="C1596" s="4">
        <v>69.5</v>
      </c>
      <c r="D1596" s="4">
        <v>18.399999999999999</v>
      </c>
      <c r="E1596" s="4">
        <v>116.4</v>
      </c>
      <c r="F1596" s="4">
        <v>7.96</v>
      </c>
      <c r="G1596" s="4">
        <v>69.2</v>
      </c>
      <c r="H1596" s="4">
        <v>3.04</v>
      </c>
      <c r="I1596" s="4">
        <v>28.9</v>
      </c>
      <c r="J1596" s="4">
        <v>71</v>
      </c>
      <c r="K1596" s="4">
        <v>2.2599999999999998</v>
      </c>
      <c r="L1596" s="4">
        <v>115.8333333333333</v>
      </c>
      <c r="M1596" s="4">
        <v>18.399999999999999</v>
      </c>
      <c r="N1596" s="4">
        <v>145.5</v>
      </c>
      <c r="O1596" s="4">
        <v>19.899999999999999</v>
      </c>
      <c r="P1596" s="4">
        <v>173</v>
      </c>
      <c r="Q1596" s="4">
        <v>152</v>
      </c>
      <c r="R1596" s="4">
        <v>173</v>
      </c>
      <c r="S1596" s="4" t="str" cm="1">
        <f t="array" ref="S1596">_xlfn.IFS($R1596&lt;=50,"Good",$R1596&lt;=100,"Moderate",$R1596&lt;=200,"Poor",$R1596&lt;=300,"Very Poor",$R1596&lt;=500,"Hazardous")</f>
        <v>Poor</v>
      </c>
      <c r="T1596" t="s">
        <v>27</v>
      </c>
      <c r="X1596" s="2"/>
      <c r="Y1596" s="2"/>
    </row>
    <row r="1597" spans="1:25" x14ac:dyDescent="0.3">
      <c r="A1597" s="2">
        <v>45611</v>
      </c>
      <c r="B1597" t="s">
        <v>20</v>
      </c>
      <c r="C1597" s="4">
        <v>213</v>
      </c>
      <c r="D1597" s="4">
        <v>225.6</v>
      </c>
      <c r="E1597" s="4">
        <v>93.9</v>
      </c>
      <c r="F1597" s="4">
        <v>8.75</v>
      </c>
      <c r="G1597" s="4">
        <v>17.3</v>
      </c>
      <c r="H1597" s="4">
        <v>2.73</v>
      </c>
      <c r="I1597" s="4">
        <v>26.5</v>
      </c>
      <c r="J1597" s="4">
        <v>45.8</v>
      </c>
      <c r="K1597" s="4">
        <v>0.77</v>
      </c>
      <c r="L1597" s="4">
        <v>355</v>
      </c>
      <c r="M1597" s="4">
        <v>225.6</v>
      </c>
      <c r="N1597" s="4">
        <v>117.375</v>
      </c>
      <c r="O1597" s="4">
        <v>21.875</v>
      </c>
      <c r="P1597" s="4">
        <v>43.250000000000007</v>
      </c>
      <c r="Q1597" s="4">
        <v>136.5</v>
      </c>
      <c r="R1597" s="4">
        <v>355</v>
      </c>
      <c r="S1597" s="4" t="str" cm="1">
        <f t="array" ref="S1597">_xlfn.IFS($R1597&lt;=50,"Good",$R1597&lt;=100,"Moderate",$R1597&lt;=200,"Poor",$R1597&lt;=300,"Very Poor",$R1597&lt;=500,"Hazardous")</f>
        <v>Hazardous</v>
      </c>
      <c r="T1597" t="s">
        <v>25</v>
      </c>
      <c r="X1597" s="2"/>
      <c r="Y1597" s="2"/>
    </row>
    <row r="1598" spans="1:25" x14ac:dyDescent="0.3">
      <c r="A1598" s="2">
        <v>45611</v>
      </c>
      <c r="B1598" t="s">
        <v>21</v>
      </c>
      <c r="C1598" s="4">
        <v>43.8</v>
      </c>
      <c r="D1598" s="4">
        <v>383.5</v>
      </c>
      <c r="E1598" s="4">
        <v>65.5</v>
      </c>
      <c r="F1598" s="4">
        <v>12.61</v>
      </c>
      <c r="G1598" s="4">
        <v>85.8</v>
      </c>
      <c r="H1598" s="4">
        <v>1.05</v>
      </c>
      <c r="I1598" s="4">
        <v>19.899999999999999</v>
      </c>
      <c r="J1598" s="4">
        <v>46.2</v>
      </c>
      <c r="K1598" s="4">
        <v>4.4400000000000004</v>
      </c>
      <c r="L1598" s="4">
        <v>73</v>
      </c>
      <c r="M1598" s="4">
        <v>383.5</v>
      </c>
      <c r="N1598" s="4">
        <v>81.875</v>
      </c>
      <c r="O1598" s="4">
        <v>31.524999999999999</v>
      </c>
      <c r="P1598" s="4">
        <v>214.5</v>
      </c>
      <c r="Q1598" s="4">
        <v>52.500000000000007</v>
      </c>
      <c r="R1598" s="4">
        <v>384</v>
      </c>
      <c r="S1598" s="4" t="str" cm="1">
        <f t="array" ref="S1598">_xlfn.IFS($R1598&lt;=50,"Good",$R1598&lt;=100,"Moderate",$R1598&lt;=200,"Poor",$R1598&lt;=300,"Very Poor",$R1598&lt;=500,"Hazardous")</f>
        <v>Hazardous</v>
      </c>
      <c r="T1598" t="s">
        <v>28</v>
      </c>
      <c r="X1598" s="2"/>
      <c r="Y1598" s="2"/>
    </row>
    <row r="1599" spans="1:25" x14ac:dyDescent="0.3">
      <c r="A1599" s="2">
        <v>45611</v>
      </c>
      <c r="B1599" t="s">
        <v>22</v>
      </c>
      <c r="C1599" s="4">
        <v>182.1</v>
      </c>
      <c r="D1599" s="4">
        <v>250.9</v>
      </c>
      <c r="E1599" s="4">
        <v>92.2</v>
      </c>
      <c r="F1599" s="4">
        <v>7.75</v>
      </c>
      <c r="G1599" s="4">
        <v>75.8</v>
      </c>
      <c r="H1599" s="4">
        <v>2.0699999999999998</v>
      </c>
      <c r="I1599" s="4">
        <v>31</v>
      </c>
      <c r="J1599" s="4">
        <v>58.1</v>
      </c>
      <c r="K1599" s="4">
        <v>2.1800000000000002</v>
      </c>
      <c r="L1599" s="4">
        <v>303.5</v>
      </c>
      <c r="M1599" s="4">
        <v>250.9</v>
      </c>
      <c r="N1599" s="4">
        <v>115.25</v>
      </c>
      <c r="O1599" s="4">
        <v>19.375</v>
      </c>
      <c r="P1599" s="4">
        <v>189.5</v>
      </c>
      <c r="Q1599" s="4">
        <v>103.5</v>
      </c>
      <c r="R1599" s="4">
        <v>304</v>
      </c>
      <c r="S1599" s="4" t="str" cm="1">
        <f t="array" ref="S1599">_xlfn.IFS($R1599&lt;=50,"Good",$R1599&lt;=100,"Moderate",$R1599&lt;=200,"Poor",$R1599&lt;=300,"Very Poor",$R1599&lt;=500,"Hazardous")</f>
        <v>Hazardous</v>
      </c>
      <c r="T1599" t="s">
        <v>25</v>
      </c>
      <c r="X1599" s="2"/>
      <c r="Y1599" s="2"/>
    </row>
    <row r="1600" spans="1:25" x14ac:dyDescent="0.3">
      <c r="A1600" s="2">
        <v>45611</v>
      </c>
      <c r="B1600" t="s">
        <v>23</v>
      </c>
      <c r="C1600" s="4">
        <v>175.8</v>
      </c>
      <c r="D1600" s="4">
        <v>243.8</v>
      </c>
      <c r="E1600" s="4">
        <v>118.4</v>
      </c>
      <c r="F1600" s="4">
        <v>14.84</v>
      </c>
      <c r="G1600" s="4">
        <v>16.899999999999999</v>
      </c>
      <c r="H1600" s="4">
        <v>1.36</v>
      </c>
      <c r="I1600" s="4">
        <v>25.7</v>
      </c>
      <c r="J1600" s="4">
        <v>48.7</v>
      </c>
      <c r="K1600" s="4">
        <v>1.17</v>
      </c>
      <c r="L1600" s="4">
        <v>293.00000000000011</v>
      </c>
      <c r="M1600" s="4">
        <v>243.8</v>
      </c>
      <c r="N1600" s="4">
        <v>148</v>
      </c>
      <c r="O1600" s="4">
        <v>37.1</v>
      </c>
      <c r="P1600" s="4">
        <v>42.249999999999993</v>
      </c>
      <c r="Q1600" s="4">
        <v>68</v>
      </c>
      <c r="R1600" s="4">
        <v>293</v>
      </c>
      <c r="S1600" s="4" t="str" cm="1">
        <f t="array" ref="S1600">_xlfn.IFS($R1600&lt;=50,"Good",$R1600&lt;=100,"Moderate",$R1600&lt;=200,"Poor",$R1600&lt;=300,"Very Poor",$R1600&lt;=500,"Hazardous")</f>
        <v>Very Poor</v>
      </c>
      <c r="T1600" t="s">
        <v>25</v>
      </c>
      <c r="X1600" s="2"/>
      <c r="Y1600" s="2"/>
    </row>
    <row r="1601" spans="1:25" x14ac:dyDescent="0.3">
      <c r="A1601" s="2">
        <v>45611</v>
      </c>
      <c r="B1601" t="s">
        <v>24</v>
      </c>
      <c r="C1601" s="4">
        <v>169</v>
      </c>
      <c r="D1601" s="4">
        <v>153.69999999999999</v>
      </c>
      <c r="E1601" s="4">
        <v>84.1</v>
      </c>
      <c r="F1601" s="4">
        <v>16.690000000000001</v>
      </c>
      <c r="G1601" s="4">
        <v>25</v>
      </c>
      <c r="H1601" s="4">
        <v>3.64</v>
      </c>
      <c r="I1601" s="4">
        <v>17.2</v>
      </c>
      <c r="J1601" s="4">
        <v>64.7</v>
      </c>
      <c r="K1601" s="4">
        <v>3.3</v>
      </c>
      <c r="L1601" s="4">
        <v>281.66666666666669</v>
      </c>
      <c r="M1601" s="4">
        <v>153.69999999999999</v>
      </c>
      <c r="N1601" s="4">
        <v>105.125</v>
      </c>
      <c r="O1601" s="4">
        <v>41.725000000000009</v>
      </c>
      <c r="P1601" s="4">
        <v>62.5</v>
      </c>
      <c r="Q1601" s="4">
        <v>182</v>
      </c>
      <c r="R1601" s="4">
        <v>282</v>
      </c>
      <c r="S1601" s="4" t="str" cm="1">
        <f t="array" ref="S1601">_xlfn.IFS($R1601&lt;=50,"Good",$R1601&lt;=100,"Moderate",$R1601&lt;=200,"Poor",$R1601&lt;=300,"Very Poor",$R1601&lt;=500,"Hazardous")</f>
        <v>Very Poor</v>
      </c>
      <c r="T1601" t="s">
        <v>25</v>
      </c>
      <c r="X1601" s="2"/>
      <c r="Y1601" s="2"/>
    </row>
    <row r="1602" spans="1:25" x14ac:dyDescent="0.3">
      <c r="A1602" s="2">
        <v>45612</v>
      </c>
      <c r="B1602" t="s">
        <v>20</v>
      </c>
      <c r="C1602" s="4">
        <v>107.4</v>
      </c>
      <c r="D1602" s="4">
        <v>77.599999999999994</v>
      </c>
      <c r="E1602" s="4">
        <v>114.8</v>
      </c>
      <c r="F1602" s="4">
        <v>21.56</v>
      </c>
      <c r="G1602" s="4">
        <v>23.9</v>
      </c>
      <c r="H1602" s="4">
        <v>2.99</v>
      </c>
      <c r="I1602" s="4">
        <v>27.6</v>
      </c>
      <c r="J1602" s="4">
        <v>36.9</v>
      </c>
      <c r="K1602" s="4">
        <v>1.48</v>
      </c>
      <c r="L1602" s="4">
        <v>179</v>
      </c>
      <c r="M1602" s="4">
        <v>77.599999999999994</v>
      </c>
      <c r="N1602" s="4">
        <v>143.5</v>
      </c>
      <c r="O1602" s="4">
        <v>53.9</v>
      </c>
      <c r="P1602" s="4">
        <v>59.75</v>
      </c>
      <c r="Q1602" s="4">
        <v>149.5</v>
      </c>
      <c r="R1602" s="4">
        <v>179</v>
      </c>
      <c r="S1602" s="4" t="str" cm="1">
        <f t="array" ref="S1602">_xlfn.IFS($R1602&lt;=50,"Good",$R1602&lt;=100,"Moderate",$R1602&lt;=200,"Poor",$R1602&lt;=300,"Very Poor",$R1602&lt;=500,"Hazardous")</f>
        <v>Poor</v>
      </c>
      <c r="T1602" t="s">
        <v>25</v>
      </c>
      <c r="X1602" s="2"/>
      <c r="Y1602" s="2"/>
    </row>
    <row r="1603" spans="1:25" x14ac:dyDescent="0.3">
      <c r="A1603" s="2">
        <v>45612</v>
      </c>
      <c r="B1603" t="s">
        <v>21</v>
      </c>
      <c r="C1603" s="4">
        <v>188.3</v>
      </c>
      <c r="D1603" s="4">
        <v>277.10000000000002</v>
      </c>
      <c r="E1603" s="4">
        <v>67.400000000000006</v>
      </c>
      <c r="F1603" s="4">
        <v>7.42</v>
      </c>
      <c r="G1603" s="4">
        <v>30.5</v>
      </c>
      <c r="H1603" s="4">
        <v>1.87</v>
      </c>
      <c r="I1603" s="4">
        <v>19.100000000000001</v>
      </c>
      <c r="J1603" s="4">
        <v>28.6</v>
      </c>
      <c r="K1603" s="4">
        <v>3.87</v>
      </c>
      <c r="L1603" s="4">
        <v>313.83333333333343</v>
      </c>
      <c r="M1603" s="4">
        <v>277.10000000000002</v>
      </c>
      <c r="N1603" s="4">
        <v>84.25</v>
      </c>
      <c r="O1603" s="4">
        <v>18.55</v>
      </c>
      <c r="P1603" s="4">
        <v>76.25</v>
      </c>
      <c r="Q1603" s="4">
        <v>93.5</v>
      </c>
      <c r="R1603" s="4">
        <v>314</v>
      </c>
      <c r="S1603" s="4" t="str" cm="1">
        <f t="array" ref="S1603">_xlfn.IFS($R1603&lt;=50,"Good",$R1603&lt;=100,"Moderate",$R1603&lt;=200,"Poor",$R1603&lt;=300,"Very Poor",$R1603&lt;=500,"Hazardous")</f>
        <v>Hazardous</v>
      </c>
      <c r="T1603" t="s">
        <v>25</v>
      </c>
      <c r="X1603" s="2"/>
      <c r="Y1603" s="2"/>
    </row>
    <row r="1604" spans="1:25" x14ac:dyDescent="0.3">
      <c r="A1604" s="2">
        <v>45612</v>
      </c>
      <c r="B1604" t="s">
        <v>22</v>
      </c>
      <c r="C1604" s="4">
        <v>135.5</v>
      </c>
      <c r="D1604" s="4">
        <v>66.3</v>
      </c>
      <c r="E1604" s="4">
        <v>72.5</v>
      </c>
      <c r="F1604" s="4">
        <v>5.3</v>
      </c>
      <c r="G1604" s="4">
        <v>28.6</v>
      </c>
      <c r="H1604" s="4">
        <v>1.51</v>
      </c>
      <c r="I1604" s="4">
        <v>22</v>
      </c>
      <c r="J1604" s="4">
        <v>96.1</v>
      </c>
      <c r="K1604" s="4">
        <v>1.97</v>
      </c>
      <c r="L1604" s="4">
        <v>225.83333333333329</v>
      </c>
      <c r="M1604" s="4">
        <v>66.3</v>
      </c>
      <c r="N1604" s="4">
        <v>90.625</v>
      </c>
      <c r="O1604" s="4">
        <v>13.25</v>
      </c>
      <c r="P1604" s="4">
        <v>71.500000000000014</v>
      </c>
      <c r="Q1604" s="4">
        <v>75.5</v>
      </c>
      <c r="R1604" s="4">
        <v>226</v>
      </c>
      <c r="S1604" s="4" t="str" cm="1">
        <f t="array" ref="S1604">_xlfn.IFS($R1604&lt;=50,"Good",$R1604&lt;=100,"Moderate",$R1604&lt;=200,"Poor",$R1604&lt;=300,"Very Poor",$R1604&lt;=500,"Hazardous")</f>
        <v>Very Poor</v>
      </c>
      <c r="T1604" t="s">
        <v>25</v>
      </c>
      <c r="X1604" s="2"/>
      <c r="Y1604" s="2"/>
    </row>
    <row r="1605" spans="1:25" x14ac:dyDescent="0.3">
      <c r="A1605" s="2">
        <v>45612</v>
      </c>
      <c r="B1605" t="s">
        <v>23</v>
      </c>
      <c r="C1605" s="4">
        <v>57.2</v>
      </c>
      <c r="D1605" s="4">
        <v>118.8</v>
      </c>
      <c r="E1605" s="4">
        <v>105.4</v>
      </c>
      <c r="F1605" s="4">
        <v>0.5</v>
      </c>
      <c r="G1605" s="4">
        <v>18.8</v>
      </c>
      <c r="H1605" s="4">
        <v>3.31</v>
      </c>
      <c r="I1605" s="4">
        <v>26.7</v>
      </c>
      <c r="J1605" s="4">
        <v>63.5</v>
      </c>
      <c r="K1605" s="4">
        <v>5.0599999999999996</v>
      </c>
      <c r="L1605" s="4">
        <v>95.333333333333343</v>
      </c>
      <c r="M1605" s="4">
        <v>118.8</v>
      </c>
      <c r="N1605" s="4">
        <v>131.75</v>
      </c>
      <c r="O1605" s="4">
        <v>1.25</v>
      </c>
      <c r="P1605" s="4">
        <v>47</v>
      </c>
      <c r="Q1605" s="4">
        <v>165.5</v>
      </c>
      <c r="R1605" s="4">
        <v>166</v>
      </c>
      <c r="S1605" s="4" t="str" cm="1">
        <f t="array" ref="S1605">_xlfn.IFS($R1605&lt;=50,"Good",$R1605&lt;=100,"Moderate",$R1605&lt;=200,"Poor",$R1605&lt;=300,"Very Poor",$R1605&lt;=500,"Hazardous")</f>
        <v>Poor</v>
      </c>
      <c r="T1605" t="s">
        <v>29</v>
      </c>
      <c r="X1605" s="2"/>
      <c r="Y1605" s="2"/>
    </row>
    <row r="1606" spans="1:25" x14ac:dyDescent="0.3">
      <c r="A1606" s="2">
        <v>45612</v>
      </c>
      <c r="B1606" t="s">
        <v>24</v>
      </c>
      <c r="C1606" s="4">
        <v>118.6</v>
      </c>
      <c r="D1606" s="4">
        <v>136.4</v>
      </c>
      <c r="E1606" s="4">
        <v>69.3</v>
      </c>
      <c r="F1606" s="4">
        <v>4.09</v>
      </c>
      <c r="G1606" s="4">
        <v>70.7</v>
      </c>
      <c r="H1606" s="4">
        <v>2.72</v>
      </c>
      <c r="I1606" s="4">
        <v>32.9</v>
      </c>
      <c r="J1606" s="4">
        <v>81.8</v>
      </c>
      <c r="K1606" s="4">
        <v>2.5</v>
      </c>
      <c r="L1606" s="4">
        <v>197.66666666666671</v>
      </c>
      <c r="M1606" s="4">
        <v>136.4</v>
      </c>
      <c r="N1606" s="4">
        <v>86.625</v>
      </c>
      <c r="O1606" s="4">
        <v>10.225</v>
      </c>
      <c r="P1606" s="4">
        <v>176.75</v>
      </c>
      <c r="Q1606" s="4">
        <v>136</v>
      </c>
      <c r="R1606" s="4">
        <v>198</v>
      </c>
      <c r="S1606" s="4" t="str" cm="1">
        <f t="array" ref="S1606">_xlfn.IFS($R1606&lt;=50,"Good",$R1606&lt;=100,"Moderate",$R1606&lt;=200,"Poor",$R1606&lt;=300,"Very Poor",$R1606&lt;=500,"Hazardous")</f>
        <v>Poor</v>
      </c>
      <c r="T1606" t="s">
        <v>25</v>
      </c>
      <c r="X1606" s="2"/>
      <c r="Y1606" s="2"/>
    </row>
    <row r="1607" spans="1:25" x14ac:dyDescent="0.3">
      <c r="A1607" s="2">
        <v>45613</v>
      </c>
      <c r="B1607" t="s">
        <v>20</v>
      </c>
      <c r="C1607" s="4">
        <v>58.2</v>
      </c>
      <c r="D1607" s="4">
        <v>215.1</v>
      </c>
      <c r="E1607" s="4">
        <v>50.7</v>
      </c>
      <c r="F1607" s="4">
        <v>16.239999999999998</v>
      </c>
      <c r="G1607" s="4">
        <v>70.7</v>
      </c>
      <c r="H1607" s="4">
        <v>2.02</v>
      </c>
      <c r="I1607" s="4">
        <v>26</v>
      </c>
      <c r="J1607" s="4">
        <v>58.3</v>
      </c>
      <c r="K1607" s="4">
        <v>3.46</v>
      </c>
      <c r="L1607" s="4">
        <v>97</v>
      </c>
      <c r="M1607" s="4">
        <v>215.1</v>
      </c>
      <c r="N1607" s="4">
        <v>63.375</v>
      </c>
      <c r="O1607" s="4">
        <v>40.599999999999987</v>
      </c>
      <c r="P1607" s="4">
        <v>176.75</v>
      </c>
      <c r="Q1607" s="4">
        <v>101</v>
      </c>
      <c r="R1607" s="4">
        <v>215</v>
      </c>
      <c r="S1607" s="4" t="str" cm="1">
        <f t="array" ref="S1607">_xlfn.IFS($R1607&lt;=50,"Good",$R1607&lt;=100,"Moderate",$R1607&lt;=200,"Poor",$R1607&lt;=300,"Very Poor",$R1607&lt;=500,"Hazardous")</f>
        <v>Very Poor</v>
      </c>
      <c r="T1607" t="s">
        <v>28</v>
      </c>
      <c r="X1607" s="2"/>
      <c r="Y1607" s="2"/>
    </row>
    <row r="1608" spans="1:25" x14ac:dyDescent="0.3">
      <c r="A1608" s="2">
        <v>45613</v>
      </c>
      <c r="B1608" t="s">
        <v>21</v>
      </c>
      <c r="C1608" s="4">
        <v>79.900000000000006</v>
      </c>
      <c r="D1608" s="4">
        <v>5</v>
      </c>
      <c r="E1608" s="4">
        <v>108.8</v>
      </c>
      <c r="F1608" s="4">
        <v>25.88</v>
      </c>
      <c r="G1608" s="4">
        <v>57.6</v>
      </c>
      <c r="H1608" s="4">
        <v>1.63</v>
      </c>
      <c r="I1608" s="4">
        <v>17.100000000000001</v>
      </c>
      <c r="J1608" s="4">
        <v>68.900000000000006</v>
      </c>
      <c r="K1608" s="4">
        <v>2.67</v>
      </c>
      <c r="L1608" s="4">
        <v>133.16666666666671</v>
      </c>
      <c r="M1608" s="4">
        <v>5</v>
      </c>
      <c r="N1608" s="4">
        <v>136</v>
      </c>
      <c r="O1608" s="4">
        <v>64.699999999999989</v>
      </c>
      <c r="P1608" s="4">
        <v>144</v>
      </c>
      <c r="Q1608" s="4">
        <v>81.499999999999986</v>
      </c>
      <c r="R1608" s="4">
        <v>144</v>
      </c>
      <c r="S1608" s="4" t="str" cm="1">
        <f t="array" ref="S1608">_xlfn.IFS($R1608&lt;=50,"Good",$R1608&lt;=100,"Moderate",$R1608&lt;=200,"Poor",$R1608&lt;=300,"Very Poor",$R1608&lt;=500,"Hazardous")</f>
        <v>Poor</v>
      </c>
      <c r="T1608" t="s">
        <v>27</v>
      </c>
      <c r="X1608" s="2"/>
      <c r="Y1608" s="2"/>
    </row>
    <row r="1609" spans="1:25" x14ac:dyDescent="0.3">
      <c r="A1609" s="2">
        <v>45613</v>
      </c>
      <c r="B1609" t="s">
        <v>22</v>
      </c>
      <c r="C1609" s="4">
        <v>85.5</v>
      </c>
      <c r="D1609" s="4">
        <v>348.6</v>
      </c>
      <c r="E1609" s="4">
        <v>39.6</v>
      </c>
      <c r="F1609" s="4">
        <v>25.65</v>
      </c>
      <c r="G1609" s="4">
        <v>34.9</v>
      </c>
      <c r="H1609" s="4">
        <v>0.15</v>
      </c>
      <c r="I1609" s="4">
        <v>23.7</v>
      </c>
      <c r="J1609" s="4">
        <v>77.3</v>
      </c>
      <c r="K1609" s="4">
        <v>2.06</v>
      </c>
      <c r="L1609" s="4">
        <v>142.5</v>
      </c>
      <c r="M1609" s="4">
        <v>348.6</v>
      </c>
      <c r="N1609" s="4">
        <v>49.5</v>
      </c>
      <c r="O1609" s="4">
        <v>64.125</v>
      </c>
      <c r="P1609" s="4">
        <v>87.25</v>
      </c>
      <c r="Q1609" s="4">
        <v>7.5</v>
      </c>
      <c r="R1609" s="4">
        <v>349</v>
      </c>
      <c r="S1609" s="4" t="str" cm="1">
        <f t="array" ref="S1609">_xlfn.IFS($R1609&lt;=50,"Good",$R1609&lt;=100,"Moderate",$R1609&lt;=200,"Poor",$R1609&lt;=300,"Very Poor",$R1609&lt;=500,"Hazardous")</f>
        <v>Hazardous</v>
      </c>
      <c r="T1609" t="s">
        <v>28</v>
      </c>
      <c r="X1609" s="2"/>
      <c r="Y1609" s="2"/>
    </row>
    <row r="1610" spans="1:25" x14ac:dyDescent="0.3">
      <c r="A1610" s="2">
        <v>45613</v>
      </c>
      <c r="B1610" t="s">
        <v>23</v>
      </c>
      <c r="C1610" s="4">
        <v>25.2</v>
      </c>
      <c r="D1610" s="4">
        <v>176.2</v>
      </c>
      <c r="E1610" s="4">
        <v>44.6</v>
      </c>
      <c r="F1610" s="4">
        <v>16.73</v>
      </c>
      <c r="G1610" s="4">
        <v>53.4</v>
      </c>
      <c r="H1610" s="4">
        <v>0.91</v>
      </c>
      <c r="I1610" s="4">
        <v>20.100000000000001</v>
      </c>
      <c r="J1610" s="4">
        <v>73.599999999999994</v>
      </c>
      <c r="K1610" s="4">
        <v>1.47</v>
      </c>
      <c r="L1610" s="4">
        <v>41.999999999999993</v>
      </c>
      <c r="M1610" s="4">
        <v>176.2</v>
      </c>
      <c r="N1610" s="4">
        <v>55.75</v>
      </c>
      <c r="O1610" s="4">
        <v>41.825000000000003</v>
      </c>
      <c r="P1610" s="4">
        <v>133.5</v>
      </c>
      <c r="Q1610" s="4">
        <v>45.5</v>
      </c>
      <c r="R1610" s="4">
        <v>176</v>
      </c>
      <c r="S1610" s="4" t="str" cm="1">
        <f t="array" ref="S1610">_xlfn.IFS($R1610&lt;=50,"Good",$R1610&lt;=100,"Moderate",$R1610&lt;=200,"Poor",$R1610&lt;=300,"Very Poor",$R1610&lt;=500,"Hazardous")</f>
        <v>Poor</v>
      </c>
      <c r="T1610" t="s">
        <v>28</v>
      </c>
      <c r="X1610" s="2"/>
      <c r="Y1610" s="2"/>
    </row>
    <row r="1611" spans="1:25" x14ac:dyDescent="0.3">
      <c r="A1611" s="2">
        <v>45613</v>
      </c>
      <c r="B1611" t="s">
        <v>24</v>
      </c>
      <c r="C1611" s="4">
        <v>48.5</v>
      </c>
      <c r="D1611" s="4">
        <v>86.7</v>
      </c>
      <c r="E1611" s="4">
        <v>91.6</v>
      </c>
      <c r="F1611" s="4">
        <v>16.8</v>
      </c>
      <c r="G1611" s="4">
        <v>22.7</v>
      </c>
      <c r="H1611" s="4">
        <v>2.12</v>
      </c>
      <c r="I1611" s="4">
        <v>35.700000000000003</v>
      </c>
      <c r="J1611" s="4">
        <v>42.5</v>
      </c>
      <c r="K1611" s="4">
        <v>0.66</v>
      </c>
      <c r="L1611" s="4">
        <v>80.833333333333329</v>
      </c>
      <c r="M1611" s="4">
        <v>86.7</v>
      </c>
      <c r="N1611" s="4">
        <v>114.5</v>
      </c>
      <c r="O1611" s="4">
        <v>42</v>
      </c>
      <c r="P1611" s="4">
        <v>56.749999999999993</v>
      </c>
      <c r="Q1611" s="4">
        <v>106</v>
      </c>
      <c r="R1611" s="4">
        <v>114</v>
      </c>
      <c r="S1611" s="4" t="str" cm="1">
        <f t="array" ref="S1611">_xlfn.IFS($R1611&lt;=50,"Good",$R1611&lt;=100,"Moderate",$R1611&lt;=200,"Poor",$R1611&lt;=300,"Very Poor",$R1611&lt;=500,"Hazardous")</f>
        <v>Poor</v>
      </c>
      <c r="T1611" t="s">
        <v>26</v>
      </c>
      <c r="X1611" s="2"/>
      <c r="Y1611" s="2"/>
    </row>
    <row r="1612" spans="1:25" x14ac:dyDescent="0.3">
      <c r="A1612" s="2">
        <v>45614</v>
      </c>
      <c r="B1612" t="s">
        <v>20</v>
      </c>
      <c r="C1612" s="4">
        <v>135.5</v>
      </c>
      <c r="D1612" s="4">
        <v>208.6</v>
      </c>
      <c r="E1612" s="4">
        <v>56.7</v>
      </c>
      <c r="F1612" s="4">
        <v>20.72</v>
      </c>
      <c r="G1612" s="4">
        <v>63.1</v>
      </c>
      <c r="H1612" s="4">
        <v>0.05</v>
      </c>
      <c r="I1612" s="4">
        <v>20.399999999999999</v>
      </c>
      <c r="J1612" s="4">
        <v>100</v>
      </c>
      <c r="K1612" s="4">
        <v>3.2</v>
      </c>
      <c r="L1612" s="4">
        <v>225.83333333333329</v>
      </c>
      <c r="M1612" s="4">
        <v>208.6</v>
      </c>
      <c r="N1612" s="4">
        <v>70.875000000000014</v>
      </c>
      <c r="O1612" s="4">
        <v>51.8</v>
      </c>
      <c r="P1612" s="4">
        <v>157.75</v>
      </c>
      <c r="Q1612" s="4">
        <v>2.5</v>
      </c>
      <c r="R1612" s="4">
        <v>226</v>
      </c>
      <c r="S1612" s="4" t="str" cm="1">
        <f t="array" ref="S1612">_xlfn.IFS($R1612&lt;=50,"Good",$R1612&lt;=100,"Moderate",$R1612&lt;=200,"Poor",$R1612&lt;=300,"Very Poor",$R1612&lt;=500,"Hazardous")</f>
        <v>Very Poor</v>
      </c>
      <c r="T1612" t="s">
        <v>25</v>
      </c>
      <c r="X1612" s="2"/>
      <c r="Y1612" s="2"/>
    </row>
    <row r="1613" spans="1:25" x14ac:dyDescent="0.3">
      <c r="A1613" s="2">
        <v>45614</v>
      </c>
      <c r="B1613" t="s">
        <v>21</v>
      </c>
      <c r="C1613" s="4">
        <v>160.6</v>
      </c>
      <c r="D1613" s="4">
        <v>380.7</v>
      </c>
      <c r="E1613" s="4">
        <v>90.7</v>
      </c>
      <c r="F1613" s="4">
        <v>23.97</v>
      </c>
      <c r="G1613" s="4">
        <v>65.2</v>
      </c>
      <c r="H1613" s="4">
        <v>3.05</v>
      </c>
      <c r="I1613" s="4">
        <v>22.7</v>
      </c>
      <c r="J1613" s="4">
        <v>63.1</v>
      </c>
      <c r="K1613" s="4">
        <v>1.79</v>
      </c>
      <c r="L1613" s="4">
        <v>267.66666666666669</v>
      </c>
      <c r="M1613" s="4">
        <v>380.7</v>
      </c>
      <c r="N1613" s="4">
        <v>113.375</v>
      </c>
      <c r="O1613" s="4">
        <v>59.924999999999997</v>
      </c>
      <c r="P1613" s="4">
        <v>163</v>
      </c>
      <c r="Q1613" s="4">
        <v>152.5</v>
      </c>
      <c r="R1613" s="4">
        <v>381</v>
      </c>
      <c r="S1613" s="4" t="str" cm="1">
        <f t="array" ref="S1613">_xlfn.IFS($R1613&lt;=50,"Good",$R1613&lt;=100,"Moderate",$R1613&lt;=200,"Poor",$R1613&lt;=300,"Very Poor",$R1613&lt;=500,"Hazardous")</f>
        <v>Hazardous</v>
      </c>
      <c r="T1613" t="s">
        <v>28</v>
      </c>
      <c r="X1613" s="2"/>
      <c r="Y1613" s="2"/>
    </row>
    <row r="1614" spans="1:25" x14ac:dyDescent="0.3">
      <c r="A1614" s="2">
        <v>45614</v>
      </c>
      <c r="B1614" t="s">
        <v>22</v>
      </c>
      <c r="C1614" s="4">
        <v>91.8</v>
      </c>
      <c r="D1614" s="4">
        <v>75.8</v>
      </c>
      <c r="E1614" s="4">
        <v>44.4</v>
      </c>
      <c r="F1614" s="4">
        <v>10.01</v>
      </c>
      <c r="G1614" s="4">
        <v>14</v>
      </c>
      <c r="H1614" s="4">
        <v>1.36</v>
      </c>
      <c r="I1614" s="4">
        <v>23.9</v>
      </c>
      <c r="J1614" s="4">
        <v>67.2</v>
      </c>
      <c r="K1614" s="4">
        <v>3.64</v>
      </c>
      <c r="L1614" s="4">
        <v>153</v>
      </c>
      <c r="M1614" s="4">
        <v>75.8</v>
      </c>
      <c r="N1614" s="4">
        <v>55.5</v>
      </c>
      <c r="O1614" s="4">
        <v>25.024999999999999</v>
      </c>
      <c r="P1614" s="4">
        <v>35</v>
      </c>
      <c r="Q1614" s="4">
        <v>68</v>
      </c>
      <c r="R1614" s="4">
        <v>153</v>
      </c>
      <c r="S1614" s="4" t="str" cm="1">
        <f t="array" ref="S1614">_xlfn.IFS($R1614&lt;=50,"Good",$R1614&lt;=100,"Moderate",$R1614&lt;=200,"Poor",$R1614&lt;=300,"Very Poor",$R1614&lt;=500,"Hazardous")</f>
        <v>Poor</v>
      </c>
      <c r="T1614" t="s">
        <v>25</v>
      </c>
      <c r="X1614" s="2"/>
      <c r="Y1614" s="2"/>
    </row>
    <row r="1615" spans="1:25" x14ac:dyDescent="0.3">
      <c r="A1615" s="2">
        <v>45614</v>
      </c>
      <c r="B1615" t="s">
        <v>23</v>
      </c>
      <c r="C1615" s="4">
        <v>73.7</v>
      </c>
      <c r="D1615" s="4">
        <v>320.2</v>
      </c>
      <c r="E1615" s="4">
        <v>102</v>
      </c>
      <c r="F1615" s="4">
        <v>16.829999999999998</v>
      </c>
      <c r="G1615" s="4">
        <v>39.5</v>
      </c>
      <c r="H1615" s="4">
        <v>2.23</v>
      </c>
      <c r="I1615" s="4">
        <v>33.299999999999997</v>
      </c>
      <c r="J1615" s="4">
        <v>82</v>
      </c>
      <c r="K1615" s="4">
        <v>4.0999999999999996</v>
      </c>
      <c r="L1615" s="4">
        <v>122.8333333333333</v>
      </c>
      <c r="M1615" s="4">
        <v>320.2</v>
      </c>
      <c r="N1615" s="4">
        <v>127.5</v>
      </c>
      <c r="O1615" s="4">
        <v>42.075000000000003</v>
      </c>
      <c r="P1615" s="4">
        <v>98.75</v>
      </c>
      <c r="Q1615" s="4">
        <v>111.5</v>
      </c>
      <c r="R1615" s="4">
        <v>320</v>
      </c>
      <c r="S1615" s="4" t="str" cm="1">
        <f t="array" ref="S1615">_xlfn.IFS($R1615&lt;=50,"Good",$R1615&lt;=100,"Moderate",$R1615&lt;=200,"Poor",$R1615&lt;=300,"Very Poor",$R1615&lt;=500,"Hazardous")</f>
        <v>Hazardous</v>
      </c>
      <c r="T1615" t="s">
        <v>28</v>
      </c>
      <c r="X1615" s="2"/>
      <c r="Y1615" s="2"/>
    </row>
    <row r="1616" spans="1:25" x14ac:dyDescent="0.3">
      <c r="A1616" s="2">
        <v>45614</v>
      </c>
      <c r="B1616" t="s">
        <v>24</v>
      </c>
      <c r="C1616" s="4">
        <v>107.8</v>
      </c>
      <c r="D1616" s="4">
        <v>269.8</v>
      </c>
      <c r="E1616" s="4">
        <v>126.5</v>
      </c>
      <c r="F1616" s="4">
        <v>8.59</v>
      </c>
      <c r="G1616" s="4">
        <v>31.7</v>
      </c>
      <c r="H1616" s="4">
        <v>2.13</v>
      </c>
      <c r="I1616" s="4">
        <v>31.3</v>
      </c>
      <c r="J1616" s="4">
        <v>76.5</v>
      </c>
      <c r="K1616" s="4">
        <v>2.72</v>
      </c>
      <c r="L1616" s="4">
        <v>179.66666666666671</v>
      </c>
      <c r="M1616" s="4">
        <v>269.8</v>
      </c>
      <c r="N1616" s="4">
        <v>158.125</v>
      </c>
      <c r="O1616" s="4">
        <v>21.475000000000001</v>
      </c>
      <c r="P1616" s="4">
        <v>79.25</v>
      </c>
      <c r="Q1616" s="4">
        <v>106.5</v>
      </c>
      <c r="R1616" s="4">
        <v>270</v>
      </c>
      <c r="S1616" s="4" t="str" cm="1">
        <f t="array" ref="S1616">_xlfn.IFS($R1616&lt;=50,"Good",$R1616&lt;=100,"Moderate",$R1616&lt;=200,"Poor",$R1616&lt;=300,"Very Poor",$R1616&lt;=500,"Hazardous")</f>
        <v>Very Poor</v>
      </c>
      <c r="T1616" t="s">
        <v>28</v>
      </c>
      <c r="X1616" s="2"/>
      <c r="Y1616" s="2"/>
    </row>
    <row r="1617" spans="1:25" x14ac:dyDescent="0.3">
      <c r="A1617" s="2">
        <v>45615</v>
      </c>
      <c r="B1617" t="s">
        <v>20</v>
      </c>
      <c r="C1617" s="4">
        <v>27.1</v>
      </c>
      <c r="D1617" s="4">
        <v>248</v>
      </c>
      <c r="E1617" s="4">
        <v>49</v>
      </c>
      <c r="F1617" s="4">
        <v>1.01</v>
      </c>
      <c r="G1617" s="4">
        <v>8.6999999999999993</v>
      </c>
      <c r="H1617" s="4">
        <v>2.57</v>
      </c>
      <c r="I1617" s="4">
        <v>34.5</v>
      </c>
      <c r="J1617" s="4">
        <v>60.7</v>
      </c>
      <c r="K1617" s="4">
        <v>2.75</v>
      </c>
      <c r="L1617" s="4">
        <v>45.166666666666657</v>
      </c>
      <c r="M1617" s="4">
        <v>248</v>
      </c>
      <c r="N1617" s="4">
        <v>61.25</v>
      </c>
      <c r="O1617" s="4">
        <v>2.5249999999999999</v>
      </c>
      <c r="P1617" s="4">
        <v>21.75</v>
      </c>
      <c r="Q1617" s="4">
        <v>128.5</v>
      </c>
      <c r="R1617" s="4">
        <v>248</v>
      </c>
      <c r="S1617" s="4" t="str" cm="1">
        <f t="array" ref="S1617">_xlfn.IFS($R1617&lt;=50,"Good",$R1617&lt;=100,"Moderate",$R1617&lt;=200,"Poor",$R1617&lt;=300,"Very Poor",$R1617&lt;=500,"Hazardous")</f>
        <v>Very Poor</v>
      </c>
      <c r="T1617" t="s">
        <v>28</v>
      </c>
      <c r="X1617" s="2"/>
      <c r="Y1617" s="2"/>
    </row>
    <row r="1618" spans="1:25" x14ac:dyDescent="0.3">
      <c r="A1618" s="2">
        <v>45615</v>
      </c>
      <c r="B1618" t="s">
        <v>21</v>
      </c>
      <c r="C1618" s="4">
        <v>191</v>
      </c>
      <c r="D1618" s="4">
        <v>54.7</v>
      </c>
      <c r="E1618" s="4">
        <v>110.8</v>
      </c>
      <c r="F1618" s="4">
        <v>15.88</v>
      </c>
      <c r="G1618" s="4">
        <v>60.9</v>
      </c>
      <c r="H1618" s="4">
        <v>1.82</v>
      </c>
      <c r="I1618" s="4">
        <v>19.3</v>
      </c>
      <c r="J1618" s="4">
        <v>62.5</v>
      </c>
      <c r="K1618" s="4">
        <v>4.4800000000000004</v>
      </c>
      <c r="L1618" s="4">
        <v>318.33333333333343</v>
      </c>
      <c r="M1618" s="4">
        <v>54.7</v>
      </c>
      <c r="N1618" s="4">
        <v>138.5</v>
      </c>
      <c r="O1618" s="4">
        <v>39.700000000000003</v>
      </c>
      <c r="P1618" s="4">
        <v>152.25</v>
      </c>
      <c r="Q1618" s="4">
        <v>91</v>
      </c>
      <c r="R1618" s="4">
        <v>318</v>
      </c>
      <c r="S1618" s="4" t="str" cm="1">
        <f t="array" ref="S1618">_xlfn.IFS($R1618&lt;=50,"Good",$R1618&lt;=100,"Moderate",$R1618&lt;=200,"Poor",$R1618&lt;=300,"Very Poor",$R1618&lt;=500,"Hazardous")</f>
        <v>Hazardous</v>
      </c>
      <c r="T1618" t="s">
        <v>25</v>
      </c>
      <c r="X1618" s="2"/>
      <c r="Y1618" s="2"/>
    </row>
    <row r="1619" spans="1:25" x14ac:dyDescent="0.3">
      <c r="A1619" s="2">
        <v>45615</v>
      </c>
      <c r="B1619" t="s">
        <v>22</v>
      </c>
      <c r="C1619" s="4">
        <v>130.5</v>
      </c>
      <c r="D1619" s="4">
        <v>136.1</v>
      </c>
      <c r="E1619" s="4">
        <v>27.6</v>
      </c>
      <c r="F1619" s="4">
        <v>0.5</v>
      </c>
      <c r="G1619" s="4">
        <v>62.3</v>
      </c>
      <c r="H1619" s="4">
        <v>0.95</v>
      </c>
      <c r="I1619" s="4">
        <v>22.7</v>
      </c>
      <c r="J1619" s="4">
        <v>83.8</v>
      </c>
      <c r="K1619" s="4">
        <v>0.56000000000000005</v>
      </c>
      <c r="L1619" s="4">
        <v>217.5</v>
      </c>
      <c r="M1619" s="4">
        <v>136.1</v>
      </c>
      <c r="N1619" s="4">
        <v>34.5</v>
      </c>
      <c r="O1619" s="4">
        <v>1.25</v>
      </c>
      <c r="P1619" s="4">
        <v>155.75</v>
      </c>
      <c r="Q1619" s="4">
        <v>47.5</v>
      </c>
      <c r="R1619" s="4">
        <v>218</v>
      </c>
      <c r="S1619" s="4" t="str" cm="1">
        <f t="array" ref="S1619">_xlfn.IFS($R1619&lt;=50,"Good",$R1619&lt;=100,"Moderate",$R1619&lt;=200,"Poor",$R1619&lt;=300,"Very Poor",$R1619&lt;=500,"Hazardous")</f>
        <v>Very Poor</v>
      </c>
      <c r="T1619" t="s">
        <v>25</v>
      </c>
      <c r="X1619" s="2"/>
      <c r="Y1619" s="2"/>
    </row>
    <row r="1620" spans="1:25" x14ac:dyDescent="0.3">
      <c r="A1620" s="2">
        <v>45615</v>
      </c>
      <c r="B1620" t="s">
        <v>23</v>
      </c>
      <c r="C1620" s="4">
        <v>167.6</v>
      </c>
      <c r="D1620" s="4">
        <v>167.7</v>
      </c>
      <c r="E1620" s="4">
        <v>35.200000000000003</v>
      </c>
      <c r="F1620" s="4">
        <v>10.82</v>
      </c>
      <c r="G1620" s="4">
        <v>19.7</v>
      </c>
      <c r="H1620" s="4">
        <v>2.34</v>
      </c>
      <c r="I1620" s="4">
        <v>20.5</v>
      </c>
      <c r="J1620" s="4">
        <v>25.6</v>
      </c>
      <c r="K1620" s="4">
        <v>2.2400000000000002</v>
      </c>
      <c r="L1620" s="4">
        <v>279.33333333333331</v>
      </c>
      <c r="M1620" s="4">
        <v>167.7</v>
      </c>
      <c r="N1620" s="4">
        <v>44.000000000000007</v>
      </c>
      <c r="O1620" s="4">
        <v>27.05</v>
      </c>
      <c r="P1620" s="4">
        <v>49.249999999999993</v>
      </c>
      <c r="Q1620" s="4">
        <v>117</v>
      </c>
      <c r="R1620" s="4">
        <v>279</v>
      </c>
      <c r="S1620" s="4" t="str" cm="1">
        <f t="array" ref="S1620">_xlfn.IFS($R1620&lt;=50,"Good",$R1620&lt;=100,"Moderate",$R1620&lt;=200,"Poor",$R1620&lt;=300,"Very Poor",$R1620&lt;=500,"Hazardous")</f>
        <v>Very Poor</v>
      </c>
      <c r="T1620" t="s">
        <v>25</v>
      </c>
      <c r="X1620" s="2"/>
      <c r="Y1620" s="2"/>
    </row>
    <row r="1621" spans="1:25" x14ac:dyDescent="0.3">
      <c r="A1621" s="2">
        <v>45615</v>
      </c>
      <c r="B1621" t="s">
        <v>24</v>
      </c>
      <c r="C1621" s="4">
        <v>34</v>
      </c>
      <c r="D1621" s="4">
        <v>232.8</v>
      </c>
      <c r="E1621" s="4">
        <v>37.4</v>
      </c>
      <c r="F1621" s="4">
        <v>9.7899999999999991</v>
      </c>
      <c r="G1621" s="4">
        <v>44.1</v>
      </c>
      <c r="H1621" s="4">
        <v>1.89</v>
      </c>
      <c r="I1621" s="4">
        <v>26.8</v>
      </c>
      <c r="J1621" s="4">
        <v>72.2</v>
      </c>
      <c r="K1621" s="4">
        <v>1.61</v>
      </c>
      <c r="L1621" s="4">
        <v>56.666666666666657</v>
      </c>
      <c r="M1621" s="4">
        <v>232.8</v>
      </c>
      <c r="N1621" s="4">
        <v>46.75</v>
      </c>
      <c r="O1621" s="4">
        <v>24.475000000000001</v>
      </c>
      <c r="P1621" s="4">
        <v>110.25</v>
      </c>
      <c r="Q1621" s="4">
        <v>94.5</v>
      </c>
      <c r="R1621" s="4">
        <v>233</v>
      </c>
      <c r="S1621" s="4" t="str" cm="1">
        <f t="array" ref="S1621">_xlfn.IFS($R1621&lt;=50,"Good",$R1621&lt;=100,"Moderate",$R1621&lt;=200,"Poor",$R1621&lt;=300,"Very Poor",$R1621&lt;=500,"Hazardous")</f>
        <v>Very Poor</v>
      </c>
      <c r="T1621" t="s">
        <v>28</v>
      </c>
      <c r="X1621" s="2"/>
      <c r="Y1621" s="2"/>
    </row>
    <row r="1622" spans="1:25" x14ac:dyDescent="0.3">
      <c r="A1622" s="2">
        <v>45616</v>
      </c>
      <c r="B1622" t="s">
        <v>20</v>
      </c>
      <c r="C1622" s="4">
        <v>106.8</v>
      </c>
      <c r="D1622" s="4">
        <v>5</v>
      </c>
      <c r="E1622" s="4">
        <v>91.9</v>
      </c>
      <c r="F1622" s="4">
        <v>11.95</v>
      </c>
      <c r="G1622" s="4">
        <v>16</v>
      </c>
      <c r="H1622" s="4">
        <v>2.56</v>
      </c>
      <c r="I1622" s="4">
        <v>33.200000000000003</v>
      </c>
      <c r="J1622" s="4">
        <v>51.4</v>
      </c>
      <c r="K1622" s="4">
        <v>1.37</v>
      </c>
      <c r="L1622" s="4">
        <v>178</v>
      </c>
      <c r="M1622" s="4">
        <v>5</v>
      </c>
      <c r="N1622" s="4">
        <v>114.875</v>
      </c>
      <c r="O1622" s="4">
        <v>29.875</v>
      </c>
      <c r="P1622" s="4">
        <v>40</v>
      </c>
      <c r="Q1622" s="4">
        <v>128</v>
      </c>
      <c r="R1622" s="4">
        <v>178</v>
      </c>
      <c r="S1622" s="4" t="str" cm="1">
        <f t="array" ref="S1622">_xlfn.IFS($R1622&lt;=50,"Good",$R1622&lt;=100,"Moderate",$R1622&lt;=200,"Poor",$R1622&lt;=300,"Very Poor",$R1622&lt;=500,"Hazardous")</f>
        <v>Poor</v>
      </c>
      <c r="T1622" t="s">
        <v>25</v>
      </c>
      <c r="X1622" s="2"/>
      <c r="Y1622" s="2"/>
    </row>
    <row r="1623" spans="1:25" x14ac:dyDescent="0.3">
      <c r="A1623" s="2">
        <v>45616</v>
      </c>
      <c r="B1623" t="s">
        <v>21</v>
      </c>
      <c r="C1623" s="4">
        <v>129.9</v>
      </c>
      <c r="D1623" s="4">
        <v>79.7</v>
      </c>
      <c r="E1623" s="4">
        <v>63.6</v>
      </c>
      <c r="F1623" s="4">
        <v>28.22</v>
      </c>
      <c r="G1623" s="4">
        <v>46.7</v>
      </c>
      <c r="H1623" s="4">
        <v>0.14000000000000001</v>
      </c>
      <c r="I1623" s="4">
        <v>12.4</v>
      </c>
      <c r="J1623" s="4">
        <v>62.9</v>
      </c>
      <c r="K1623" s="4">
        <v>3.53</v>
      </c>
      <c r="L1623" s="4">
        <v>216.5</v>
      </c>
      <c r="M1623" s="4">
        <v>79.7</v>
      </c>
      <c r="N1623" s="4">
        <v>79.5</v>
      </c>
      <c r="O1623" s="4">
        <v>70.55</v>
      </c>
      <c r="P1623" s="4">
        <v>116.75</v>
      </c>
      <c r="Q1623" s="4">
        <v>7.0000000000000009</v>
      </c>
      <c r="R1623" s="4">
        <v>216</v>
      </c>
      <c r="S1623" s="4" t="str" cm="1">
        <f t="array" ref="S1623">_xlfn.IFS($R1623&lt;=50,"Good",$R1623&lt;=100,"Moderate",$R1623&lt;=200,"Poor",$R1623&lt;=300,"Very Poor",$R1623&lt;=500,"Hazardous")</f>
        <v>Very Poor</v>
      </c>
      <c r="T1623" t="s">
        <v>25</v>
      </c>
      <c r="X1623" s="2"/>
      <c r="Y1623" s="2"/>
    </row>
    <row r="1624" spans="1:25" x14ac:dyDescent="0.3">
      <c r="A1624" s="2">
        <v>45616</v>
      </c>
      <c r="B1624" t="s">
        <v>22</v>
      </c>
      <c r="C1624" s="4">
        <v>17.399999999999999</v>
      </c>
      <c r="D1624" s="4">
        <v>223.4</v>
      </c>
      <c r="E1624" s="4">
        <v>108.8</v>
      </c>
      <c r="F1624" s="4">
        <v>26.51</v>
      </c>
      <c r="G1624" s="4">
        <v>41.3</v>
      </c>
      <c r="H1624" s="4">
        <v>2.29</v>
      </c>
      <c r="I1624" s="4">
        <v>10.1</v>
      </c>
      <c r="J1624" s="4">
        <v>97.8</v>
      </c>
      <c r="K1624" s="4">
        <v>1.81</v>
      </c>
      <c r="L1624" s="4">
        <v>29</v>
      </c>
      <c r="M1624" s="4">
        <v>223.4</v>
      </c>
      <c r="N1624" s="4">
        <v>136</v>
      </c>
      <c r="O1624" s="4">
        <v>66.275000000000006</v>
      </c>
      <c r="P1624" s="4">
        <v>103.25</v>
      </c>
      <c r="Q1624" s="4">
        <v>114.5</v>
      </c>
      <c r="R1624" s="4">
        <v>223</v>
      </c>
      <c r="S1624" s="4" t="str" cm="1">
        <f t="array" ref="S1624">_xlfn.IFS($R1624&lt;=50,"Good",$R1624&lt;=100,"Moderate",$R1624&lt;=200,"Poor",$R1624&lt;=300,"Very Poor",$R1624&lt;=500,"Hazardous")</f>
        <v>Very Poor</v>
      </c>
      <c r="T1624" t="s">
        <v>28</v>
      </c>
      <c r="X1624" s="2"/>
      <c r="Y1624" s="2"/>
    </row>
    <row r="1625" spans="1:25" x14ac:dyDescent="0.3">
      <c r="A1625" s="2">
        <v>45616</v>
      </c>
      <c r="B1625" t="s">
        <v>23</v>
      </c>
      <c r="C1625" s="4">
        <v>51.2</v>
      </c>
      <c r="D1625" s="4">
        <v>167.5</v>
      </c>
      <c r="E1625" s="4">
        <v>120.4</v>
      </c>
      <c r="F1625" s="4">
        <v>30.46</v>
      </c>
      <c r="G1625" s="4">
        <v>38.799999999999997</v>
      </c>
      <c r="H1625" s="4">
        <v>2.88</v>
      </c>
      <c r="I1625" s="4">
        <v>25.3</v>
      </c>
      <c r="J1625" s="4">
        <v>41.3</v>
      </c>
      <c r="K1625" s="4">
        <v>4.2699999999999996</v>
      </c>
      <c r="L1625" s="4">
        <v>85.333333333333343</v>
      </c>
      <c r="M1625" s="4">
        <v>167.5</v>
      </c>
      <c r="N1625" s="4">
        <v>150.5</v>
      </c>
      <c r="O1625" s="4">
        <v>76.149999999999991</v>
      </c>
      <c r="P1625" s="4">
        <v>96.999999999999986</v>
      </c>
      <c r="Q1625" s="4">
        <v>144</v>
      </c>
      <c r="R1625" s="4">
        <v>168</v>
      </c>
      <c r="S1625" s="4" t="str" cm="1">
        <f t="array" ref="S1625">_xlfn.IFS($R1625&lt;=50,"Good",$R1625&lt;=100,"Moderate",$R1625&lt;=200,"Poor",$R1625&lt;=300,"Very Poor",$R1625&lt;=500,"Hazardous")</f>
        <v>Poor</v>
      </c>
      <c r="T1625" t="s">
        <v>28</v>
      </c>
      <c r="X1625" s="2"/>
      <c r="Y1625" s="2"/>
    </row>
    <row r="1626" spans="1:25" x14ac:dyDescent="0.3">
      <c r="A1626" s="2">
        <v>45616</v>
      </c>
      <c r="B1626" t="s">
        <v>24</v>
      </c>
      <c r="C1626" s="4">
        <v>72.8</v>
      </c>
      <c r="D1626" s="4">
        <v>373.4</v>
      </c>
      <c r="E1626" s="4">
        <v>124.9</v>
      </c>
      <c r="F1626" s="4">
        <v>19.48</v>
      </c>
      <c r="G1626" s="4">
        <v>84.9</v>
      </c>
      <c r="H1626" s="4">
        <v>4.47</v>
      </c>
      <c r="I1626" s="4">
        <v>23.8</v>
      </c>
      <c r="J1626" s="4">
        <v>45.4</v>
      </c>
      <c r="K1626" s="4">
        <v>0.76</v>
      </c>
      <c r="L1626" s="4">
        <v>121.3333333333333</v>
      </c>
      <c r="M1626" s="4">
        <v>373.4</v>
      </c>
      <c r="N1626" s="4">
        <v>156.125</v>
      </c>
      <c r="O1626" s="4">
        <v>48.7</v>
      </c>
      <c r="P1626" s="4">
        <v>212.25</v>
      </c>
      <c r="Q1626" s="4">
        <v>223.5</v>
      </c>
      <c r="R1626" s="4">
        <v>373</v>
      </c>
      <c r="S1626" s="4" t="str" cm="1">
        <f t="array" ref="S1626">_xlfn.IFS($R1626&lt;=50,"Good",$R1626&lt;=100,"Moderate",$R1626&lt;=200,"Poor",$R1626&lt;=300,"Very Poor",$R1626&lt;=500,"Hazardous")</f>
        <v>Hazardous</v>
      </c>
      <c r="T1626" t="s">
        <v>28</v>
      </c>
      <c r="X1626" s="2"/>
      <c r="Y1626" s="2"/>
    </row>
    <row r="1627" spans="1:25" x14ac:dyDescent="0.3">
      <c r="A1627" s="2">
        <v>45617</v>
      </c>
      <c r="B1627" t="s">
        <v>20</v>
      </c>
      <c r="C1627" s="4">
        <v>234.3</v>
      </c>
      <c r="D1627" s="4">
        <v>172.3</v>
      </c>
      <c r="E1627" s="4">
        <v>124.6</v>
      </c>
      <c r="F1627" s="4">
        <v>7.9</v>
      </c>
      <c r="G1627" s="4">
        <v>81.2</v>
      </c>
      <c r="H1627" s="4">
        <v>1.44</v>
      </c>
      <c r="I1627" s="4">
        <v>16.7</v>
      </c>
      <c r="J1627" s="4">
        <v>56.2</v>
      </c>
      <c r="K1627" s="4">
        <v>1.86</v>
      </c>
      <c r="L1627" s="4">
        <v>390.5</v>
      </c>
      <c r="M1627" s="4">
        <v>172.3</v>
      </c>
      <c r="N1627" s="4">
        <v>155.75</v>
      </c>
      <c r="O1627" s="4">
        <v>19.75</v>
      </c>
      <c r="P1627" s="4">
        <v>203</v>
      </c>
      <c r="Q1627" s="4">
        <v>72</v>
      </c>
      <c r="R1627" s="4">
        <v>390</v>
      </c>
      <c r="S1627" s="4" t="str" cm="1">
        <f t="array" ref="S1627">_xlfn.IFS($R1627&lt;=50,"Good",$R1627&lt;=100,"Moderate",$R1627&lt;=200,"Poor",$R1627&lt;=300,"Very Poor",$R1627&lt;=500,"Hazardous")</f>
        <v>Hazardous</v>
      </c>
      <c r="T1627" t="s">
        <v>25</v>
      </c>
      <c r="X1627" s="2"/>
      <c r="Y1627" s="2"/>
    </row>
    <row r="1628" spans="1:25" x14ac:dyDescent="0.3">
      <c r="A1628" s="2">
        <v>45617</v>
      </c>
      <c r="B1628" t="s">
        <v>21</v>
      </c>
      <c r="C1628" s="4">
        <v>155.80000000000001</v>
      </c>
      <c r="D1628" s="4">
        <v>233.8</v>
      </c>
      <c r="E1628" s="4">
        <v>115.1</v>
      </c>
      <c r="F1628" s="4">
        <v>13.09</v>
      </c>
      <c r="G1628" s="4">
        <v>26.3</v>
      </c>
      <c r="H1628" s="4">
        <v>1.7</v>
      </c>
      <c r="I1628" s="4">
        <v>39.299999999999997</v>
      </c>
      <c r="J1628" s="4">
        <v>64.099999999999994</v>
      </c>
      <c r="K1628" s="4">
        <v>0.2</v>
      </c>
      <c r="L1628" s="4">
        <v>259.66666666666669</v>
      </c>
      <c r="M1628" s="4">
        <v>233.8</v>
      </c>
      <c r="N1628" s="4">
        <v>143.875</v>
      </c>
      <c r="O1628" s="4">
        <v>32.724999999999987</v>
      </c>
      <c r="P1628" s="4">
        <v>65.75</v>
      </c>
      <c r="Q1628" s="4">
        <v>84.999999999999986</v>
      </c>
      <c r="R1628" s="4">
        <v>260</v>
      </c>
      <c r="S1628" s="4" t="str" cm="1">
        <f t="array" ref="S1628">_xlfn.IFS($R1628&lt;=50,"Good",$R1628&lt;=100,"Moderate",$R1628&lt;=200,"Poor",$R1628&lt;=300,"Very Poor",$R1628&lt;=500,"Hazardous")</f>
        <v>Very Poor</v>
      </c>
      <c r="T1628" t="s">
        <v>25</v>
      </c>
      <c r="X1628" s="2"/>
      <c r="Y1628" s="2"/>
    </row>
    <row r="1629" spans="1:25" x14ac:dyDescent="0.3">
      <c r="A1629" s="2">
        <v>45617</v>
      </c>
      <c r="B1629" t="s">
        <v>22</v>
      </c>
      <c r="C1629" s="4">
        <v>67.5</v>
      </c>
      <c r="D1629" s="4">
        <v>191.2</v>
      </c>
      <c r="E1629" s="4">
        <v>124.5</v>
      </c>
      <c r="F1629" s="4">
        <v>19.98</v>
      </c>
      <c r="G1629" s="4">
        <v>14.5</v>
      </c>
      <c r="H1629" s="4">
        <v>4.03</v>
      </c>
      <c r="I1629" s="4">
        <v>24.8</v>
      </c>
      <c r="J1629" s="4">
        <v>82.4</v>
      </c>
      <c r="K1629" s="4">
        <v>1.1100000000000001</v>
      </c>
      <c r="L1629" s="4">
        <v>112.5</v>
      </c>
      <c r="M1629" s="4">
        <v>191.2</v>
      </c>
      <c r="N1629" s="4">
        <v>155.625</v>
      </c>
      <c r="O1629" s="4">
        <v>49.95</v>
      </c>
      <c r="P1629" s="4">
        <v>36.25</v>
      </c>
      <c r="Q1629" s="4">
        <v>201.5</v>
      </c>
      <c r="R1629" s="4">
        <v>202</v>
      </c>
      <c r="S1629" s="4" t="str" cm="1">
        <f t="array" ref="S1629">_xlfn.IFS($R1629&lt;=50,"Good",$R1629&lt;=100,"Moderate",$R1629&lt;=200,"Poor",$R1629&lt;=300,"Very Poor",$R1629&lt;=500,"Hazardous")</f>
        <v>Very Poor</v>
      </c>
      <c r="T1629" t="s">
        <v>29</v>
      </c>
      <c r="X1629" s="2"/>
      <c r="Y1629" s="2"/>
    </row>
    <row r="1630" spans="1:25" x14ac:dyDescent="0.3">
      <c r="A1630" s="2">
        <v>45617</v>
      </c>
      <c r="B1630" t="s">
        <v>23</v>
      </c>
      <c r="C1630" s="4">
        <v>2</v>
      </c>
      <c r="D1630" s="4">
        <v>56.8</v>
      </c>
      <c r="E1630" s="4">
        <v>2</v>
      </c>
      <c r="F1630" s="4">
        <v>29.7</v>
      </c>
      <c r="G1630" s="4">
        <v>40.799999999999997</v>
      </c>
      <c r="H1630" s="4">
        <v>1.03</v>
      </c>
      <c r="I1630" s="4">
        <v>28.2</v>
      </c>
      <c r="J1630" s="4">
        <v>63.4</v>
      </c>
      <c r="K1630" s="4">
        <v>3.25</v>
      </c>
      <c r="L1630" s="4">
        <v>3.333333333333333</v>
      </c>
      <c r="M1630" s="4">
        <v>56.8</v>
      </c>
      <c r="N1630" s="4">
        <v>2.5</v>
      </c>
      <c r="O1630" s="4">
        <v>74.25</v>
      </c>
      <c r="P1630" s="4">
        <v>102</v>
      </c>
      <c r="Q1630" s="4">
        <v>51.500000000000007</v>
      </c>
      <c r="R1630" s="4">
        <v>102</v>
      </c>
      <c r="S1630" s="4" t="str" cm="1">
        <f t="array" ref="S1630">_xlfn.IFS($R1630&lt;=50,"Good",$R1630&lt;=100,"Moderate",$R1630&lt;=200,"Poor",$R1630&lt;=300,"Very Poor",$R1630&lt;=500,"Hazardous")</f>
        <v>Poor</v>
      </c>
      <c r="T1630" t="s">
        <v>27</v>
      </c>
      <c r="X1630" s="2"/>
      <c r="Y1630" s="2"/>
    </row>
    <row r="1631" spans="1:25" x14ac:dyDescent="0.3">
      <c r="A1631" s="2">
        <v>45617</v>
      </c>
      <c r="B1631" t="s">
        <v>24</v>
      </c>
      <c r="C1631" s="4">
        <v>169.5</v>
      </c>
      <c r="D1631" s="4">
        <v>180.6</v>
      </c>
      <c r="E1631" s="4">
        <v>48.2</v>
      </c>
      <c r="F1631" s="4">
        <v>21.36</v>
      </c>
      <c r="G1631" s="4">
        <v>59.5</v>
      </c>
      <c r="H1631" s="4">
        <v>2.2200000000000002</v>
      </c>
      <c r="I1631" s="4">
        <v>40.200000000000003</v>
      </c>
      <c r="J1631" s="4">
        <v>52.1</v>
      </c>
      <c r="K1631" s="4">
        <v>1.92</v>
      </c>
      <c r="L1631" s="4">
        <v>282.5</v>
      </c>
      <c r="M1631" s="4">
        <v>180.6</v>
      </c>
      <c r="N1631" s="4">
        <v>60.250000000000007</v>
      </c>
      <c r="O1631" s="4">
        <v>53.4</v>
      </c>
      <c r="P1631" s="4">
        <v>148.75</v>
      </c>
      <c r="Q1631" s="4">
        <v>111</v>
      </c>
      <c r="R1631" s="4">
        <v>282</v>
      </c>
      <c r="S1631" s="4" t="str" cm="1">
        <f t="array" ref="S1631">_xlfn.IFS($R1631&lt;=50,"Good",$R1631&lt;=100,"Moderate",$R1631&lt;=200,"Poor",$R1631&lt;=300,"Very Poor",$R1631&lt;=500,"Hazardous")</f>
        <v>Very Poor</v>
      </c>
      <c r="T1631" t="s">
        <v>25</v>
      </c>
      <c r="X1631" s="2"/>
      <c r="Y1631" s="2"/>
    </row>
    <row r="1632" spans="1:25" x14ac:dyDescent="0.3">
      <c r="A1632" s="2">
        <v>45618</v>
      </c>
      <c r="B1632" t="s">
        <v>20</v>
      </c>
      <c r="C1632" s="4">
        <v>133.5</v>
      </c>
      <c r="D1632" s="4">
        <v>146.30000000000001</v>
      </c>
      <c r="E1632" s="4">
        <v>101</v>
      </c>
      <c r="F1632" s="4">
        <v>7.06</v>
      </c>
      <c r="G1632" s="4">
        <v>31</v>
      </c>
      <c r="H1632" s="4">
        <v>4.3</v>
      </c>
      <c r="I1632" s="4">
        <v>22.2</v>
      </c>
      <c r="J1632" s="4">
        <v>45.6</v>
      </c>
      <c r="K1632" s="4">
        <v>3.9</v>
      </c>
      <c r="L1632" s="4">
        <v>222.5</v>
      </c>
      <c r="M1632" s="4">
        <v>146.30000000000001</v>
      </c>
      <c r="N1632" s="4">
        <v>126.25</v>
      </c>
      <c r="O1632" s="4">
        <v>17.649999999999999</v>
      </c>
      <c r="P1632" s="4">
        <v>77.5</v>
      </c>
      <c r="Q1632" s="4">
        <v>215</v>
      </c>
      <c r="R1632" s="4">
        <v>222</v>
      </c>
      <c r="S1632" s="4" t="str" cm="1">
        <f t="array" ref="S1632">_xlfn.IFS($R1632&lt;=50,"Good",$R1632&lt;=100,"Moderate",$R1632&lt;=200,"Poor",$R1632&lt;=300,"Very Poor",$R1632&lt;=500,"Hazardous")</f>
        <v>Very Poor</v>
      </c>
      <c r="T1632" t="s">
        <v>25</v>
      </c>
      <c r="X1632" s="2"/>
      <c r="Y1632" s="2"/>
    </row>
    <row r="1633" spans="1:25" x14ac:dyDescent="0.3">
      <c r="A1633" s="2">
        <v>45618</v>
      </c>
      <c r="B1633" t="s">
        <v>21</v>
      </c>
      <c r="C1633" s="4">
        <v>56.9</v>
      </c>
      <c r="D1633" s="4">
        <v>156.80000000000001</v>
      </c>
      <c r="E1633" s="4">
        <v>113.1</v>
      </c>
      <c r="F1633" s="4">
        <v>25.38</v>
      </c>
      <c r="G1633" s="4">
        <v>79.3</v>
      </c>
      <c r="H1633" s="4">
        <v>1.5</v>
      </c>
      <c r="I1633" s="4">
        <v>29.2</v>
      </c>
      <c r="J1633" s="4">
        <v>51.6</v>
      </c>
      <c r="K1633" s="4">
        <v>1.77</v>
      </c>
      <c r="L1633" s="4">
        <v>94.833333333333329</v>
      </c>
      <c r="M1633" s="4">
        <v>156.80000000000001</v>
      </c>
      <c r="N1633" s="4">
        <v>141.375</v>
      </c>
      <c r="O1633" s="4">
        <v>63.45</v>
      </c>
      <c r="P1633" s="4">
        <v>198.25</v>
      </c>
      <c r="Q1633" s="4">
        <v>75</v>
      </c>
      <c r="R1633" s="4">
        <v>198</v>
      </c>
      <c r="S1633" s="4" t="str" cm="1">
        <f t="array" ref="S1633">_xlfn.IFS($R1633&lt;=50,"Good",$R1633&lt;=100,"Moderate",$R1633&lt;=200,"Poor",$R1633&lt;=300,"Very Poor",$R1633&lt;=500,"Hazardous")</f>
        <v>Poor</v>
      </c>
      <c r="T1633" t="s">
        <v>27</v>
      </c>
      <c r="X1633" s="2"/>
      <c r="Y1633" s="2"/>
    </row>
    <row r="1634" spans="1:25" x14ac:dyDescent="0.3">
      <c r="A1634" s="2">
        <v>45618</v>
      </c>
      <c r="B1634" t="s">
        <v>22</v>
      </c>
      <c r="C1634" s="4">
        <v>146.1</v>
      </c>
      <c r="D1634" s="4">
        <v>132.30000000000001</v>
      </c>
      <c r="E1634" s="4">
        <v>76.900000000000006</v>
      </c>
      <c r="F1634" s="4">
        <v>13.34</v>
      </c>
      <c r="G1634" s="4">
        <v>11.3</v>
      </c>
      <c r="H1634" s="4">
        <v>2.71</v>
      </c>
      <c r="I1634" s="4">
        <v>28.9</v>
      </c>
      <c r="J1634" s="4">
        <v>24.2</v>
      </c>
      <c r="K1634" s="4">
        <v>2.83</v>
      </c>
      <c r="L1634" s="4">
        <v>243.5</v>
      </c>
      <c r="M1634" s="4">
        <v>132.30000000000001</v>
      </c>
      <c r="N1634" s="4">
        <v>96.125</v>
      </c>
      <c r="O1634" s="4">
        <v>33.349999999999987</v>
      </c>
      <c r="P1634" s="4">
        <v>28.25</v>
      </c>
      <c r="Q1634" s="4">
        <v>135.5</v>
      </c>
      <c r="R1634" s="4">
        <v>244</v>
      </c>
      <c r="S1634" s="4" t="str" cm="1">
        <f t="array" ref="S1634">_xlfn.IFS($R1634&lt;=50,"Good",$R1634&lt;=100,"Moderate",$R1634&lt;=200,"Poor",$R1634&lt;=300,"Very Poor",$R1634&lt;=500,"Hazardous")</f>
        <v>Very Poor</v>
      </c>
      <c r="T1634" t="s">
        <v>25</v>
      </c>
      <c r="X1634" s="2"/>
      <c r="Y1634" s="2"/>
    </row>
    <row r="1635" spans="1:25" x14ac:dyDescent="0.3">
      <c r="A1635" s="2">
        <v>45618</v>
      </c>
      <c r="B1635" t="s">
        <v>23</v>
      </c>
      <c r="C1635" s="4">
        <v>58.9</v>
      </c>
      <c r="D1635" s="4">
        <v>297.3</v>
      </c>
      <c r="E1635" s="4">
        <v>25.7</v>
      </c>
      <c r="F1635" s="4">
        <v>9.9499999999999993</v>
      </c>
      <c r="G1635" s="4">
        <v>44.1</v>
      </c>
      <c r="H1635" s="4">
        <v>1.97</v>
      </c>
      <c r="I1635" s="4">
        <v>30.3</v>
      </c>
      <c r="J1635" s="4">
        <v>32.700000000000003</v>
      </c>
      <c r="K1635" s="4">
        <v>4.4800000000000004</v>
      </c>
      <c r="L1635" s="4">
        <v>98.166666666666671</v>
      </c>
      <c r="M1635" s="4">
        <v>297.3</v>
      </c>
      <c r="N1635" s="4">
        <v>32.125</v>
      </c>
      <c r="O1635" s="4">
        <v>24.875</v>
      </c>
      <c r="P1635" s="4">
        <v>110.25</v>
      </c>
      <c r="Q1635" s="4">
        <v>98.5</v>
      </c>
      <c r="R1635" s="4">
        <v>297</v>
      </c>
      <c r="S1635" s="4" t="str" cm="1">
        <f t="array" ref="S1635">_xlfn.IFS($R1635&lt;=50,"Good",$R1635&lt;=100,"Moderate",$R1635&lt;=200,"Poor",$R1635&lt;=300,"Very Poor",$R1635&lt;=500,"Hazardous")</f>
        <v>Very Poor</v>
      </c>
      <c r="T1635" t="s">
        <v>28</v>
      </c>
      <c r="X1635" s="2"/>
      <c r="Y1635" s="2"/>
    </row>
    <row r="1636" spans="1:25" x14ac:dyDescent="0.3">
      <c r="A1636" s="2">
        <v>45618</v>
      </c>
      <c r="B1636" t="s">
        <v>24</v>
      </c>
      <c r="C1636" s="4">
        <v>133.30000000000001</v>
      </c>
      <c r="D1636" s="4">
        <v>354.8</v>
      </c>
      <c r="E1636" s="4">
        <v>110</v>
      </c>
      <c r="F1636" s="4">
        <v>13.98</v>
      </c>
      <c r="G1636" s="4">
        <v>7.8</v>
      </c>
      <c r="H1636" s="4">
        <v>1.52</v>
      </c>
      <c r="I1636" s="4">
        <v>36.1</v>
      </c>
      <c r="J1636" s="4">
        <v>84.9</v>
      </c>
      <c r="K1636" s="4">
        <v>2.2599999999999998</v>
      </c>
      <c r="L1636" s="4">
        <v>222.16666666666671</v>
      </c>
      <c r="M1636" s="4">
        <v>354.8</v>
      </c>
      <c r="N1636" s="4">
        <v>137.5</v>
      </c>
      <c r="O1636" s="4">
        <v>34.950000000000003</v>
      </c>
      <c r="P1636" s="4">
        <v>19.5</v>
      </c>
      <c r="Q1636" s="4">
        <v>76</v>
      </c>
      <c r="R1636" s="4">
        <v>355</v>
      </c>
      <c r="S1636" s="4" t="str" cm="1">
        <f t="array" ref="S1636">_xlfn.IFS($R1636&lt;=50,"Good",$R1636&lt;=100,"Moderate",$R1636&lt;=200,"Poor",$R1636&lt;=300,"Very Poor",$R1636&lt;=500,"Hazardous")</f>
        <v>Hazardous</v>
      </c>
      <c r="T1636" t="s">
        <v>28</v>
      </c>
      <c r="X1636" s="2"/>
      <c r="Y1636" s="2"/>
    </row>
    <row r="1637" spans="1:25" x14ac:dyDescent="0.3">
      <c r="A1637" s="2">
        <v>45619</v>
      </c>
      <c r="B1637" t="s">
        <v>20</v>
      </c>
      <c r="C1637" s="4">
        <v>2</v>
      </c>
      <c r="D1637" s="4">
        <v>197.3</v>
      </c>
      <c r="E1637" s="4">
        <v>72.2</v>
      </c>
      <c r="F1637" s="4">
        <v>12.42</v>
      </c>
      <c r="G1637" s="4">
        <v>55.1</v>
      </c>
      <c r="H1637" s="4">
        <v>3.18</v>
      </c>
      <c r="I1637" s="4">
        <v>31.9</v>
      </c>
      <c r="J1637" s="4">
        <v>68</v>
      </c>
      <c r="K1637" s="4">
        <v>0.34</v>
      </c>
      <c r="L1637" s="4">
        <v>3.333333333333333</v>
      </c>
      <c r="M1637" s="4">
        <v>197.3</v>
      </c>
      <c r="N1637" s="4">
        <v>90.25</v>
      </c>
      <c r="O1637" s="4">
        <v>31.05</v>
      </c>
      <c r="P1637" s="4">
        <v>137.75</v>
      </c>
      <c r="Q1637" s="4">
        <v>159</v>
      </c>
      <c r="R1637" s="4">
        <v>197</v>
      </c>
      <c r="S1637" s="4" t="str" cm="1">
        <f t="array" ref="S1637">_xlfn.IFS($R1637&lt;=50,"Good",$R1637&lt;=100,"Moderate",$R1637&lt;=200,"Poor",$R1637&lt;=300,"Very Poor",$R1637&lt;=500,"Hazardous")</f>
        <v>Poor</v>
      </c>
      <c r="T1637" t="s">
        <v>28</v>
      </c>
      <c r="X1637" s="2"/>
      <c r="Y1637" s="2"/>
    </row>
    <row r="1638" spans="1:25" x14ac:dyDescent="0.3">
      <c r="A1638" s="2">
        <v>45619</v>
      </c>
      <c r="B1638" t="s">
        <v>21</v>
      </c>
      <c r="C1638" s="4">
        <v>99.5</v>
      </c>
      <c r="D1638" s="4">
        <v>516.5</v>
      </c>
      <c r="E1638" s="4">
        <v>105</v>
      </c>
      <c r="F1638" s="4">
        <v>19.68</v>
      </c>
      <c r="G1638" s="4">
        <v>55.1</v>
      </c>
      <c r="H1638" s="4">
        <v>2.9</v>
      </c>
      <c r="I1638" s="4">
        <v>8.3000000000000007</v>
      </c>
      <c r="J1638" s="4">
        <v>55.7</v>
      </c>
      <c r="K1638" s="4">
        <v>2.4500000000000002</v>
      </c>
      <c r="L1638" s="4">
        <v>165.83333333333329</v>
      </c>
      <c r="M1638" s="4">
        <v>500</v>
      </c>
      <c r="N1638" s="4">
        <v>131.25</v>
      </c>
      <c r="O1638" s="4">
        <v>49.2</v>
      </c>
      <c r="P1638" s="4">
        <v>137.75</v>
      </c>
      <c r="Q1638" s="4">
        <v>145</v>
      </c>
      <c r="R1638" s="4">
        <v>500</v>
      </c>
      <c r="S1638" s="4" t="str" cm="1">
        <f t="array" ref="S1638">_xlfn.IFS($R1638&lt;=50,"Good",$R1638&lt;=100,"Moderate",$R1638&lt;=200,"Poor",$R1638&lt;=300,"Very Poor",$R1638&lt;=500,"Hazardous")</f>
        <v>Hazardous</v>
      </c>
      <c r="T1638" t="s">
        <v>28</v>
      </c>
      <c r="X1638" s="2"/>
      <c r="Y1638" s="2"/>
    </row>
    <row r="1639" spans="1:25" x14ac:dyDescent="0.3">
      <c r="A1639" s="2">
        <v>45619</v>
      </c>
      <c r="B1639" t="s">
        <v>22</v>
      </c>
      <c r="C1639" s="4">
        <v>149.6</v>
      </c>
      <c r="D1639" s="4">
        <v>186.7</v>
      </c>
      <c r="E1639" s="4">
        <v>18.3</v>
      </c>
      <c r="F1639" s="4">
        <v>15.43</v>
      </c>
      <c r="G1639" s="4">
        <v>17</v>
      </c>
      <c r="H1639" s="4">
        <v>0.71</v>
      </c>
      <c r="I1639" s="4">
        <v>19.2</v>
      </c>
      <c r="J1639" s="4">
        <v>69.8</v>
      </c>
      <c r="K1639" s="4">
        <v>4.01</v>
      </c>
      <c r="L1639" s="4">
        <v>249.33333333333329</v>
      </c>
      <c r="M1639" s="4">
        <v>186.7</v>
      </c>
      <c r="N1639" s="4">
        <v>22.875</v>
      </c>
      <c r="O1639" s="4">
        <v>38.575000000000003</v>
      </c>
      <c r="P1639" s="4">
        <v>42.5</v>
      </c>
      <c r="Q1639" s="4">
        <v>35.5</v>
      </c>
      <c r="R1639" s="4">
        <v>249</v>
      </c>
      <c r="S1639" s="4" t="str" cm="1">
        <f t="array" ref="S1639">_xlfn.IFS($R1639&lt;=50,"Good",$R1639&lt;=100,"Moderate",$R1639&lt;=200,"Poor",$R1639&lt;=300,"Very Poor",$R1639&lt;=500,"Hazardous")</f>
        <v>Very Poor</v>
      </c>
      <c r="T1639" t="s">
        <v>25</v>
      </c>
      <c r="X1639" s="2"/>
      <c r="Y1639" s="2"/>
    </row>
    <row r="1640" spans="1:25" x14ac:dyDescent="0.3">
      <c r="A1640" s="2">
        <v>45619</v>
      </c>
      <c r="B1640" t="s">
        <v>23</v>
      </c>
      <c r="C1640" s="4">
        <v>119.2</v>
      </c>
      <c r="D1640" s="4">
        <v>252.7</v>
      </c>
      <c r="E1640" s="4">
        <v>87.1</v>
      </c>
      <c r="F1640" s="4">
        <v>13.61</v>
      </c>
      <c r="G1640" s="4">
        <v>51.7</v>
      </c>
      <c r="H1640" s="4">
        <v>0.05</v>
      </c>
      <c r="I1640" s="4">
        <v>25.8</v>
      </c>
      <c r="J1640" s="4">
        <v>41.2</v>
      </c>
      <c r="K1640" s="4">
        <v>3.9</v>
      </c>
      <c r="L1640" s="4">
        <v>198.66666666666671</v>
      </c>
      <c r="M1640" s="4">
        <v>252.7</v>
      </c>
      <c r="N1640" s="4">
        <v>108.875</v>
      </c>
      <c r="O1640" s="4">
        <v>34.024999999999999</v>
      </c>
      <c r="P1640" s="4">
        <v>129.25</v>
      </c>
      <c r="Q1640" s="4">
        <v>2.5</v>
      </c>
      <c r="R1640" s="4">
        <v>253</v>
      </c>
      <c r="S1640" s="4" t="str" cm="1">
        <f t="array" ref="S1640">_xlfn.IFS($R1640&lt;=50,"Good",$R1640&lt;=100,"Moderate",$R1640&lt;=200,"Poor",$R1640&lt;=300,"Very Poor",$R1640&lt;=500,"Hazardous")</f>
        <v>Very Poor</v>
      </c>
      <c r="T1640" t="s">
        <v>28</v>
      </c>
      <c r="X1640" s="2"/>
      <c r="Y1640" s="2"/>
    </row>
    <row r="1641" spans="1:25" x14ac:dyDescent="0.3">
      <c r="A1641" s="2">
        <v>45619</v>
      </c>
      <c r="B1641" t="s">
        <v>24</v>
      </c>
      <c r="C1641" s="4">
        <v>97.8</v>
      </c>
      <c r="D1641" s="4">
        <v>214.5</v>
      </c>
      <c r="E1641" s="4">
        <v>26.2</v>
      </c>
      <c r="F1641" s="4">
        <v>23.03</v>
      </c>
      <c r="G1641" s="4">
        <v>55.1</v>
      </c>
      <c r="H1641" s="4">
        <v>2.7</v>
      </c>
      <c r="I1641" s="4">
        <v>19.3</v>
      </c>
      <c r="J1641" s="4">
        <v>46.1</v>
      </c>
      <c r="K1641" s="4">
        <v>3.27</v>
      </c>
      <c r="L1641" s="4">
        <v>163</v>
      </c>
      <c r="M1641" s="4">
        <v>214.5</v>
      </c>
      <c r="N1641" s="4">
        <v>32.75</v>
      </c>
      <c r="O1641" s="4">
        <v>57.575000000000003</v>
      </c>
      <c r="P1641" s="4">
        <v>137.75</v>
      </c>
      <c r="Q1641" s="4">
        <v>135</v>
      </c>
      <c r="R1641" s="4">
        <v>214</v>
      </c>
      <c r="S1641" s="4" t="str" cm="1">
        <f t="array" ref="S1641">_xlfn.IFS($R1641&lt;=50,"Good",$R1641&lt;=100,"Moderate",$R1641&lt;=200,"Poor",$R1641&lt;=300,"Very Poor",$R1641&lt;=500,"Hazardous")</f>
        <v>Very Poor</v>
      </c>
      <c r="T1641" t="s">
        <v>28</v>
      </c>
      <c r="X1641" s="2"/>
      <c r="Y1641" s="2"/>
    </row>
    <row r="1642" spans="1:25" x14ac:dyDescent="0.3">
      <c r="A1642" s="2">
        <v>45620</v>
      </c>
      <c r="B1642" t="s">
        <v>20</v>
      </c>
      <c r="C1642" s="4">
        <v>72.099999999999994</v>
      </c>
      <c r="D1642" s="4">
        <v>268.8</v>
      </c>
      <c r="E1642" s="4">
        <v>3.3</v>
      </c>
      <c r="F1642" s="4">
        <v>10.23</v>
      </c>
      <c r="G1642" s="4">
        <v>87.9</v>
      </c>
      <c r="H1642" s="4">
        <v>2.69</v>
      </c>
      <c r="I1642" s="4">
        <v>26.2</v>
      </c>
      <c r="J1642" s="4">
        <v>95.7</v>
      </c>
      <c r="K1642" s="4">
        <v>0.2</v>
      </c>
      <c r="L1642" s="4">
        <v>120.1666666666667</v>
      </c>
      <c r="M1642" s="4">
        <v>268.8</v>
      </c>
      <c r="N1642" s="4">
        <v>4.125</v>
      </c>
      <c r="O1642" s="4">
        <v>25.574999999999999</v>
      </c>
      <c r="P1642" s="4">
        <v>219.75</v>
      </c>
      <c r="Q1642" s="4">
        <v>134.5</v>
      </c>
      <c r="R1642" s="4">
        <v>269</v>
      </c>
      <c r="S1642" s="4" t="str" cm="1">
        <f t="array" ref="S1642">_xlfn.IFS($R1642&lt;=50,"Good",$R1642&lt;=100,"Moderate",$R1642&lt;=200,"Poor",$R1642&lt;=300,"Very Poor",$R1642&lt;=500,"Hazardous")</f>
        <v>Very Poor</v>
      </c>
      <c r="T1642" t="s">
        <v>28</v>
      </c>
      <c r="X1642" s="2"/>
      <c r="Y1642" s="2"/>
    </row>
    <row r="1643" spans="1:25" x14ac:dyDescent="0.3">
      <c r="A1643" s="2">
        <v>45620</v>
      </c>
      <c r="B1643" t="s">
        <v>21</v>
      </c>
      <c r="C1643" s="4">
        <v>71.099999999999994</v>
      </c>
      <c r="D1643" s="4">
        <v>191.9</v>
      </c>
      <c r="E1643" s="4">
        <v>124.3</v>
      </c>
      <c r="F1643" s="4">
        <v>24.76</v>
      </c>
      <c r="G1643" s="4">
        <v>20.6</v>
      </c>
      <c r="H1643" s="4">
        <v>3.6</v>
      </c>
      <c r="I1643" s="4">
        <v>22.2</v>
      </c>
      <c r="J1643" s="4">
        <v>81.8</v>
      </c>
      <c r="K1643" s="4">
        <v>1.26</v>
      </c>
      <c r="L1643" s="4">
        <v>118.5</v>
      </c>
      <c r="M1643" s="4">
        <v>191.9</v>
      </c>
      <c r="N1643" s="4">
        <v>155.375</v>
      </c>
      <c r="O1643" s="4">
        <v>61.900000000000013</v>
      </c>
      <c r="P1643" s="4">
        <v>51.500000000000007</v>
      </c>
      <c r="Q1643" s="4">
        <v>180</v>
      </c>
      <c r="R1643" s="4">
        <v>192</v>
      </c>
      <c r="S1643" s="4" t="str" cm="1">
        <f t="array" ref="S1643">_xlfn.IFS($R1643&lt;=50,"Good",$R1643&lt;=100,"Moderate",$R1643&lt;=200,"Poor",$R1643&lt;=300,"Very Poor",$R1643&lt;=500,"Hazardous")</f>
        <v>Poor</v>
      </c>
      <c r="T1643" t="s">
        <v>28</v>
      </c>
      <c r="X1643" s="2"/>
      <c r="Y1643" s="2"/>
    </row>
    <row r="1644" spans="1:25" x14ac:dyDescent="0.3">
      <c r="A1644" s="2">
        <v>45620</v>
      </c>
      <c r="B1644" t="s">
        <v>22</v>
      </c>
      <c r="C1644" s="4">
        <v>85.6</v>
      </c>
      <c r="D1644" s="4">
        <v>137.69999999999999</v>
      </c>
      <c r="E1644" s="4">
        <v>100.5</v>
      </c>
      <c r="F1644" s="4">
        <v>8.19</v>
      </c>
      <c r="G1644" s="4">
        <v>33.299999999999997</v>
      </c>
      <c r="H1644" s="4">
        <v>2.29</v>
      </c>
      <c r="I1644" s="4">
        <v>28.8</v>
      </c>
      <c r="J1644" s="4">
        <v>76</v>
      </c>
      <c r="K1644" s="4">
        <v>2.75</v>
      </c>
      <c r="L1644" s="4">
        <v>142.66666666666671</v>
      </c>
      <c r="M1644" s="4">
        <v>137.69999999999999</v>
      </c>
      <c r="N1644" s="4">
        <v>125.625</v>
      </c>
      <c r="O1644" s="4">
        <v>20.475000000000001</v>
      </c>
      <c r="P1644" s="4">
        <v>83.249999999999986</v>
      </c>
      <c r="Q1644" s="4">
        <v>114.5</v>
      </c>
      <c r="R1644" s="4">
        <v>143</v>
      </c>
      <c r="S1644" s="4" t="str" cm="1">
        <f t="array" ref="S1644">_xlfn.IFS($R1644&lt;=50,"Good",$R1644&lt;=100,"Moderate",$R1644&lt;=200,"Poor",$R1644&lt;=300,"Very Poor",$R1644&lt;=500,"Hazardous")</f>
        <v>Poor</v>
      </c>
      <c r="T1644" t="s">
        <v>25</v>
      </c>
      <c r="X1644" s="2"/>
      <c r="Y1644" s="2"/>
    </row>
    <row r="1645" spans="1:25" x14ac:dyDescent="0.3">
      <c r="A1645" s="2">
        <v>45620</v>
      </c>
      <c r="B1645" t="s">
        <v>23</v>
      </c>
      <c r="C1645" s="4">
        <v>75.900000000000006</v>
      </c>
      <c r="D1645" s="4">
        <v>158.4</v>
      </c>
      <c r="E1645" s="4">
        <v>72.8</v>
      </c>
      <c r="F1645" s="4">
        <v>14.8</v>
      </c>
      <c r="G1645" s="4">
        <v>32.700000000000003</v>
      </c>
      <c r="H1645" s="4">
        <v>1.94</v>
      </c>
      <c r="I1645" s="4">
        <v>14.4</v>
      </c>
      <c r="J1645" s="4">
        <v>72</v>
      </c>
      <c r="K1645" s="4">
        <v>2.72</v>
      </c>
      <c r="L1645" s="4">
        <v>126.5</v>
      </c>
      <c r="M1645" s="4">
        <v>158.4</v>
      </c>
      <c r="N1645" s="4">
        <v>91</v>
      </c>
      <c r="O1645" s="4">
        <v>37.000000000000007</v>
      </c>
      <c r="P1645" s="4">
        <v>81.75</v>
      </c>
      <c r="Q1645" s="4">
        <v>97</v>
      </c>
      <c r="R1645" s="4">
        <v>158</v>
      </c>
      <c r="S1645" s="4" t="str" cm="1">
        <f t="array" ref="S1645">_xlfn.IFS($R1645&lt;=50,"Good",$R1645&lt;=100,"Moderate",$R1645&lt;=200,"Poor",$R1645&lt;=300,"Very Poor",$R1645&lt;=500,"Hazardous")</f>
        <v>Poor</v>
      </c>
      <c r="T1645" t="s">
        <v>28</v>
      </c>
      <c r="X1645" s="2"/>
      <c r="Y1645" s="2"/>
    </row>
    <row r="1646" spans="1:25" x14ac:dyDescent="0.3">
      <c r="A1646" s="2">
        <v>45620</v>
      </c>
      <c r="B1646" t="s">
        <v>24</v>
      </c>
      <c r="C1646" s="4">
        <v>158.5</v>
      </c>
      <c r="D1646" s="4">
        <v>211.2</v>
      </c>
      <c r="E1646" s="4">
        <v>18</v>
      </c>
      <c r="F1646" s="4">
        <v>10.93</v>
      </c>
      <c r="G1646" s="4">
        <v>34.700000000000003</v>
      </c>
      <c r="H1646" s="4">
        <v>2.9</v>
      </c>
      <c r="I1646" s="4">
        <v>10.5</v>
      </c>
      <c r="J1646" s="4">
        <v>60.7</v>
      </c>
      <c r="K1646" s="4">
        <v>3.62</v>
      </c>
      <c r="L1646" s="4">
        <v>264.16666666666669</v>
      </c>
      <c r="M1646" s="4">
        <v>211.2</v>
      </c>
      <c r="N1646" s="4">
        <v>22.5</v>
      </c>
      <c r="O1646" s="4">
        <v>27.324999999999999</v>
      </c>
      <c r="P1646" s="4">
        <v>86.750000000000014</v>
      </c>
      <c r="Q1646" s="4">
        <v>145</v>
      </c>
      <c r="R1646" s="4">
        <v>264</v>
      </c>
      <c r="S1646" s="4" t="str" cm="1">
        <f t="array" ref="S1646">_xlfn.IFS($R1646&lt;=50,"Good",$R1646&lt;=100,"Moderate",$R1646&lt;=200,"Poor",$R1646&lt;=300,"Very Poor",$R1646&lt;=500,"Hazardous")</f>
        <v>Very Poor</v>
      </c>
      <c r="T1646" t="s">
        <v>25</v>
      </c>
      <c r="X1646" s="2"/>
      <c r="Y1646" s="2"/>
    </row>
    <row r="1647" spans="1:25" x14ac:dyDescent="0.3">
      <c r="A1647" s="2">
        <v>45621</v>
      </c>
      <c r="B1647" t="s">
        <v>20</v>
      </c>
      <c r="C1647" s="4">
        <v>73.900000000000006</v>
      </c>
      <c r="D1647" s="4">
        <v>229</v>
      </c>
      <c r="E1647" s="4">
        <v>59.7</v>
      </c>
      <c r="F1647" s="4">
        <v>8.01</v>
      </c>
      <c r="G1647" s="4">
        <v>30.8</v>
      </c>
      <c r="H1647" s="4">
        <v>1.42</v>
      </c>
      <c r="I1647" s="4">
        <v>29.8</v>
      </c>
      <c r="J1647" s="4">
        <v>46.8</v>
      </c>
      <c r="K1647" s="4">
        <v>1.42</v>
      </c>
      <c r="L1647" s="4">
        <v>123.1666666666667</v>
      </c>
      <c r="M1647" s="4">
        <v>229</v>
      </c>
      <c r="N1647" s="4">
        <v>74.625</v>
      </c>
      <c r="O1647" s="4">
        <v>20.024999999999999</v>
      </c>
      <c r="P1647" s="4">
        <v>77</v>
      </c>
      <c r="Q1647" s="4">
        <v>71</v>
      </c>
      <c r="R1647" s="4">
        <v>229</v>
      </c>
      <c r="S1647" s="4" t="str" cm="1">
        <f t="array" ref="S1647">_xlfn.IFS($R1647&lt;=50,"Good",$R1647&lt;=100,"Moderate",$R1647&lt;=200,"Poor",$R1647&lt;=300,"Very Poor",$R1647&lt;=500,"Hazardous")</f>
        <v>Very Poor</v>
      </c>
      <c r="T1647" t="s">
        <v>28</v>
      </c>
      <c r="X1647" s="2"/>
      <c r="Y1647" s="2"/>
    </row>
    <row r="1648" spans="1:25" x14ac:dyDescent="0.3">
      <c r="A1648" s="2">
        <v>45621</v>
      </c>
      <c r="B1648" t="s">
        <v>21</v>
      </c>
      <c r="C1648" s="4">
        <v>226.1</v>
      </c>
      <c r="D1648" s="4">
        <v>355.3</v>
      </c>
      <c r="E1648" s="4">
        <v>15.5</v>
      </c>
      <c r="F1648" s="4">
        <v>8.35</v>
      </c>
      <c r="G1648" s="4">
        <v>51.8</v>
      </c>
      <c r="H1648" s="4">
        <v>2.79</v>
      </c>
      <c r="I1648" s="4">
        <v>14.6</v>
      </c>
      <c r="J1648" s="4">
        <v>80.900000000000006</v>
      </c>
      <c r="K1648" s="4">
        <v>3.49</v>
      </c>
      <c r="L1648" s="4">
        <v>376.83333333333331</v>
      </c>
      <c r="M1648" s="4">
        <v>355.3</v>
      </c>
      <c r="N1648" s="4">
        <v>19.375</v>
      </c>
      <c r="O1648" s="4">
        <v>20.875</v>
      </c>
      <c r="P1648" s="4">
        <v>129.5</v>
      </c>
      <c r="Q1648" s="4">
        <v>139.5</v>
      </c>
      <c r="R1648" s="4">
        <v>377</v>
      </c>
      <c r="S1648" s="4" t="str" cm="1">
        <f t="array" ref="S1648">_xlfn.IFS($R1648&lt;=50,"Good",$R1648&lt;=100,"Moderate",$R1648&lt;=200,"Poor",$R1648&lt;=300,"Very Poor",$R1648&lt;=500,"Hazardous")</f>
        <v>Hazardous</v>
      </c>
      <c r="T1648" t="s">
        <v>25</v>
      </c>
      <c r="X1648" s="2"/>
      <c r="Y1648" s="2"/>
    </row>
    <row r="1649" spans="1:25" x14ac:dyDescent="0.3">
      <c r="A1649" s="2">
        <v>45621</v>
      </c>
      <c r="B1649" t="s">
        <v>22</v>
      </c>
      <c r="C1649" s="4">
        <v>113.2</v>
      </c>
      <c r="D1649" s="4">
        <v>306.10000000000002</v>
      </c>
      <c r="E1649" s="4">
        <v>82.1</v>
      </c>
      <c r="F1649" s="4">
        <v>15.57</v>
      </c>
      <c r="G1649" s="4">
        <v>67.5</v>
      </c>
      <c r="H1649" s="4">
        <v>2.83</v>
      </c>
      <c r="I1649" s="4">
        <v>19.100000000000001</v>
      </c>
      <c r="J1649" s="4">
        <v>71.400000000000006</v>
      </c>
      <c r="K1649" s="4">
        <v>1.7</v>
      </c>
      <c r="L1649" s="4">
        <v>188.66666666666671</v>
      </c>
      <c r="M1649" s="4">
        <v>306.10000000000002</v>
      </c>
      <c r="N1649" s="4">
        <v>102.625</v>
      </c>
      <c r="O1649" s="4">
        <v>38.924999999999997</v>
      </c>
      <c r="P1649" s="4">
        <v>168.75</v>
      </c>
      <c r="Q1649" s="4">
        <v>141.5</v>
      </c>
      <c r="R1649" s="4">
        <v>306</v>
      </c>
      <c r="S1649" s="4" t="str" cm="1">
        <f t="array" ref="S1649">_xlfn.IFS($R1649&lt;=50,"Good",$R1649&lt;=100,"Moderate",$R1649&lt;=200,"Poor",$R1649&lt;=300,"Very Poor",$R1649&lt;=500,"Hazardous")</f>
        <v>Hazardous</v>
      </c>
      <c r="T1649" t="s">
        <v>28</v>
      </c>
      <c r="X1649" s="2"/>
      <c r="Y1649" s="2"/>
    </row>
    <row r="1650" spans="1:25" x14ac:dyDescent="0.3">
      <c r="A1650" s="2">
        <v>45621</v>
      </c>
      <c r="B1650" t="s">
        <v>23</v>
      </c>
      <c r="C1650" s="4">
        <v>120.2</v>
      </c>
      <c r="D1650" s="4">
        <v>237.8</v>
      </c>
      <c r="E1650" s="4">
        <v>27.7</v>
      </c>
      <c r="F1650" s="4">
        <v>11.83</v>
      </c>
      <c r="G1650" s="4">
        <v>42</v>
      </c>
      <c r="H1650" s="4">
        <v>1.5</v>
      </c>
      <c r="I1650" s="4">
        <v>27.2</v>
      </c>
      <c r="J1650" s="4">
        <v>74.5</v>
      </c>
      <c r="K1650" s="4">
        <v>2.46</v>
      </c>
      <c r="L1650" s="4">
        <v>200.33333333333329</v>
      </c>
      <c r="M1650" s="4">
        <v>237.8</v>
      </c>
      <c r="N1650" s="4">
        <v>34.624999999999993</v>
      </c>
      <c r="O1650" s="4">
        <v>29.574999999999999</v>
      </c>
      <c r="P1650" s="4">
        <v>105</v>
      </c>
      <c r="Q1650" s="4">
        <v>75</v>
      </c>
      <c r="R1650" s="4">
        <v>238</v>
      </c>
      <c r="S1650" s="4" t="str" cm="1">
        <f t="array" ref="S1650">_xlfn.IFS($R1650&lt;=50,"Good",$R1650&lt;=100,"Moderate",$R1650&lt;=200,"Poor",$R1650&lt;=300,"Very Poor",$R1650&lt;=500,"Hazardous")</f>
        <v>Very Poor</v>
      </c>
      <c r="T1650" t="s">
        <v>28</v>
      </c>
      <c r="X1650" s="2"/>
      <c r="Y1650" s="2"/>
    </row>
    <row r="1651" spans="1:25" x14ac:dyDescent="0.3">
      <c r="A1651" s="2">
        <v>45621</v>
      </c>
      <c r="B1651" t="s">
        <v>24</v>
      </c>
      <c r="C1651" s="4">
        <v>117.5</v>
      </c>
      <c r="D1651" s="4">
        <v>357.3</v>
      </c>
      <c r="E1651" s="4">
        <v>95.9</v>
      </c>
      <c r="F1651" s="4">
        <v>15.85</v>
      </c>
      <c r="G1651" s="4">
        <v>15.9</v>
      </c>
      <c r="H1651" s="4">
        <v>2.82</v>
      </c>
      <c r="I1651" s="4">
        <v>27.3</v>
      </c>
      <c r="J1651" s="4">
        <v>83.1</v>
      </c>
      <c r="K1651" s="4">
        <v>3.06</v>
      </c>
      <c r="L1651" s="4">
        <v>195.83333333333329</v>
      </c>
      <c r="M1651" s="4">
        <v>357.3</v>
      </c>
      <c r="N1651" s="4">
        <v>119.875</v>
      </c>
      <c r="O1651" s="4">
        <v>39.625</v>
      </c>
      <c r="P1651" s="4">
        <v>39.75</v>
      </c>
      <c r="Q1651" s="4">
        <v>141</v>
      </c>
      <c r="R1651" s="4">
        <v>357</v>
      </c>
      <c r="S1651" s="4" t="str" cm="1">
        <f t="array" ref="S1651">_xlfn.IFS($R1651&lt;=50,"Good",$R1651&lt;=100,"Moderate",$R1651&lt;=200,"Poor",$R1651&lt;=300,"Very Poor",$R1651&lt;=500,"Hazardous")</f>
        <v>Hazardous</v>
      </c>
      <c r="T1651" t="s">
        <v>28</v>
      </c>
      <c r="X1651" s="2"/>
      <c r="Y1651" s="2"/>
    </row>
    <row r="1652" spans="1:25" x14ac:dyDescent="0.3">
      <c r="A1652" s="2">
        <v>45622</v>
      </c>
      <c r="B1652" t="s">
        <v>20</v>
      </c>
      <c r="C1652" s="4">
        <v>10.1</v>
      </c>
      <c r="D1652" s="4">
        <v>33.1</v>
      </c>
      <c r="E1652" s="4">
        <v>109.9</v>
      </c>
      <c r="F1652" s="4">
        <v>9.4700000000000006</v>
      </c>
      <c r="G1652" s="4">
        <v>52.7</v>
      </c>
      <c r="H1652" s="4">
        <v>2.33</v>
      </c>
      <c r="I1652" s="4">
        <v>23.8</v>
      </c>
      <c r="J1652" s="4">
        <v>58.3</v>
      </c>
      <c r="K1652" s="4">
        <v>1.46</v>
      </c>
      <c r="L1652" s="4">
        <v>16.833333333333329</v>
      </c>
      <c r="M1652" s="4">
        <v>33.1</v>
      </c>
      <c r="N1652" s="4">
        <v>137.375</v>
      </c>
      <c r="O1652" s="4">
        <v>23.675000000000001</v>
      </c>
      <c r="P1652" s="4">
        <v>131.75</v>
      </c>
      <c r="Q1652" s="4">
        <v>116.5</v>
      </c>
      <c r="R1652" s="4">
        <v>137</v>
      </c>
      <c r="S1652" s="4" t="str" cm="1">
        <f t="array" ref="S1652">_xlfn.IFS($R1652&lt;=50,"Good",$R1652&lt;=100,"Moderate",$R1652&lt;=200,"Poor",$R1652&lt;=300,"Very Poor",$R1652&lt;=500,"Hazardous")</f>
        <v>Poor</v>
      </c>
      <c r="T1652" t="s">
        <v>26</v>
      </c>
      <c r="X1652" s="2"/>
      <c r="Y1652" s="2"/>
    </row>
    <row r="1653" spans="1:25" x14ac:dyDescent="0.3">
      <c r="A1653" s="2">
        <v>45622</v>
      </c>
      <c r="B1653" t="s">
        <v>21</v>
      </c>
      <c r="C1653" s="4">
        <v>119.1</v>
      </c>
      <c r="D1653" s="4">
        <v>169.9</v>
      </c>
      <c r="E1653" s="4">
        <v>75.099999999999994</v>
      </c>
      <c r="F1653" s="4">
        <v>12.76</v>
      </c>
      <c r="G1653" s="4">
        <v>38.6</v>
      </c>
      <c r="H1653" s="4">
        <v>3.51</v>
      </c>
      <c r="I1653" s="4">
        <v>24.1</v>
      </c>
      <c r="J1653" s="4">
        <v>78.400000000000006</v>
      </c>
      <c r="K1653" s="4">
        <v>4.3499999999999996</v>
      </c>
      <c r="L1653" s="4">
        <v>198.5</v>
      </c>
      <c r="M1653" s="4">
        <v>169.9</v>
      </c>
      <c r="N1653" s="4">
        <v>93.874999999999986</v>
      </c>
      <c r="O1653" s="4">
        <v>31.9</v>
      </c>
      <c r="P1653" s="4">
        <v>96.5</v>
      </c>
      <c r="Q1653" s="4">
        <v>175.5</v>
      </c>
      <c r="R1653" s="4">
        <v>198</v>
      </c>
      <c r="S1653" s="4" t="str" cm="1">
        <f t="array" ref="S1653">_xlfn.IFS($R1653&lt;=50,"Good",$R1653&lt;=100,"Moderate",$R1653&lt;=200,"Poor",$R1653&lt;=300,"Very Poor",$R1653&lt;=500,"Hazardous")</f>
        <v>Poor</v>
      </c>
      <c r="T1653" t="s">
        <v>25</v>
      </c>
      <c r="X1653" s="2"/>
      <c r="Y1653" s="2"/>
    </row>
    <row r="1654" spans="1:25" x14ac:dyDescent="0.3">
      <c r="A1654" s="2">
        <v>45622</v>
      </c>
      <c r="B1654" t="s">
        <v>22</v>
      </c>
      <c r="C1654" s="4">
        <v>130.19999999999999</v>
      </c>
      <c r="D1654" s="4">
        <v>231.1</v>
      </c>
      <c r="E1654" s="4">
        <v>78.3</v>
      </c>
      <c r="F1654" s="4">
        <v>18.739999999999998</v>
      </c>
      <c r="G1654" s="4">
        <v>36.1</v>
      </c>
      <c r="H1654" s="4">
        <v>2.72</v>
      </c>
      <c r="I1654" s="4">
        <v>29.3</v>
      </c>
      <c r="J1654" s="4">
        <v>53.5</v>
      </c>
      <c r="K1654" s="4">
        <v>3.58</v>
      </c>
      <c r="L1654" s="4">
        <v>217</v>
      </c>
      <c r="M1654" s="4">
        <v>231.1</v>
      </c>
      <c r="N1654" s="4">
        <v>97.874999999999986</v>
      </c>
      <c r="O1654" s="4">
        <v>46.849999999999987</v>
      </c>
      <c r="P1654" s="4">
        <v>90.25</v>
      </c>
      <c r="Q1654" s="4">
        <v>136</v>
      </c>
      <c r="R1654" s="4">
        <v>231</v>
      </c>
      <c r="S1654" s="4" t="str" cm="1">
        <f t="array" ref="S1654">_xlfn.IFS($R1654&lt;=50,"Good",$R1654&lt;=100,"Moderate",$R1654&lt;=200,"Poor",$R1654&lt;=300,"Very Poor",$R1654&lt;=500,"Hazardous")</f>
        <v>Very Poor</v>
      </c>
      <c r="T1654" t="s">
        <v>28</v>
      </c>
      <c r="X1654" s="2"/>
      <c r="Y1654" s="2"/>
    </row>
    <row r="1655" spans="1:25" x14ac:dyDescent="0.3">
      <c r="A1655" s="2">
        <v>45622</v>
      </c>
      <c r="B1655" t="s">
        <v>23</v>
      </c>
      <c r="C1655" s="4">
        <v>100.4</v>
      </c>
      <c r="D1655" s="4">
        <v>181.8</v>
      </c>
      <c r="E1655" s="4">
        <v>56.8</v>
      </c>
      <c r="F1655" s="4">
        <v>14.13</v>
      </c>
      <c r="G1655" s="4">
        <v>58.4</v>
      </c>
      <c r="H1655" s="4">
        <v>2.77</v>
      </c>
      <c r="I1655" s="4">
        <v>27.5</v>
      </c>
      <c r="J1655" s="4">
        <v>70.8</v>
      </c>
      <c r="K1655" s="4">
        <v>4.03</v>
      </c>
      <c r="L1655" s="4">
        <v>167.33333333333329</v>
      </c>
      <c r="M1655" s="4">
        <v>181.8</v>
      </c>
      <c r="N1655" s="4">
        <v>71</v>
      </c>
      <c r="O1655" s="4">
        <v>35.325000000000003</v>
      </c>
      <c r="P1655" s="4">
        <v>146</v>
      </c>
      <c r="Q1655" s="4">
        <v>138.5</v>
      </c>
      <c r="R1655" s="4">
        <v>182</v>
      </c>
      <c r="S1655" s="4" t="str" cm="1">
        <f t="array" ref="S1655">_xlfn.IFS($R1655&lt;=50,"Good",$R1655&lt;=100,"Moderate",$R1655&lt;=200,"Poor",$R1655&lt;=300,"Very Poor",$R1655&lt;=500,"Hazardous")</f>
        <v>Poor</v>
      </c>
      <c r="T1655" t="s">
        <v>28</v>
      </c>
      <c r="X1655" s="2"/>
      <c r="Y1655" s="2"/>
    </row>
    <row r="1656" spans="1:25" x14ac:dyDescent="0.3">
      <c r="A1656" s="2">
        <v>45622</v>
      </c>
      <c r="B1656" t="s">
        <v>24</v>
      </c>
      <c r="C1656" s="4">
        <v>97.7</v>
      </c>
      <c r="D1656" s="4">
        <v>93.4</v>
      </c>
      <c r="E1656" s="4">
        <v>125</v>
      </c>
      <c r="F1656" s="4">
        <v>9.42</v>
      </c>
      <c r="G1656" s="4">
        <v>22.5</v>
      </c>
      <c r="H1656" s="4">
        <v>0.22</v>
      </c>
      <c r="I1656" s="4">
        <v>29</v>
      </c>
      <c r="J1656" s="4">
        <v>30.8</v>
      </c>
      <c r="K1656" s="4">
        <v>2.1</v>
      </c>
      <c r="L1656" s="4">
        <v>162.83333333333329</v>
      </c>
      <c r="M1656" s="4">
        <v>93.4</v>
      </c>
      <c r="N1656" s="4">
        <v>156.25</v>
      </c>
      <c r="O1656" s="4">
        <v>23.55</v>
      </c>
      <c r="P1656" s="4">
        <v>56.25</v>
      </c>
      <c r="Q1656" s="4">
        <v>11</v>
      </c>
      <c r="R1656" s="4">
        <v>163</v>
      </c>
      <c r="S1656" s="4" t="str" cm="1">
        <f t="array" ref="S1656">_xlfn.IFS($R1656&lt;=50,"Good",$R1656&lt;=100,"Moderate",$R1656&lt;=200,"Poor",$R1656&lt;=300,"Very Poor",$R1656&lt;=500,"Hazardous")</f>
        <v>Poor</v>
      </c>
      <c r="T1656" t="s">
        <v>25</v>
      </c>
      <c r="X1656" s="2"/>
      <c r="Y1656" s="2"/>
    </row>
    <row r="1657" spans="1:25" x14ac:dyDescent="0.3">
      <c r="A1657" s="2">
        <v>45623</v>
      </c>
      <c r="B1657" t="s">
        <v>20</v>
      </c>
      <c r="C1657" s="4">
        <v>142.9</v>
      </c>
      <c r="D1657" s="4">
        <v>300.5</v>
      </c>
      <c r="E1657" s="4">
        <v>58.8</v>
      </c>
      <c r="F1657" s="4">
        <v>13.49</v>
      </c>
      <c r="G1657" s="4">
        <v>18.8</v>
      </c>
      <c r="H1657" s="4">
        <v>1.6</v>
      </c>
      <c r="I1657" s="4">
        <v>26.9</v>
      </c>
      <c r="J1657" s="4">
        <v>51</v>
      </c>
      <c r="K1657" s="4">
        <v>2.21</v>
      </c>
      <c r="L1657" s="4">
        <v>238.16666666666671</v>
      </c>
      <c r="M1657" s="4">
        <v>300.5</v>
      </c>
      <c r="N1657" s="4">
        <v>73.5</v>
      </c>
      <c r="O1657" s="4">
        <v>33.725000000000001</v>
      </c>
      <c r="P1657" s="4">
        <v>47</v>
      </c>
      <c r="Q1657" s="4">
        <v>80</v>
      </c>
      <c r="R1657" s="4">
        <v>300</v>
      </c>
      <c r="S1657" s="4" t="str" cm="1">
        <f t="array" ref="S1657">_xlfn.IFS($R1657&lt;=50,"Good",$R1657&lt;=100,"Moderate",$R1657&lt;=200,"Poor",$R1657&lt;=300,"Very Poor",$R1657&lt;=500,"Hazardous")</f>
        <v>Very Poor</v>
      </c>
      <c r="T1657" t="s">
        <v>28</v>
      </c>
      <c r="X1657" s="2"/>
      <c r="Y1657" s="2"/>
    </row>
    <row r="1658" spans="1:25" x14ac:dyDescent="0.3">
      <c r="A1658" s="2">
        <v>45623</v>
      </c>
      <c r="B1658" t="s">
        <v>21</v>
      </c>
      <c r="C1658" s="4">
        <v>32.1</v>
      </c>
      <c r="D1658" s="4">
        <v>376</v>
      </c>
      <c r="E1658" s="4">
        <v>110.4</v>
      </c>
      <c r="F1658" s="4">
        <v>23.93</v>
      </c>
      <c r="G1658" s="4">
        <v>81.3</v>
      </c>
      <c r="H1658" s="4">
        <v>1.41</v>
      </c>
      <c r="I1658" s="4">
        <v>22.5</v>
      </c>
      <c r="J1658" s="4">
        <v>25.9</v>
      </c>
      <c r="K1658" s="4">
        <v>6.27</v>
      </c>
      <c r="L1658" s="4">
        <v>53.5</v>
      </c>
      <c r="M1658" s="4">
        <v>376</v>
      </c>
      <c r="N1658" s="4">
        <v>138</v>
      </c>
      <c r="O1658" s="4">
        <v>59.825000000000003</v>
      </c>
      <c r="P1658" s="4">
        <v>203.25</v>
      </c>
      <c r="Q1658" s="4">
        <v>70.5</v>
      </c>
      <c r="R1658" s="4">
        <v>376</v>
      </c>
      <c r="S1658" s="4" t="str" cm="1">
        <f t="array" ref="S1658">_xlfn.IFS($R1658&lt;=50,"Good",$R1658&lt;=100,"Moderate",$R1658&lt;=200,"Poor",$R1658&lt;=300,"Very Poor",$R1658&lt;=500,"Hazardous")</f>
        <v>Hazardous</v>
      </c>
      <c r="T1658" t="s">
        <v>28</v>
      </c>
      <c r="X1658" s="2"/>
      <c r="Y1658" s="2"/>
    </row>
    <row r="1659" spans="1:25" x14ac:dyDescent="0.3">
      <c r="A1659" s="2">
        <v>45623</v>
      </c>
      <c r="B1659" t="s">
        <v>22</v>
      </c>
      <c r="C1659" s="4">
        <v>84.4</v>
      </c>
      <c r="D1659" s="4">
        <v>277.10000000000002</v>
      </c>
      <c r="E1659" s="4">
        <v>30.8</v>
      </c>
      <c r="F1659" s="4">
        <v>19.73</v>
      </c>
      <c r="G1659" s="4">
        <v>73.900000000000006</v>
      </c>
      <c r="H1659" s="4">
        <v>1.77</v>
      </c>
      <c r="I1659" s="4">
        <v>17.899999999999999</v>
      </c>
      <c r="J1659" s="4">
        <v>57.5</v>
      </c>
      <c r="K1659" s="4">
        <v>0.2</v>
      </c>
      <c r="L1659" s="4">
        <v>140.66666666666671</v>
      </c>
      <c r="M1659" s="4">
        <v>277.10000000000002</v>
      </c>
      <c r="N1659" s="4">
        <v>38.5</v>
      </c>
      <c r="O1659" s="4">
        <v>49.325000000000003</v>
      </c>
      <c r="P1659" s="4">
        <v>184.75</v>
      </c>
      <c r="Q1659" s="4">
        <v>88.5</v>
      </c>
      <c r="R1659" s="4">
        <v>277</v>
      </c>
      <c r="S1659" s="4" t="str" cm="1">
        <f t="array" ref="S1659">_xlfn.IFS($R1659&lt;=50,"Good",$R1659&lt;=100,"Moderate",$R1659&lt;=200,"Poor",$R1659&lt;=300,"Very Poor",$R1659&lt;=500,"Hazardous")</f>
        <v>Very Poor</v>
      </c>
      <c r="T1659" t="s">
        <v>28</v>
      </c>
      <c r="X1659" s="2"/>
      <c r="Y1659" s="2"/>
    </row>
    <row r="1660" spans="1:25" x14ac:dyDescent="0.3">
      <c r="A1660" s="2">
        <v>45623</v>
      </c>
      <c r="B1660" t="s">
        <v>23</v>
      </c>
      <c r="C1660" s="4">
        <v>94.2</v>
      </c>
      <c r="D1660" s="4">
        <v>270.8</v>
      </c>
      <c r="E1660" s="4">
        <v>70.900000000000006</v>
      </c>
      <c r="F1660" s="4">
        <v>10.53</v>
      </c>
      <c r="G1660" s="4">
        <v>47.9</v>
      </c>
      <c r="H1660" s="4">
        <v>2.5</v>
      </c>
      <c r="I1660" s="4">
        <v>13.4</v>
      </c>
      <c r="J1660" s="4">
        <v>61.6</v>
      </c>
      <c r="K1660" s="4">
        <v>5.42</v>
      </c>
      <c r="L1660" s="4">
        <v>157</v>
      </c>
      <c r="M1660" s="4">
        <v>270.8</v>
      </c>
      <c r="N1660" s="4">
        <v>88.625000000000014</v>
      </c>
      <c r="O1660" s="4">
        <v>26.324999999999999</v>
      </c>
      <c r="P1660" s="4">
        <v>119.75</v>
      </c>
      <c r="Q1660" s="4">
        <v>125</v>
      </c>
      <c r="R1660" s="4">
        <v>271</v>
      </c>
      <c r="S1660" s="4" t="str" cm="1">
        <f t="array" ref="S1660">_xlfn.IFS($R1660&lt;=50,"Good",$R1660&lt;=100,"Moderate",$R1660&lt;=200,"Poor",$R1660&lt;=300,"Very Poor",$R1660&lt;=500,"Hazardous")</f>
        <v>Very Poor</v>
      </c>
      <c r="T1660" t="s">
        <v>28</v>
      </c>
      <c r="X1660" s="2"/>
      <c r="Y1660" s="2"/>
    </row>
    <row r="1661" spans="1:25" x14ac:dyDescent="0.3">
      <c r="A1661" s="2">
        <v>45623</v>
      </c>
      <c r="B1661" t="s">
        <v>24</v>
      </c>
      <c r="C1661" s="4">
        <v>35.1</v>
      </c>
      <c r="D1661" s="4">
        <v>202.2</v>
      </c>
      <c r="E1661" s="4">
        <v>147.5</v>
      </c>
      <c r="F1661" s="4">
        <v>23.8</v>
      </c>
      <c r="G1661" s="4">
        <v>26.9</v>
      </c>
      <c r="H1661" s="4">
        <v>2.33</v>
      </c>
      <c r="I1661" s="4">
        <v>25</v>
      </c>
      <c r="J1661" s="4">
        <v>46.5</v>
      </c>
      <c r="K1661" s="4">
        <v>2.91</v>
      </c>
      <c r="L1661" s="4">
        <v>58.5</v>
      </c>
      <c r="M1661" s="4">
        <v>202.2</v>
      </c>
      <c r="N1661" s="4">
        <v>184.375</v>
      </c>
      <c r="O1661" s="4">
        <v>59.500000000000007</v>
      </c>
      <c r="P1661" s="4">
        <v>67.249999999999986</v>
      </c>
      <c r="Q1661" s="4">
        <v>116.5</v>
      </c>
      <c r="R1661" s="4">
        <v>202</v>
      </c>
      <c r="S1661" s="4" t="str" cm="1">
        <f t="array" ref="S1661">_xlfn.IFS($R1661&lt;=50,"Good",$R1661&lt;=100,"Moderate",$R1661&lt;=200,"Poor",$R1661&lt;=300,"Very Poor",$R1661&lt;=500,"Hazardous")</f>
        <v>Very Poor</v>
      </c>
      <c r="T1661" t="s">
        <v>28</v>
      </c>
      <c r="X1661" s="2"/>
      <c r="Y1661" s="2"/>
    </row>
    <row r="1662" spans="1:25" x14ac:dyDescent="0.3">
      <c r="A1662" s="2">
        <v>45624</v>
      </c>
      <c r="B1662" t="s">
        <v>20</v>
      </c>
      <c r="C1662" s="4">
        <v>94.9</v>
      </c>
      <c r="D1662" s="4">
        <v>233.2</v>
      </c>
      <c r="E1662" s="4">
        <v>55.3</v>
      </c>
      <c r="F1662" s="4">
        <v>2.98</v>
      </c>
      <c r="G1662" s="4">
        <v>40.299999999999997</v>
      </c>
      <c r="H1662" s="4">
        <v>4.0999999999999996</v>
      </c>
      <c r="I1662" s="4">
        <v>25.6</v>
      </c>
      <c r="J1662" s="4">
        <v>54</v>
      </c>
      <c r="K1662" s="4">
        <v>3.4</v>
      </c>
      <c r="L1662" s="4">
        <v>158.16666666666671</v>
      </c>
      <c r="M1662" s="4">
        <v>233.2</v>
      </c>
      <c r="N1662" s="4">
        <v>69.124999999999986</v>
      </c>
      <c r="O1662" s="4">
        <v>7.45</v>
      </c>
      <c r="P1662" s="4">
        <v>100.75</v>
      </c>
      <c r="Q1662" s="4">
        <v>205</v>
      </c>
      <c r="R1662" s="4">
        <v>233</v>
      </c>
      <c r="S1662" s="4" t="str" cm="1">
        <f t="array" ref="S1662">_xlfn.IFS($R1662&lt;=50,"Good",$R1662&lt;=100,"Moderate",$R1662&lt;=200,"Poor",$R1662&lt;=300,"Very Poor",$R1662&lt;=500,"Hazardous")</f>
        <v>Very Poor</v>
      </c>
      <c r="T1662" t="s">
        <v>28</v>
      </c>
      <c r="X1662" s="2"/>
      <c r="Y1662" s="2"/>
    </row>
    <row r="1663" spans="1:25" x14ac:dyDescent="0.3">
      <c r="A1663" s="2">
        <v>45624</v>
      </c>
      <c r="B1663" t="s">
        <v>21</v>
      </c>
      <c r="C1663" s="4">
        <v>110.5</v>
      </c>
      <c r="D1663" s="4">
        <v>464.2</v>
      </c>
      <c r="E1663" s="4">
        <v>89.8</v>
      </c>
      <c r="F1663" s="4">
        <v>23</v>
      </c>
      <c r="G1663" s="4">
        <v>23.8</v>
      </c>
      <c r="H1663" s="4">
        <v>3</v>
      </c>
      <c r="I1663" s="4">
        <v>26.9</v>
      </c>
      <c r="J1663" s="4">
        <v>59</v>
      </c>
      <c r="K1663" s="4">
        <v>1.9</v>
      </c>
      <c r="L1663" s="4">
        <v>184.16666666666671</v>
      </c>
      <c r="M1663" s="4">
        <v>464.2</v>
      </c>
      <c r="N1663" s="4">
        <v>112.25</v>
      </c>
      <c r="O1663" s="4">
        <v>57.5</v>
      </c>
      <c r="P1663" s="4">
        <v>59.500000000000007</v>
      </c>
      <c r="Q1663" s="4">
        <v>150</v>
      </c>
      <c r="R1663" s="4">
        <v>464</v>
      </c>
      <c r="S1663" s="4" t="str" cm="1">
        <f t="array" ref="S1663">_xlfn.IFS($R1663&lt;=50,"Good",$R1663&lt;=100,"Moderate",$R1663&lt;=200,"Poor",$R1663&lt;=300,"Very Poor",$R1663&lt;=500,"Hazardous")</f>
        <v>Hazardous</v>
      </c>
      <c r="T1663" t="s">
        <v>28</v>
      </c>
      <c r="X1663" s="2"/>
      <c r="Y1663" s="2"/>
    </row>
    <row r="1664" spans="1:25" x14ac:dyDescent="0.3">
      <c r="A1664" s="2">
        <v>45624</v>
      </c>
      <c r="B1664" t="s">
        <v>22</v>
      </c>
      <c r="C1664" s="4">
        <v>62.1</v>
      </c>
      <c r="D1664" s="4">
        <v>208.2</v>
      </c>
      <c r="E1664" s="4">
        <v>87.5</v>
      </c>
      <c r="F1664" s="4">
        <v>11.19</v>
      </c>
      <c r="G1664" s="4">
        <v>40.299999999999997</v>
      </c>
      <c r="H1664" s="4">
        <v>1.79</v>
      </c>
      <c r="I1664" s="4">
        <v>25.7</v>
      </c>
      <c r="J1664" s="4">
        <v>56.4</v>
      </c>
      <c r="K1664" s="4">
        <v>2.52</v>
      </c>
      <c r="L1664" s="4">
        <v>103.5</v>
      </c>
      <c r="M1664" s="4">
        <v>208.2</v>
      </c>
      <c r="N1664" s="4">
        <v>109.375</v>
      </c>
      <c r="O1664" s="4">
        <v>27.975000000000001</v>
      </c>
      <c r="P1664" s="4">
        <v>100.75</v>
      </c>
      <c r="Q1664" s="4">
        <v>89.5</v>
      </c>
      <c r="R1664" s="4">
        <v>208</v>
      </c>
      <c r="S1664" s="4" t="str" cm="1">
        <f t="array" ref="S1664">_xlfn.IFS($R1664&lt;=50,"Good",$R1664&lt;=100,"Moderate",$R1664&lt;=200,"Poor",$R1664&lt;=300,"Very Poor",$R1664&lt;=500,"Hazardous")</f>
        <v>Very Poor</v>
      </c>
      <c r="T1664" t="s">
        <v>28</v>
      </c>
      <c r="X1664" s="2"/>
      <c r="Y1664" s="2"/>
    </row>
    <row r="1665" spans="1:25" x14ac:dyDescent="0.3">
      <c r="A1665" s="2">
        <v>45624</v>
      </c>
      <c r="B1665" t="s">
        <v>23</v>
      </c>
      <c r="C1665" s="4">
        <v>225.5</v>
      </c>
      <c r="D1665" s="4">
        <v>221.9</v>
      </c>
      <c r="E1665" s="4">
        <v>92.6</v>
      </c>
      <c r="F1665" s="4">
        <v>16.3</v>
      </c>
      <c r="G1665" s="4">
        <v>30.1</v>
      </c>
      <c r="H1665" s="4">
        <v>3.16</v>
      </c>
      <c r="I1665" s="4">
        <v>23</v>
      </c>
      <c r="J1665" s="4">
        <v>79</v>
      </c>
      <c r="K1665" s="4">
        <v>2.1</v>
      </c>
      <c r="L1665" s="4">
        <v>375.83333333333343</v>
      </c>
      <c r="M1665" s="4">
        <v>221.9</v>
      </c>
      <c r="N1665" s="4">
        <v>115.75</v>
      </c>
      <c r="O1665" s="4">
        <v>40.75</v>
      </c>
      <c r="P1665" s="4">
        <v>75.25</v>
      </c>
      <c r="Q1665" s="4">
        <v>158</v>
      </c>
      <c r="R1665" s="4">
        <v>376</v>
      </c>
      <c r="S1665" s="4" t="str" cm="1">
        <f t="array" ref="S1665">_xlfn.IFS($R1665&lt;=50,"Good",$R1665&lt;=100,"Moderate",$R1665&lt;=200,"Poor",$R1665&lt;=300,"Very Poor",$R1665&lt;=500,"Hazardous")</f>
        <v>Hazardous</v>
      </c>
      <c r="T1665" t="s">
        <v>25</v>
      </c>
      <c r="X1665" s="2"/>
      <c r="Y1665" s="2"/>
    </row>
    <row r="1666" spans="1:25" x14ac:dyDescent="0.3">
      <c r="A1666" s="2">
        <v>45624</v>
      </c>
      <c r="B1666" t="s">
        <v>24</v>
      </c>
      <c r="C1666" s="4">
        <v>54.9</v>
      </c>
      <c r="D1666" s="4">
        <v>249.8</v>
      </c>
      <c r="E1666" s="4">
        <v>40.299999999999997</v>
      </c>
      <c r="F1666" s="4">
        <v>18.79</v>
      </c>
      <c r="G1666" s="4">
        <v>10</v>
      </c>
      <c r="H1666" s="4">
        <v>1.78</v>
      </c>
      <c r="I1666" s="4">
        <v>15</v>
      </c>
      <c r="J1666" s="4">
        <v>100</v>
      </c>
      <c r="K1666" s="4">
        <v>1.02</v>
      </c>
      <c r="L1666" s="4">
        <v>91.5</v>
      </c>
      <c r="M1666" s="4">
        <v>249.8</v>
      </c>
      <c r="N1666" s="4">
        <v>50.374999999999993</v>
      </c>
      <c r="O1666" s="4">
        <v>46.974999999999987</v>
      </c>
      <c r="P1666" s="4">
        <v>25</v>
      </c>
      <c r="Q1666" s="4">
        <v>89</v>
      </c>
      <c r="R1666" s="4">
        <v>250</v>
      </c>
      <c r="S1666" s="4" t="str" cm="1">
        <f t="array" ref="S1666">_xlfn.IFS($R1666&lt;=50,"Good",$R1666&lt;=100,"Moderate",$R1666&lt;=200,"Poor",$R1666&lt;=300,"Very Poor",$R1666&lt;=500,"Hazardous")</f>
        <v>Very Poor</v>
      </c>
      <c r="T1666" t="s">
        <v>28</v>
      </c>
      <c r="X1666" s="2"/>
      <c r="Y1666" s="2"/>
    </row>
    <row r="1667" spans="1:25" x14ac:dyDescent="0.3">
      <c r="A1667" s="2">
        <v>45625</v>
      </c>
      <c r="B1667" t="s">
        <v>20</v>
      </c>
      <c r="C1667" s="4">
        <v>110.9</v>
      </c>
      <c r="D1667" s="4">
        <v>347</v>
      </c>
      <c r="E1667" s="4">
        <v>120.9</v>
      </c>
      <c r="F1667" s="4">
        <v>22.55</v>
      </c>
      <c r="G1667" s="4">
        <v>33.200000000000003</v>
      </c>
      <c r="H1667" s="4">
        <v>3.7</v>
      </c>
      <c r="I1667" s="4">
        <v>31.4</v>
      </c>
      <c r="J1667" s="4">
        <v>63.8</v>
      </c>
      <c r="K1667" s="4">
        <v>2.79</v>
      </c>
      <c r="L1667" s="4">
        <v>184.83333333333329</v>
      </c>
      <c r="M1667" s="4">
        <v>347</v>
      </c>
      <c r="N1667" s="4">
        <v>151.125</v>
      </c>
      <c r="O1667" s="4">
        <v>56.375</v>
      </c>
      <c r="P1667" s="4">
        <v>83</v>
      </c>
      <c r="Q1667" s="4">
        <v>185</v>
      </c>
      <c r="R1667" s="4">
        <v>347</v>
      </c>
      <c r="S1667" s="4" t="str" cm="1">
        <f t="array" ref="S1667">_xlfn.IFS($R1667&lt;=50,"Good",$R1667&lt;=100,"Moderate",$R1667&lt;=200,"Poor",$R1667&lt;=300,"Very Poor",$R1667&lt;=500,"Hazardous")</f>
        <v>Hazardous</v>
      </c>
      <c r="T1667" t="s">
        <v>28</v>
      </c>
      <c r="X1667" s="2"/>
      <c r="Y1667" s="2"/>
    </row>
    <row r="1668" spans="1:25" x14ac:dyDescent="0.3">
      <c r="A1668" s="2">
        <v>45625</v>
      </c>
      <c r="B1668" t="s">
        <v>21</v>
      </c>
      <c r="C1668" s="4">
        <v>101.8</v>
      </c>
      <c r="D1668" s="4">
        <v>130.80000000000001</v>
      </c>
      <c r="E1668" s="4">
        <v>139.5</v>
      </c>
      <c r="F1668" s="4">
        <v>29.12</v>
      </c>
      <c r="G1668" s="4">
        <v>20.100000000000001</v>
      </c>
      <c r="H1668" s="4">
        <v>2.2200000000000002</v>
      </c>
      <c r="I1668" s="4">
        <v>24</v>
      </c>
      <c r="J1668" s="4">
        <v>59.4</v>
      </c>
      <c r="K1668" s="4">
        <v>2.58</v>
      </c>
      <c r="L1668" s="4">
        <v>169.66666666666671</v>
      </c>
      <c r="M1668" s="4">
        <v>130.80000000000001</v>
      </c>
      <c r="N1668" s="4">
        <v>174.375</v>
      </c>
      <c r="O1668" s="4">
        <v>72.8</v>
      </c>
      <c r="P1668" s="4">
        <v>50.25</v>
      </c>
      <c r="Q1668" s="4">
        <v>111</v>
      </c>
      <c r="R1668" s="4">
        <v>174</v>
      </c>
      <c r="S1668" s="4" t="str" cm="1">
        <f t="array" ref="S1668">_xlfn.IFS($R1668&lt;=50,"Good",$R1668&lt;=100,"Moderate",$R1668&lt;=200,"Poor",$R1668&lt;=300,"Very Poor",$R1668&lt;=500,"Hazardous")</f>
        <v>Poor</v>
      </c>
      <c r="T1668" t="s">
        <v>26</v>
      </c>
      <c r="X1668" s="2"/>
      <c r="Y1668" s="2"/>
    </row>
    <row r="1669" spans="1:25" x14ac:dyDescent="0.3">
      <c r="A1669" s="2">
        <v>45625</v>
      </c>
      <c r="B1669" t="s">
        <v>22</v>
      </c>
      <c r="C1669" s="4">
        <v>134.4</v>
      </c>
      <c r="D1669" s="4">
        <v>114.3</v>
      </c>
      <c r="E1669" s="4">
        <v>42.7</v>
      </c>
      <c r="F1669" s="4">
        <v>21.56</v>
      </c>
      <c r="G1669" s="4">
        <v>24.3</v>
      </c>
      <c r="H1669" s="4">
        <v>0.67</v>
      </c>
      <c r="I1669" s="4">
        <v>21.6</v>
      </c>
      <c r="J1669" s="4">
        <v>54.1</v>
      </c>
      <c r="K1669" s="4">
        <v>4.37</v>
      </c>
      <c r="L1669" s="4">
        <v>224</v>
      </c>
      <c r="M1669" s="4">
        <v>114.3</v>
      </c>
      <c r="N1669" s="4">
        <v>53.375000000000007</v>
      </c>
      <c r="O1669" s="4">
        <v>53.9</v>
      </c>
      <c r="P1669" s="4">
        <v>60.75</v>
      </c>
      <c r="Q1669" s="4">
        <v>33.5</v>
      </c>
      <c r="R1669" s="4">
        <v>224</v>
      </c>
      <c r="S1669" s="4" t="str" cm="1">
        <f t="array" ref="S1669">_xlfn.IFS($R1669&lt;=50,"Good",$R1669&lt;=100,"Moderate",$R1669&lt;=200,"Poor",$R1669&lt;=300,"Very Poor",$R1669&lt;=500,"Hazardous")</f>
        <v>Very Poor</v>
      </c>
      <c r="T1669" t="s">
        <v>25</v>
      </c>
      <c r="X1669" s="2"/>
      <c r="Y1669" s="2"/>
    </row>
    <row r="1670" spans="1:25" x14ac:dyDescent="0.3">
      <c r="A1670" s="2">
        <v>45625</v>
      </c>
      <c r="B1670" t="s">
        <v>23</v>
      </c>
      <c r="C1670" s="4">
        <v>140.4</v>
      </c>
      <c r="D1670" s="4">
        <v>302.2</v>
      </c>
      <c r="E1670" s="4">
        <v>98.2</v>
      </c>
      <c r="F1670" s="4">
        <v>20.37</v>
      </c>
      <c r="G1670" s="4">
        <v>20.5</v>
      </c>
      <c r="H1670" s="4">
        <v>1.73</v>
      </c>
      <c r="I1670" s="4">
        <v>18.100000000000001</v>
      </c>
      <c r="J1670" s="4">
        <v>56.2</v>
      </c>
      <c r="K1670" s="4">
        <v>3.32</v>
      </c>
      <c r="L1670" s="4">
        <v>234</v>
      </c>
      <c r="M1670" s="4">
        <v>302.2</v>
      </c>
      <c r="N1670" s="4">
        <v>122.75</v>
      </c>
      <c r="O1670" s="4">
        <v>50.924999999999997</v>
      </c>
      <c r="P1670" s="4">
        <v>51.25</v>
      </c>
      <c r="Q1670" s="4">
        <v>86.5</v>
      </c>
      <c r="R1670" s="4">
        <v>302</v>
      </c>
      <c r="S1670" s="4" t="str" cm="1">
        <f t="array" ref="S1670">_xlfn.IFS($R1670&lt;=50,"Good",$R1670&lt;=100,"Moderate",$R1670&lt;=200,"Poor",$R1670&lt;=300,"Very Poor",$R1670&lt;=500,"Hazardous")</f>
        <v>Hazardous</v>
      </c>
      <c r="T1670" t="s">
        <v>28</v>
      </c>
      <c r="X1670" s="2"/>
      <c r="Y1670" s="2"/>
    </row>
    <row r="1671" spans="1:25" x14ac:dyDescent="0.3">
      <c r="A1671" s="2">
        <v>45625</v>
      </c>
      <c r="B1671" t="s">
        <v>24</v>
      </c>
      <c r="C1671" s="4">
        <v>112.7</v>
      </c>
      <c r="D1671" s="4">
        <v>349.7</v>
      </c>
      <c r="E1671" s="4">
        <v>39</v>
      </c>
      <c r="F1671" s="4">
        <v>18.48</v>
      </c>
      <c r="G1671" s="4">
        <v>8.6999999999999993</v>
      </c>
      <c r="H1671" s="4">
        <v>2.21</v>
      </c>
      <c r="I1671" s="4">
        <v>30.2</v>
      </c>
      <c r="J1671" s="4">
        <v>56.1</v>
      </c>
      <c r="K1671" s="4">
        <v>3.66</v>
      </c>
      <c r="L1671" s="4">
        <v>187.83333333333329</v>
      </c>
      <c r="M1671" s="4">
        <v>349.7</v>
      </c>
      <c r="N1671" s="4">
        <v>48.75</v>
      </c>
      <c r="O1671" s="4">
        <v>46.2</v>
      </c>
      <c r="P1671" s="4">
        <v>21.75</v>
      </c>
      <c r="Q1671" s="4">
        <v>110.5</v>
      </c>
      <c r="R1671" s="4">
        <v>350</v>
      </c>
      <c r="S1671" s="4" t="str" cm="1">
        <f t="array" ref="S1671">_xlfn.IFS($R1671&lt;=50,"Good",$R1671&lt;=100,"Moderate",$R1671&lt;=200,"Poor",$R1671&lt;=300,"Very Poor",$R1671&lt;=500,"Hazardous")</f>
        <v>Hazardous</v>
      </c>
      <c r="T1671" t="s">
        <v>28</v>
      </c>
      <c r="X1671" s="2"/>
      <c r="Y1671" s="2"/>
    </row>
    <row r="1672" spans="1:25" x14ac:dyDescent="0.3">
      <c r="A1672" s="2">
        <v>45626</v>
      </c>
      <c r="B1672" t="s">
        <v>20</v>
      </c>
      <c r="C1672" s="4">
        <v>57.4</v>
      </c>
      <c r="D1672" s="4">
        <v>37.1</v>
      </c>
      <c r="E1672" s="4">
        <v>103.3</v>
      </c>
      <c r="F1672" s="4">
        <v>30.76</v>
      </c>
      <c r="G1672" s="4">
        <v>15.6</v>
      </c>
      <c r="H1672" s="4">
        <v>3.56</v>
      </c>
      <c r="I1672" s="4">
        <v>25.3</v>
      </c>
      <c r="J1672" s="4">
        <v>36</v>
      </c>
      <c r="K1672" s="4">
        <v>1.1399999999999999</v>
      </c>
      <c r="L1672" s="4">
        <v>95.666666666666657</v>
      </c>
      <c r="M1672" s="4">
        <v>37.1</v>
      </c>
      <c r="N1672" s="4">
        <v>129.125</v>
      </c>
      <c r="O1672" s="4">
        <v>76.900000000000006</v>
      </c>
      <c r="P1672" s="4">
        <v>39</v>
      </c>
      <c r="Q1672" s="4">
        <v>178</v>
      </c>
      <c r="R1672" s="4">
        <v>178</v>
      </c>
      <c r="S1672" s="4" t="str" cm="1">
        <f t="array" ref="S1672">_xlfn.IFS($R1672&lt;=50,"Good",$R1672&lt;=100,"Moderate",$R1672&lt;=200,"Poor",$R1672&lt;=300,"Very Poor",$R1672&lt;=500,"Hazardous")</f>
        <v>Poor</v>
      </c>
      <c r="T1672" t="s">
        <v>29</v>
      </c>
      <c r="X1672" s="2"/>
      <c r="Y1672" s="2"/>
    </row>
    <row r="1673" spans="1:25" x14ac:dyDescent="0.3">
      <c r="A1673" s="2">
        <v>45626</v>
      </c>
      <c r="B1673" t="s">
        <v>21</v>
      </c>
      <c r="C1673" s="4">
        <v>120.9</v>
      </c>
      <c r="D1673" s="4">
        <v>191.5</v>
      </c>
      <c r="E1673" s="4">
        <v>37.5</v>
      </c>
      <c r="F1673" s="4">
        <v>0.5</v>
      </c>
      <c r="G1673" s="4">
        <v>21.2</v>
      </c>
      <c r="H1673" s="4">
        <v>2.63</v>
      </c>
      <c r="I1673" s="4">
        <v>25</v>
      </c>
      <c r="J1673" s="4">
        <v>51</v>
      </c>
      <c r="K1673" s="4">
        <v>2.74</v>
      </c>
      <c r="L1673" s="4">
        <v>201.5</v>
      </c>
      <c r="M1673" s="4">
        <v>191.5</v>
      </c>
      <c r="N1673" s="4">
        <v>46.875</v>
      </c>
      <c r="O1673" s="4">
        <v>1.25</v>
      </c>
      <c r="P1673" s="4">
        <v>53</v>
      </c>
      <c r="Q1673" s="4">
        <v>131.5</v>
      </c>
      <c r="R1673" s="4">
        <v>202</v>
      </c>
      <c r="S1673" s="4" t="str" cm="1">
        <f t="array" ref="S1673">_xlfn.IFS($R1673&lt;=50,"Good",$R1673&lt;=100,"Moderate",$R1673&lt;=200,"Poor",$R1673&lt;=300,"Very Poor",$R1673&lt;=500,"Hazardous")</f>
        <v>Very Poor</v>
      </c>
      <c r="T1673" t="s">
        <v>25</v>
      </c>
      <c r="X1673" s="2"/>
      <c r="Y1673" s="2"/>
    </row>
    <row r="1674" spans="1:25" x14ac:dyDescent="0.3">
      <c r="A1674" s="2">
        <v>45626</v>
      </c>
      <c r="B1674" t="s">
        <v>22</v>
      </c>
      <c r="C1674" s="4">
        <v>138.6</v>
      </c>
      <c r="D1674" s="4">
        <v>218.3</v>
      </c>
      <c r="E1674" s="4">
        <v>64.7</v>
      </c>
      <c r="F1674" s="4">
        <v>19.21</v>
      </c>
      <c r="G1674" s="4">
        <v>13.7</v>
      </c>
      <c r="H1674" s="4">
        <v>1.62</v>
      </c>
      <c r="I1674" s="4">
        <v>23.6</v>
      </c>
      <c r="J1674" s="4">
        <v>37.700000000000003</v>
      </c>
      <c r="K1674" s="4">
        <v>2</v>
      </c>
      <c r="L1674" s="4">
        <v>231</v>
      </c>
      <c r="M1674" s="4">
        <v>218.3</v>
      </c>
      <c r="N1674" s="4">
        <v>80.875</v>
      </c>
      <c r="O1674" s="4">
        <v>48.025000000000013</v>
      </c>
      <c r="P1674" s="4">
        <v>34.249999999999993</v>
      </c>
      <c r="Q1674" s="4">
        <v>81</v>
      </c>
      <c r="R1674" s="4">
        <v>231</v>
      </c>
      <c r="S1674" s="4" t="str" cm="1">
        <f t="array" ref="S1674">_xlfn.IFS($R1674&lt;=50,"Good",$R1674&lt;=100,"Moderate",$R1674&lt;=200,"Poor",$R1674&lt;=300,"Very Poor",$R1674&lt;=500,"Hazardous")</f>
        <v>Very Poor</v>
      </c>
      <c r="T1674" t="s">
        <v>25</v>
      </c>
      <c r="X1674" s="2"/>
      <c r="Y1674" s="2"/>
    </row>
    <row r="1675" spans="1:25" x14ac:dyDescent="0.3">
      <c r="A1675" s="2">
        <v>45626</v>
      </c>
      <c r="B1675" t="s">
        <v>23</v>
      </c>
      <c r="C1675" s="4">
        <v>2</v>
      </c>
      <c r="D1675" s="4">
        <v>375.6</v>
      </c>
      <c r="E1675" s="4">
        <v>42</v>
      </c>
      <c r="F1675" s="4">
        <v>25.49</v>
      </c>
      <c r="G1675" s="4">
        <v>36.9</v>
      </c>
      <c r="H1675" s="4">
        <v>2.46</v>
      </c>
      <c r="I1675" s="4">
        <v>21.6</v>
      </c>
      <c r="J1675" s="4">
        <v>63.7</v>
      </c>
      <c r="K1675" s="4">
        <v>3.28</v>
      </c>
      <c r="L1675" s="4">
        <v>3.333333333333333</v>
      </c>
      <c r="M1675" s="4">
        <v>375.6</v>
      </c>
      <c r="N1675" s="4">
        <v>52.5</v>
      </c>
      <c r="O1675" s="4">
        <v>63.724999999999987</v>
      </c>
      <c r="P1675" s="4">
        <v>92.25</v>
      </c>
      <c r="Q1675" s="4">
        <v>123</v>
      </c>
      <c r="R1675" s="4">
        <v>376</v>
      </c>
      <c r="S1675" s="4" t="str" cm="1">
        <f t="array" ref="S1675">_xlfn.IFS($R1675&lt;=50,"Good",$R1675&lt;=100,"Moderate",$R1675&lt;=200,"Poor",$R1675&lt;=300,"Very Poor",$R1675&lt;=500,"Hazardous")</f>
        <v>Hazardous</v>
      </c>
      <c r="T1675" t="s">
        <v>28</v>
      </c>
      <c r="X1675" s="2"/>
      <c r="Y1675" s="2"/>
    </row>
    <row r="1676" spans="1:25" x14ac:dyDescent="0.3">
      <c r="A1676" s="2">
        <v>45626</v>
      </c>
      <c r="B1676" t="s">
        <v>24</v>
      </c>
      <c r="C1676" s="4">
        <v>140.69999999999999</v>
      </c>
      <c r="D1676" s="4">
        <v>293</v>
      </c>
      <c r="E1676" s="4">
        <v>66.2</v>
      </c>
      <c r="F1676" s="4">
        <v>9.85</v>
      </c>
      <c r="G1676" s="4">
        <v>1</v>
      </c>
      <c r="H1676" s="4">
        <v>2.66</v>
      </c>
      <c r="I1676" s="4">
        <v>32.6</v>
      </c>
      <c r="J1676" s="4">
        <v>89.1</v>
      </c>
      <c r="K1676" s="4">
        <v>3.37</v>
      </c>
      <c r="L1676" s="4">
        <v>234.5</v>
      </c>
      <c r="M1676" s="4">
        <v>293</v>
      </c>
      <c r="N1676" s="4">
        <v>82.75</v>
      </c>
      <c r="O1676" s="4">
        <v>24.625</v>
      </c>
      <c r="P1676" s="4">
        <v>2.5</v>
      </c>
      <c r="Q1676" s="4">
        <v>133</v>
      </c>
      <c r="R1676" s="4">
        <v>293</v>
      </c>
      <c r="S1676" s="4" t="str" cm="1">
        <f t="array" ref="S1676">_xlfn.IFS($R1676&lt;=50,"Good",$R1676&lt;=100,"Moderate",$R1676&lt;=200,"Poor",$R1676&lt;=300,"Very Poor",$R1676&lt;=500,"Hazardous")</f>
        <v>Very Poor</v>
      </c>
      <c r="T1676" t="s">
        <v>28</v>
      </c>
      <c r="X1676" s="2"/>
      <c r="Y1676" s="2"/>
    </row>
    <row r="1677" spans="1:25" x14ac:dyDescent="0.3">
      <c r="A1677" s="2">
        <v>45627</v>
      </c>
      <c r="B1677" t="s">
        <v>20</v>
      </c>
      <c r="C1677" s="4">
        <v>68.099999999999994</v>
      </c>
      <c r="D1677" s="4">
        <v>33.4</v>
      </c>
      <c r="E1677" s="4">
        <v>121.1</v>
      </c>
      <c r="F1677" s="4">
        <v>0.5</v>
      </c>
      <c r="G1677" s="4">
        <v>32.6</v>
      </c>
      <c r="H1677" s="4">
        <v>1.96</v>
      </c>
      <c r="I1677" s="4">
        <v>19.5</v>
      </c>
      <c r="J1677" s="4">
        <v>60.6</v>
      </c>
      <c r="K1677" s="4">
        <v>2.67</v>
      </c>
      <c r="L1677" s="4">
        <v>113.5</v>
      </c>
      <c r="M1677" s="4">
        <v>33.4</v>
      </c>
      <c r="N1677" s="4">
        <v>151.375</v>
      </c>
      <c r="O1677" s="4">
        <v>1.25</v>
      </c>
      <c r="P1677" s="4">
        <v>81.5</v>
      </c>
      <c r="Q1677" s="4">
        <v>98</v>
      </c>
      <c r="R1677" s="4">
        <v>151</v>
      </c>
      <c r="S1677" s="4" t="str" cm="1">
        <f t="array" ref="S1677">_xlfn.IFS($R1677&lt;=50,"Good",$R1677&lt;=100,"Moderate",$R1677&lt;=200,"Poor",$R1677&lt;=300,"Very Poor",$R1677&lt;=500,"Hazardous")</f>
        <v>Poor</v>
      </c>
      <c r="T1677" t="s">
        <v>26</v>
      </c>
      <c r="X1677" s="2"/>
      <c r="Y1677" s="2"/>
    </row>
    <row r="1678" spans="1:25" x14ac:dyDescent="0.3">
      <c r="A1678" s="2">
        <v>45627</v>
      </c>
      <c r="B1678" t="s">
        <v>21</v>
      </c>
      <c r="C1678" s="4">
        <v>2</v>
      </c>
      <c r="D1678" s="4">
        <v>241.8</v>
      </c>
      <c r="E1678" s="4">
        <v>2</v>
      </c>
      <c r="F1678" s="4">
        <v>23.32</v>
      </c>
      <c r="G1678" s="4">
        <v>29.4</v>
      </c>
      <c r="H1678" s="4">
        <v>0.05</v>
      </c>
      <c r="I1678" s="4">
        <v>14.3</v>
      </c>
      <c r="J1678" s="4">
        <v>49.7</v>
      </c>
      <c r="K1678" s="4">
        <v>3.93</v>
      </c>
      <c r="L1678" s="4">
        <v>3.333333333333333</v>
      </c>
      <c r="M1678" s="4">
        <v>241.8</v>
      </c>
      <c r="N1678" s="4">
        <v>2.5</v>
      </c>
      <c r="O1678" s="4">
        <v>58.3</v>
      </c>
      <c r="P1678" s="4">
        <v>73.5</v>
      </c>
      <c r="Q1678" s="4">
        <v>2.5</v>
      </c>
      <c r="R1678" s="4">
        <v>242</v>
      </c>
      <c r="S1678" s="4" t="str" cm="1">
        <f t="array" ref="S1678">_xlfn.IFS($R1678&lt;=50,"Good",$R1678&lt;=100,"Moderate",$R1678&lt;=200,"Poor",$R1678&lt;=300,"Very Poor",$R1678&lt;=500,"Hazardous")</f>
        <v>Very Poor</v>
      </c>
      <c r="T1678" t="s">
        <v>28</v>
      </c>
      <c r="X1678" s="2"/>
      <c r="Y1678" s="2"/>
    </row>
    <row r="1679" spans="1:25" x14ac:dyDescent="0.3">
      <c r="A1679" s="2">
        <v>45627</v>
      </c>
      <c r="B1679" t="s">
        <v>22</v>
      </c>
      <c r="C1679" s="4">
        <v>100.2</v>
      </c>
      <c r="D1679" s="4">
        <v>213.8</v>
      </c>
      <c r="E1679" s="4">
        <v>104.3</v>
      </c>
      <c r="F1679" s="4">
        <v>11.43</v>
      </c>
      <c r="G1679" s="4">
        <v>50.3</v>
      </c>
      <c r="H1679" s="4">
        <v>2.4500000000000002</v>
      </c>
      <c r="I1679" s="4">
        <v>11</v>
      </c>
      <c r="J1679" s="4">
        <v>86.5</v>
      </c>
      <c r="K1679" s="4">
        <v>0.8</v>
      </c>
      <c r="L1679" s="4">
        <v>167</v>
      </c>
      <c r="M1679" s="4">
        <v>213.8</v>
      </c>
      <c r="N1679" s="4">
        <v>130.375</v>
      </c>
      <c r="O1679" s="4">
        <v>28.574999999999999</v>
      </c>
      <c r="P1679" s="4">
        <v>125.75</v>
      </c>
      <c r="Q1679" s="4">
        <v>122.5</v>
      </c>
      <c r="R1679" s="4">
        <v>214</v>
      </c>
      <c r="S1679" s="4" t="str" cm="1">
        <f t="array" ref="S1679">_xlfn.IFS($R1679&lt;=50,"Good",$R1679&lt;=100,"Moderate",$R1679&lt;=200,"Poor",$R1679&lt;=300,"Very Poor",$R1679&lt;=500,"Hazardous")</f>
        <v>Very Poor</v>
      </c>
      <c r="T1679" t="s">
        <v>28</v>
      </c>
      <c r="X1679" s="2"/>
      <c r="Y1679" s="2"/>
    </row>
    <row r="1680" spans="1:25" x14ac:dyDescent="0.3">
      <c r="A1680" s="2">
        <v>45627</v>
      </c>
      <c r="B1680" t="s">
        <v>23</v>
      </c>
      <c r="C1680" s="4">
        <v>140</v>
      </c>
      <c r="D1680" s="4">
        <v>46.4</v>
      </c>
      <c r="E1680" s="4">
        <v>91.2</v>
      </c>
      <c r="F1680" s="4">
        <v>27.7</v>
      </c>
      <c r="G1680" s="4">
        <v>31.2</v>
      </c>
      <c r="H1680" s="4">
        <v>1.67</v>
      </c>
      <c r="I1680" s="4">
        <v>24.3</v>
      </c>
      <c r="J1680" s="4">
        <v>54.1</v>
      </c>
      <c r="K1680" s="4">
        <v>4.68</v>
      </c>
      <c r="L1680" s="4">
        <v>233.33333333333329</v>
      </c>
      <c r="M1680" s="4">
        <v>46.4</v>
      </c>
      <c r="N1680" s="4">
        <v>114</v>
      </c>
      <c r="O1680" s="4">
        <v>69.249999999999986</v>
      </c>
      <c r="P1680" s="4">
        <v>78</v>
      </c>
      <c r="Q1680" s="4">
        <v>83.499999999999986</v>
      </c>
      <c r="R1680" s="4">
        <v>233</v>
      </c>
      <c r="S1680" s="4" t="str" cm="1">
        <f t="array" ref="S1680">_xlfn.IFS($R1680&lt;=50,"Good",$R1680&lt;=100,"Moderate",$R1680&lt;=200,"Poor",$R1680&lt;=300,"Very Poor",$R1680&lt;=500,"Hazardous")</f>
        <v>Very Poor</v>
      </c>
      <c r="T1680" t="s">
        <v>25</v>
      </c>
      <c r="X1680" s="2"/>
      <c r="Y1680" s="2"/>
    </row>
    <row r="1681" spans="1:25" x14ac:dyDescent="0.3">
      <c r="A1681" s="2">
        <v>45627</v>
      </c>
      <c r="B1681" t="s">
        <v>24</v>
      </c>
      <c r="C1681" s="4">
        <v>115.7</v>
      </c>
      <c r="D1681" s="4">
        <v>177.4</v>
      </c>
      <c r="E1681" s="4">
        <v>60.2</v>
      </c>
      <c r="F1681" s="4">
        <v>5.87</v>
      </c>
      <c r="G1681" s="4">
        <v>24.1</v>
      </c>
      <c r="H1681" s="4">
        <v>1.74</v>
      </c>
      <c r="I1681" s="4">
        <v>16.600000000000001</v>
      </c>
      <c r="J1681" s="4">
        <v>48.2</v>
      </c>
      <c r="K1681" s="4">
        <v>5.52</v>
      </c>
      <c r="L1681" s="4">
        <v>192.83333333333329</v>
      </c>
      <c r="M1681" s="4">
        <v>177.4</v>
      </c>
      <c r="N1681" s="4">
        <v>75.25</v>
      </c>
      <c r="O1681" s="4">
        <v>14.675000000000001</v>
      </c>
      <c r="P1681" s="4">
        <v>60.250000000000007</v>
      </c>
      <c r="Q1681" s="4">
        <v>87</v>
      </c>
      <c r="R1681" s="4">
        <v>193</v>
      </c>
      <c r="S1681" s="4" t="str" cm="1">
        <f t="array" ref="S1681">_xlfn.IFS($R1681&lt;=50,"Good",$R1681&lt;=100,"Moderate",$R1681&lt;=200,"Poor",$R1681&lt;=300,"Very Poor",$R1681&lt;=500,"Hazardous")</f>
        <v>Poor</v>
      </c>
      <c r="T1681" t="s">
        <v>25</v>
      </c>
      <c r="X1681" s="2"/>
      <c r="Y1681" s="2"/>
    </row>
    <row r="1682" spans="1:25" x14ac:dyDescent="0.3">
      <c r="A1682" s="2">
        <v>45628</v>
      </c>
      <c r="B1682" t="s">
        <v>20</v>
      </c>
      <c r="C1682" s="4">
        <v>53.5</v>
      </c>
      <c r="D1682" s="4">
        <v>237</v>
      </c>
      <c r="E1682" s="4">
        <v>104.6</v>
      </c>
      <c r="F1682" s="4">
        <v>20.52</v>
      </c>
      <c r="G1682" s="4">
        <v>39.9</v>
      </c>
      <c r="H1682" s="4">
        <v>1.94</v>
      </c>
      <c r="I1682" s="4">
        <v>23.2</v>
      </c>
      <c r="J1682" s="4">
        <v>64.8</v>
      </c>
      <c r="K1682" s="4">
        <v>2.19</v>
      </c>
      <c r="L1682" s="4">
        <v>89.166666666666671</v>
      </c>
      <c r="M1682" s="4">
        <v>237</v>
      </c>
      <c r="N1682" s="4">
        <v>130.75</v>
      </c>
      <c r="O1682" s="4">
        <v>51.3</v>
      </c>
      <c r="P1682" s="4">
        <v>99.749999999999986</v>
      </c>
      <c r="Q1682" s="4">
        <v>97</v>
      </c>
      <c r="R1682" s="4">
        <v>237</v>
      </c>
      <c r="S1682" s="4" t="str" cm="1">
        <f t="array" ref="S1682">_xlfn.IFS($R1682&lt;=50,"Good",$R1682&lt;=100,"Moderate",$R1682&lt;=200,"Poor",$R1682&lt;=300,"Very Poor",$R1682&lt;=500,"Hazardous")</f>
        <v>Very Poor</v>
      </c>
      <c r="T1682" t="s">
        <v>28</v>
      </c>
      <c r="X1682" s="2"/>
      <c r="Y1682" s="2"/>
    </row>
    <row r="1683" spans="1:25" x14ac:dyDescent="0.3">
      <c r="A1683" s="2">
        <v>45628</v>
      </c>
      <c r="B1683" t="s">
        <v>21</v>
      </c>
      <c r="C1683" s="4">
        <v>26.3</v>
      </c>
      <c r="D1683" s="4">
        <v>183.8</v>
      </c>
      <c r="E1683" s="4">
        <v>44.1</v>
      </c>
      <c r="F1683" s="4">
        <v>9.33</v>
      </c>
      <c r="G1683" s="4">
        <v>45.9</v>
      </c>
      <c r="H1683" s="4">
        <v>2.83</v>
      </c>
      <c r="I1683" s="4">
        <v>32.5</v>
      </c>
      <c r="J1683" s="4">
        <v>50.3</v>
      </c>
      <c r="K1683" s="4">
        <v>3.43</v>
      </c>
      <c r="L1683" s="4">
        <v>43.833333333333343</v>
      </c>
      <c r="M1683" s="4">
        <v>183.8</v>
      </c>
      <c r="N1683" s="4">
        <v>55.125</v>
      </c>
      <c r="O1683" s="4">
        <v>23.324999999999999</v>
      </c>
      <c r="P1683" s="4">
        <v>114.75</v>
      </c>
      <c r="Q1683" s="4">
        <v>141.5</v>
      </c>
      <c r="R1683" s="4">
        <v>184</v>
      </c>
      <c r="S1683" s="4" t="str" cm="1">
        <f t="array" ref="S1683">_xlfn.IFS($R1683&lt;=50,"Good",$R1683&lt;=100,"Moderate",$R1683&lt;=200,"Poor",$R1683&lt;=300,"Very Poor",$R1683&lt;=500,"Hazardous")</f>
        <v>Poor</v>
      </c>
      <c r="T1683" t="s">
        <v>28</v>
      </c>
      <c r="X1683" s="2"/>
      <c r="Y1683" s="2"/>
    </row>
    <row r="1684" spans="1:25" x14ac:dyDescent="0.3">
      <c r="A1684" s="2">
        <v>45628</v>
      </c>
      <c r="B1684" t="s">
        <v>22</v>
      </c>
      <c r="C1684" s="4">
        <v>105.2</v>
      </c>
      <c r="D1684" s="4">
        <v>300.60000000000002</v>
      </c>
      <c r="E1684" s="4">
        <v>85.9</v>
      </c>
      <c r="F1684" s="4">
        <v>4.5</v>
      </c>
      <c r="G1684" s="4">
        <v>1</v>
      </c>
      <c r="H1684" s="4">
        <v>2.11</v>
      </c>
      <c r="I1684" s="4">
        <v>16.3</v>
      </c>
      <c r="J1684" s="4">
        <v>42.4</v>
      </c>
      <c r="K1684" s="4">
        <v>0.98</v>
      </c>
      <c r="L1684" s="4">
        <v>175.33333333333329</v>
      </c>
      <c r="M1684" s="4">
        <v>300.60000000000002</v>
      </c>
      <c r="N1684" s="4">
        <v>107.375</v>
      </c>
      <c r="O1684" s="4">
        <v>11.25</v>
      </c>
      <c r="P1684" s="4">
        <v>2.5</v>
      </c>
      <c r="Q1684" s="4">
        <v>105.5</v>
      </c>
      <c r="R1684" s="4">
        <v>301</v>
      </c>
      <c r="S1684" s="4" t="str" cm="1">
        <f t="array" ref="S1684">_xlfn.IFS($R1684&lt;=50,"Good",$R1684&lt;=100,"Moderate",$R1684&lt;=200,"Poor",$R1684&lt;=300,"Very Poor",$R1684&lt;=500,"Hazardous")</f>
        <v>Hazardous</v>
      </c>
      <c r="T1684" t="s">
        <v>28</v>
      </c>
      <c r="X1684" s="2"/>
      <c r="Y1684" s="2"/>
    </row>
    <row r="1685" spans="1:25" x14ac:dyDescent="0.3">
      <c r="A1685" s="2">
        <v>45628</v>
      </c>
      <c r="B1685" t="s">
        <v>23</v>
      </c>
      <c r="C1685" s="4">
        <v>103.7</v>
      </c>
      <c r="D1685" s="4">
        <v>336.7</v>
      </c>
      <c r="E1685" s="4">
        <v>58.9</v>
      </c>
      <c r="F1685" s="4">
        <v>17.52</v>
      </c>
      <c r="G1685" s="4">
        <v>33.700000000000003</v>
      </c>
      <c r="H1685" s="4">
        <v>0.68</v>
      </c>
      <c r="I1685" s="4">
        <v>25.1</v>
      </c>
      <c r="J1685" s="4">
        <v>40.299999999999997</v>
      </c>
      <c r="K1685" s="4">
        <v>2.5299999999999998</v>
      </c>
      <c r="L1685" s="4">
        <v>172.83333333333329</v>
      </c>
      <c r="M1685" s="4">
        <v>336.7</v>
      </c>
      <c r="N1685" s="4">
        <v>73.625</v>
      </c>
      <c r="O1685" s="4">
        <v>43.8</v>
      </c>
      <c r="P1685" s="4">
        <v>84.25</v>
      </c>
      <c r="Q1685" s="4">
        <v>34</v>
      </c>
      <c r="R1685" s="4">
        <v>337</v>
      </c>
      <c r="S1685" s="4" t="str" cm="1">
        <f t="array" ref="S1685">_xlfn.IFS($R1685&lt;=50,"Good",$R1685&lt;=100,"Moderate",$R1685&lt;=200,"Poor",$R1685&lt;=300,"Very Poor",$R1685&lt;=500,"Hazardous")</f>
        <v>Hazardous</v>
      </c>
      <c r="T1685" t="s">
        <v>28</v>
      </c>
      <c r="X1685" s="2"/>
      <c r="Y1685" s="2"/>
    </row>
    <row r="1686" spans="1:25" x14ac:dyDescent="0.3">
      <c r="A1686" s="2">
        <v>45628</v>
      </c>
      <c r="B1686" t="s">
        <v>24</v>
      </c>
      <c r="C1686" s="4">
        <v>87.6</v>
      </c>
      <c r="D1686" s="4">
        <v>305.5</v>
      </c>
      <c r="E1686" s="4">
        <v>42</v>
      </c>
      <c r="F1686" s="4">
        <v>17.52</v>
      </c>
      <c r="G1686" s="4">
        <v>18.8</v>
      </c>
      <c r="H1686" s="4">
        <v>1.57</v>
      </c>
      <c r="I1686" s="4">
        <v>-5.4</v>
      </c>
      <c r="J1686" s="4">
        <v>97.7</v>
      </c>
      <c r="K1686" s="4">
        <v>3.66</v>
      </c>
      <c r="L1686" s="4">
        <v>146</v>
      </c>
      <c r="M1686" s="4">
        <v>305.5</v>
      </c>
      <c r="N1686" s="4">
        <v>52.5</v>
      </c>
      <c r="O1686" s="4">
        <v>43.8</v>
      </c>
      <c r="P1686" s="4">
        <v>47</v>
      </c>
      <c r="Q1686" s="4">
        <v>78.5</v>
      </c>
      <c r="R1686" s="4">
        <v>306</v>
      </c>
      <c r="S1686" s="4" t="str" cm="1">
        <f t="array" ref="S1686">_xlfn.IFS($R1686&lt;=50,"Good",$R1686&lt;=100,"Moderate",$R1686&lt;=200,"Poor",$R1686&lt;=300,"Very Poor",$R1686&lt;=500,"Hazardous")</f>
        <v>Hazardous</v>
      </c>
      <c r="T1686" t="s">
        <v>28</v>
      </c>
      <c r="X1686" s="2"/>
      <c r="Y1686" s="2"/>
    </row>
    <row r="1687" spans="1:25" x14ac:dyDescent="0.3">
      <c r="A1687" s="2">
        <v>45629</v>
      </c>
      <c r="B1687" t="s">
        <v>20</v>
      </c>
      <c r="C1687" s="4">
        <v>68</v>
      </c>
      <c r="D1687" s="4">
        <v>96.6</v>
      </c>
      <c r="E1687" s="4">
        <v>64.599999999999994</v>
      </c>
      <c r="F1687" s="4">
        <v>21.32</v>
      </c>
      <c r="G1687" s="4">
        <v>1</v>
      </c>
      <c r="H1687" s="4">
        <v>2.0499999999999998</v>
      </c>
      <c r="I1687" s="4">
        <v>32.4</v>
      </c>
      <c r="J1687" s="4">
        <v>39.6</v>
      </c>
      <c r="K1687" s="4">
        <v>2.6</v>
      </c>
      <c r="L1687" s="4">
        <v>113.3333333333333</v>
      </c>
      <c r="M1687" s="4">
        <v>96.6</v>
      </c>
      <c r="N1687" s="4">
        <v>80.749999999999986</v>
      </c>
      <c r="O1687" s="4">
        <v>53.3</v>
      </c>
      <c r="P1687" s="4">
        <v>2.5</v>
      </c>
      <c r="Q1687" s="4">
        <v>102.5</v>
      </c>
      <c r="R1687" s="4">
        <v>113</v>
      </c>
      <c r="S1687" s="4" t="str" cm="1">
        <f t="array" ref="S1687">_xlfn.IFS($R1687&lt;=50,"Good",$R1687&lt;=100,"Moderate",$R1687&lt;=200,"Poor",$R1687&lt;=300,"Very Poor",$R1687&lt;=500,"Hazardous")</f>
        <v>Poor</v>
      </c>
      <c r="T1687" t="s">
        <v>25</v>
      </c>
      <c r="X1687" s="2"/>
      <c r="Y1687" s="2"/>
    </row>
    <row r="1688" spans="1:25" x14ac:dyDescent="0.3">
      <c r="A1688" s="2">
        <v>45629</v>
      </c>
      <c r="B1688" t="s">
        <v>21</v>
      </c>
      <c r="C1688" s="4">
        <v>252.2</v>
      </c>
      <c r="D1688" s="4">
        <v>315.89999999999998</v>
      </c>
      <c r="E1688" s="4">
        <v>95</v>
      </c>
      <c r="F1688" s="4">
        <v>21.07</v>
      </c>
      <c r="G1688" s="4">
        <v>33.700000000000003</v>
      </c>
      <c r="H1688" s="4">
        <v>3.96</v>
      </c>
      <c r="I1688" s="4">
        <v>17.2</v>
      </c>
      <c r="J1688" s="4">
        <v>24.7</v>
      </c>
      <c r="K1688" s="4">
        <v>2.0299999999999998</v>
      </c>
      <c r="L1688" s="4">
        <v>420.33333333333331</v>
      </c>
      <c r="M1688" s="4">
        <v>315.89999999999998</v>
      </c>
      <c r="N1688" s="4">
        <v>118.75</v>
      </c>
      <c r="O1688" s="4">
        <v>52.674999999999997</v>
      </c>
      <c r="P1688" s="4">
        <v>84.25</v>
      </c>
      <c r="Q1688" s="4">
        <v>198</v>
      </c>
      <c r="R1688" s="4">
        <v>420</v>
      </c>
      <c r="S1688" s="4" t="str" cm="1">
        <f t="array" ref="S1688">_xlfn.IFS($R1688&lt;=50,"Good",$R1688&lt;=100,"Moderate",$R1688&lt;=200,"Poor",$R1688&lt;=300,"Very Poor",$R1688&lt;=500,"Hazardous")</f>
        <v>Hazardous</v>
      </c>
      <c r="T1688" t="s">
        <v>25</v>
      </c>
      <c r="X1688" s="2"/>
      <c r="Y1688" s="2"/>
    </row>
    <row r="1689" spans="1:25" x14ac:dyDescent="0.3">
      <c r="A1689" s="2">
        <v>45629</v>
      </c>
      <c r="B1689" t="s">
        <v>22</v>
      </c>
      <c r="C1689" s="4">
        <v>47.1</v>
      </c>
      <c r="D1689" s="4">
        <v>156.80000000000001</v>
      </c>
      <c r="E1689" s="4">
        <v>60.5</v>
      </c>
      <c r="F1689" s="4">
        <v>21.26</v>
      </c>
      <c r="G1689" s="4">
        <v>49.1</v>
      </c>
      <c r="H1689" s="4">
        <v>2.06</v>
      </c>
      <c r="I1689" s="4">
        <v>20</v>
      </c>
      <c r="J1689" s="4">
        <v>40.9</v>
      </c>
      <c r="K1689" s="4">
        <v>0.2</v>
      </c>
      <c r="L1689" s="4">
        <v>78.5</v>
      </c>
      <c r="M1689" s="4">
        <v>156.80000000000001</v>
      </c>
      <c r="N1689" s="4">
        <v>75.625</v>
      </c>
      <c r="O1689" s="4">
        <v>53.150000000000013</v>
      </c>
      <c r="P1689" s="4">
        <v>122.75</v>
      </c>
      <c r="Q1689" s="4">
        <v>103</v>
      </c>
      <c r="R1689" s="4">
        <v>157</v>
      </c>
      <c r="S1689" s="4" t="str" cm="1">
        <f t="array" ref="S1689">_xlfn.IFS($R1689&lt;=50,"Good",$R1689&lt;=100,"Moderate",$R1689&lt;=200,"Poor",$R1689&lt;=300,"Very Poor",$R1689&lt;=500,"Hazardous")</f>
        <v>Poor</v>
      </c>
      <c r="T1689" t="s">
        <v>28</v>
      </c>
      <c r="X1689" s="2"/>
      <c r="Y1689" s="2"/>
    </row>
    <row r="1690" spans="1:25" x14ac:dyDescent="0.3">
      <c r="A1690" s="2">
        <v>45629</v>
      </c>
      <c r="B1690" t="s">
        <v>23</v>
      </c>
      <c r="C1690" s="4">
        <v>101.4</v>
      </c>
      <c r="D1690" s="4">
        <v>268.3</v>
      </c>
      <c r="E1690" s="4">
        <v>68.5</v>
      </c>
      <c r="F1690" s="4">
        <v>8.52</v>
      </c>
      <c r="G1690" s="4">
        <v>46.5</v>
      </c>
      <c r="H1690" s="4">
        <v>1.84</v>
      </c>
      <c r="I1690" s="4">
        <v>31.8</v>
      </c>
      <c r="J1690" s="4">
        <v>82.2</v>
      </c>
      <c r="K1690" s="4">
        <v>3.65</v>
      </c>
      <c r="L1690" s="4">
        <v>169</v>
      </c>
      <c r="M1690" s="4">
        <v>268.3</v>
      </c>
      <c r="N1690" s="4">
        <v>85.625</v>
      </c>
      <c r="O1690" s="4">
        <v>21.3</v>
      </c>
      <c r="P1690" s="4">
        <v>116.25</v>
      </c>
      <c r="Q1690" s="4">
        <v>92</v>
      </c>
      <c r="R1690" s="4">
        <v>268</v>
      </c>
      <c r="S1690" s="4" t="str" cm="1">
        <f t="array" ref="S1690">_xlfn.IFS($R1690&lt;=50,"Good",$R1690&lt;=100,"Moderate",$R1690&lt;=200,"Poor",$R1690&lt;=300,"Very Poor",$R1690&lt;=500,"Hazardous")</f>
        <v>Very Poor</v>
      </c>
      <c r="T1690" t="s">
        <v>28</v>
      </c>
      <c r="X1690" s="2"/>
      <c r="Y1690" s="2"/>
    </row>
    <row r="1691" spans="1:25" x14ac:dyDescent="0.3">
      <c r="A1691" s="2">
        <v>45629</v>
      </c>
      <c r="B1691" t="s">
        <v>24</v>
      </c>
      <c r="C1691" s="4">
        <v>145.6</v>
      </c>
      <c r="D1691" s="4">
        <v>75</v>
      </c>
      <c r="E1691" s="4">
        <v>102.5</v>
      </c>
      <c r="F1691" s="4">
        <v>17.39</v>
      </c>
      <c r="G1691" s="4">
        <v>54.6</v>
      </c>
      <c r="H1691" s="4">
        <v>2.63</v>
      </c>
      <c r="I1691" s="4">
        <v>23.2</v>
      </c>
      <c r="J1691" s="4">
        <v>100</v>
      </c>
      <c r="K1691" s="4">
        <v>2.91</v>
      </c>
      <c r="L1691" s="4">
        <v>242.66666666666671</v>
      </c>
      <c r="M1691" s="4">
        <v>75</v>
      </c>
      <c r="N1691" s="4">
        <v>128.125</v>
      </c>
      <c r="O1691" s="4">
        <v>43.475000000000001</v>
      </c>
      <c r="P1691" s="4">
        <v>136.5</v>
      </c>
      <c r="Q1691" s="4">
        <v>131.5</v>
      </c>
      <c r="R1691" s="4">
        <v>243</v>
      </c>
      <c r="S1691" s="4" t="str" cm="1">
        <f t="array" ref="S1691">_xlfn.IFS($R1691&lt;=50,"Good",$R1691&lt;=100,"Moderate",$R1691&lt;=200,"Poor",$R1691&lt;=300,"Very Poor",$R1691&lt;=500,"Hazardous")</f>
        <v>Very Poor</v>
      </c>
      <c r="T1691" t="s">
        <v>25</v>
      </c>
      <c r="X1691" s="2"/>
      <c r="Y1691" s="2"/>
    </row>
    <row r="1692" spans="1:25" x14ac:dyDescent="0.3">
      <c r="A1692" s="2">
        <v>45630</v>
      </c>
      <c r="B1692" t="s">
        <v>20</v>
      </c>
      <c r="C1692" s="4">
        <v>162.1</v>
      </c>
      <c r="D1692" s="4">
        <v>168.8</v>
      </c>
      <c r="E1692" s="4">
        <v>111.9</v>
      </c>
      <c r="F1692" s="4">
        <v>23.36</v>
      </c>
      <c r="G1692" s="4">
        <v>50.8</v>
      </c>
      <c r="H1692" s="4">
        <v>4.05</v>
      </c>
      <c r="I1692" s="4">
        <v>13.8</v>
      </c>
      <c r="J1692" s="4">
        <v>51.2</v>
      </c>
      <c r="K1692" s="4">
        <v>2.75</v>
      </c>
      <c r="L1692" s="4">
        <v>270.16666666666669</v>
      </c>
      <c r="M1692" s="4">
        <v>168.8</v>
      </c>
      <c r="N1692" s="4">
        <v>139.875</v>
      </c>
      <c r="O1692" s="4">
        <v>58.4</v>
      </c>
      <c r="P1692" s="4">
        <v>127</v>
      </c>
      <c r="Q1692" s="4">
        <v>202.5</v>
      </c>
      <c r="R1692" s="4">
        <v>270</v>
      </c>
      <c r="S1692" s="4" t="str" cm="1">
        <f t="array" ref="S1692">_xlfn.IFS($R1692&lt;=50,"Good",$R1692&lt;=100,"Moderate",$R1692&lt;=200,"Poor",$R1692&lt;=300,"Very Poor",$R1692&lt;=500,"Hazardous")</f>
        <v>Very Poor</v>
      </c>
      <c r="T1692" t="s">
        <v>25</v>
      </c>
      <c r="X1692" s="2"/>
      <c r="Y1692" s="2"/>
    </row>
    <row r="1693" spans="1:25" x14ac:dyDescent="0.3">
      <c r="A1693" s="2">
        <v>45630</v>
      </c>
      <c r="B1693" t="s">
        <v>21</v>
      </c>
      <c r="C1693" s="4">
        <v>172.8</v>
      </c>
      <c r="D1693" s="4">
        <v>261.5</v>
      </c>
      <c r="E1693" s="4">
        <v>141.4</v>
      </c>
      <c r="F1693" s="4">
        <v>9.3800000000000008</v>
      </c>
      <c r="G1693" s="4">
        <v>12.9</v>
      </c>
      <c r="H1693" s="4">
        <v>2.77</v>
      </c>
      <c r="I1693" s="4">
        <v>19.5</v>
      </c>
      <c r="J1693" s="4">
        <v>69.8</v>
      </c>
      <c r="K1693" s="4">
        <v>2.4700000000000002</v>
      </c>
      <c r="L1693" s="4">
        <v>288.00000000000011</v>
      </c>
      <c r="M1693" s="4">
        <v>261.5</v>
      </c>
      <c r="N1693" s="4">
        <v>176.75</v>
      </c>
      <c r="O1693" s="4">
        <v>23.45</v>
      </c>
      <c r="P1693" s="4">
        <v>32.25</v>
      </c>
      <c r="Q1693" s="4">
        <v>138.5</v>
      </c>
      <c r="R1693" s="4">
        <v>288</v>
      </c>
      <c r="S1693" s="4" t="str" cm="1">
        <f t="array" ref="S1693">_xlfn.IFS($R1693&lt;=50,"Good",$R1693&lt;=100,"Moderate",$R1693&lt;=200,"Poor",$R1693&lt;=300,"Very Poor",$R1693&lt;=500,"Hazardous")</f>
        <v>Very Poor</v>
      </c>
      <c r="T1693" t="s">
        <v>25</v>
      </c>
      <c r="X1693" s="2"/>
      <c r="Y1693" s="2"/>
    </row>
    <row r="1694" spans="1:25" x14ac:dyDescent="0.3">
      <c r="A1694" s="2">
        <v>45630</v>
      </c>
      <c r="B1694" t="s">
        <v>22</v>
      </c>
      <c r="C1694" s="4">
        <v>75.7</v>
      </c>
      <c r="D1694" s="4">
        <v>175.6</v>
      </c>
      <c r="E1694" s="4">
        <v>69.3</v>
      </c>
      <c r="F1694" s="4">
        <v>9.84</v>
      </c>
      <c r="G1694" s="4">
        <v>29.9</v>
      </c>
      <c r="H1694" s="4">
        <v>1.46</v>
      </c>
      <c r="I1694" s="4">
        <v>26</v>
      </c>
      <c r="J1694" s="4">
        <v>63.5</v>
      </c>
      <c r="K1694" s="4">
        <v>5.21</v>
      </c>
      <c r="L1694" s="4">
        <v>126.1666666666667</v>
      </c>
      <c r="M1694" s="4">
        <v>175.6</v>
      </c>
      <c r="N1694" s="4">
        <v>86.625</v>
      </c>
      <c r="O1694" s="4">
        <v>24.6</v>
      </c>
      <c r="P1694" s="4">
        <v>74.75</v>
      </c>
      <c r="Q1694" s="4">
        <v>73</v>
      </c>
      <c r="R1694" s="4">
        <v>176</v>
      </c>
      <c r="S1694" s="4" t="str" cm="1">
        <f t="array" ref="S1694">_xlfn.IFS($R1694&lt;=50,"Good",$R1694&lt;=100,"Moderate",$R1694&lt;=200,"Poor",$R1694&lt;=300,"Very Poor",$R1694&lt;=500,"Hazardous")</f>
        <v>Poor</v>
      </c>
      <c r="T1694" t="s">
        <v>28</v>
      </c>
      <c r="X1694" s="2"/>
      <c r="Y1694" s="2"/>
    </row>
    <row r="1695" spans="1:25" x14ac:dyDescent="0.3">
      <c r="A1695" s="2">
        <v>45630</v>
      </c>
      <c r="B1695" t="s">
        <v>23</v>
      </c>
      <c r="C1695" s="4">
        <v>103.7</v>
      </c>
      <c r="D1695" s="4">
        <v>139.1</v>
      </c>
      <c r="E1695" s="4">
        <v>157.5</v>
      </c>
      <c r="F1695" s="4">
        <v>16.11</v>
      </c>
      <c r="G1695" s="4">
        <v>58.3</v>
      </c>
      <c r="H1695" s="4">
        <v>2.4900000000000002</v>
      </c>
      <c r="I1695" s="4">
        <v>24.4</v>
      </c>
      <c r="J1695" s="4">
        <v>69.599999999999994</v>
      </c>
      <c r="K1695" s="4">
        <v>1.18</v>
      </c>
      <c r="L1695" s="4">
        <v>172.83333333333329</v>
      </c>
      <c r="M1695" s="4">
        <v>139.1</v>
      </c>
      <c r="N1695" s="4">
        <v>196.875</v>
      </c>
      <c r="O1695" s="4">
        <v>40.274999999999999</v>
      </c>
      <c r="P1695" s="4">
        <v>145.75</v>
      </c>
      <c r="Q1695" s="4">
        <v>124.5</v>
      </c>
      <c r="R1695" s="4">
        <v>197</v>
      </c>
      <c r="S1695" s="4" t="str" cm="1">
        <f t="array" ref="S1695">_xlfn.IFS($R1695&lt;=50,"Good",$R1695&lt;=100,"Moderate",$R1695&lt;=200,"Poor",$R1695&lt;=300,"Very Poor",$R1695&lt;=500,"Hazardous")</f>
        <v>Poor</v>
      </c>
      <c r="T1695" t="s">
        <v>26</v>
      </c>
      <c r="X1695" s="2"/>
      <c r="Y1695" s="2"/>
    </row>
    <row r="1696" spans="1:25" x14ac:dyDescent="0.3">
      <c r="A1696" s="2">
        <v>45630</v>
      </c>
      <c r="B1696" t="s">
        <v>24</v>
      </c>
      <c r="C1696" s="4">
        <v>125</v>
      </c>
      <c r="D1696" s="4">
        <v>71.3</v>
      </c>
      <c r="E1696" s="4">
        <v>73.099999999999994</v>
      </c>
      <c r="F1696" s="4">
        <v>7.69</v>
      </c>
      <c r="G1696" s="4">
        <v>48.4</v>
      </c>
      <c r="H1696" s="4">
        <v>2.46</v>
      </c>
      <c r="I1696" s="4">
        <v>23.4</v>
      </c>
      <c r="J1696" s="4">
        <v>65.2</v>
      </c>
      <c r="K1696" s="4">
        <v>2.27</v>
      </c>
      <c r="L1696" s="4">
        <v>208.33333333333329</v>
      </c>
      <c r="M1696" s="4">
        <v>71.3</v>
      </c>
      <c r="N1696" s="4">
        <v>91.375</v>
      </c>
      <c r="O1696" s="4">
        <v>19.225000000000001</v>
      </c>
      <c r="P1696" s="4">
        <v>121</v>
      </c>
      <c r="Q1696" s="4">
        <v>123</v>
      </c>
      <c r="R1696" s="4">
        <v>208</v>
      </c>
      <c r="S1696" s="4" t="str" cm="1">
        <f t="array" ref="S1696">_xlfn.IFS($R1696&lt;=50,"Good",$R1696&lt;=100,"Moderate",$R1696&lt;=200,"Poor",$R1696&lt;=300,"Very Poor",$R1696&lt;=500,"Hazardous")</f>
        <v>Very Poor</v>
      </c>
      <c r="T1696" t="s">
        <v>25</v>
      </c>
      <c r="X1696" s="2"/>
      <c r="Y1696" s="2"/>
    </row>
    <row r="1697" spans="1:25" x14ac:dyDescent="0.3">
      <c r="A1697" s="2">
        <v>45631</v>
      </c>
      <c r="B1697" t="s">
        <v>20</v>
      </c>
      <c r="C1697" s="4">
        <v>96</v>
      </c>
      <c r="D1697" s="4">
        <v>322.39999999999998</v>
      </c>
      <c r="E1697" s="4">
        <v>122.1</v>
      </c>
      <c r="F1697" s="4">
        <v>4.17</v>
      </c>
      <c r="G1697" s="4">
        <v>1.8</v>
      </c>
      <c r="H1697" s="4">
        <v>1.41</v>
      </c>
      <c r="I1697" s="4">
        <v>27.3</v>
      </c>
      <c r="J1697" s="4">
        <v>81.900000000000006</v>
      </c>
      <c r="K1697" s="4">
        <v>1.39</v>
      </c>
      <c r="L1697" s="4">
        <v>160</v>
      </c>
      <c r="M1697" s="4">
        <v>322.39999999999998</v>
      </c>
      <c r="N1697" s="4">
        <v>152.625</v>
      </c>
      <c r="O1697" s="4">
        <v>10.425000000000001</v>
      </c>
      <c r="P1697" s="4">
        <v>4.5000000000000009</v>
      </c>
      <c r="Q1697" s="4">
        <v>70.5</v>
      </c>
      <c r="R1697" s="4">
        <v>322</v>
      </c>
      <c r="S1697" s="4" t="str" cm="1">
        <f t="array" ref="S1697">_xlfn.IFS($R1697&lt;=50,"Good",$R1697&lt;=100,"Moderate",$R1697&lt;=200,"Poor",$R1697&lt;=300,"Very Poor",$R1697&lt;=500,"Hazardous")</f>
        <v>Hazardous</v>
      </c>
      <c r="T1697" t="s">
        <v>28</v>
      </c>
      <c r="X1697" s="2"/>
      <c r="Y1697" s="2"/>
    </row>
    <row r="1698" spans="1:25" x14ac:dyDescent="0.3">
      <c r="A1698" s="2">
        <v>45631</v>
      </c>
      <c r="B1698" t="s">
        <v>21</v>
      </c>
      <c r="C1698" s="4">
        <v>138.4</v>
      </c>
      <c r="D1698" s="4">
        <v>460.1</v>
      </c>
      <c r="E1698" s="4">
        <v>106.6</v>
      </c>
      <c r="F1698" s="4">
        <v>30.22</v>
      </c>
      <c r="G1698" s="4">
        <v>73.099999999999994</v>
      </c>
      <c r="H1698" s="4">
        <v>1.31</v>
      </c>
      <c r="I1698" s="4">
        <v>18.7</v>
      </c>
      <c r="J1698" s="4">
        <v>60.6</v>
      </c>
      <c r="K1698" s="4">
        <v>2.62</v>
      </c>
      <c r="L1698" s="4">
        <v>230.66666666666671</v>
      </c>
      <c r="M1698" s="4">
        <v>460.1</v>
      </c>
      <c r="N1698" s="4">
        <v>133.25</v>
      </c>
      <c r="O1698" s="4">
        <v>75.55</v>
      </c>
      <c r="P1698" s="4">
        <v>182.75</v>
      </c>
      <c r="Q1698" s="4">
        <v>65.5</v>
      </c>
      <c r="R1698" s="4">
        <v>460</v>
      </c>
      <c r="S1698" s="4" t="str" cm="1">
        <f t="array" ref="S1698">_xlfn.IFS($R1698&lt;=50,"Good",$R1698&lt;=100,"Moderate",$R1698&lt;=200,"Poor",$R1698&lt;=300,"Very Poor",$R1698&lt;=500,"Hazardous")</f>
        <v>Hazardous</v>
      </c>
      <c r="T1698" t="s">
        <v>28</v>
      </c>
      <c r="X1698" s="2"/>
      <c r="Y1698" s="2"/>
    </row>
    <row r="1699" spans="1:25" x14ac:dyDescent="0.3">
      <c r="A1699" s="2">
        <v>45631</v>
      </c>
      <c r="B1699" t="s">
        <v>22</v>
      </c>
      <c r="C1699" s="4">
        <v>133</v>
      </c>
      <c r="D1699" s="4">
        <v>219.7</v>
      </c>
      <c r="E1699" s="4">
        <v>2</v>
      </c>
      <c r="F1699" s="4">
        <v>2.1800000000000002</v>
      </c>
      <c r="G1699" s="4">
        <v>1</v>
      </c>
      <c r="H1699" s="4">
        <v>1.98</v>
      </c>
      <c r="I1699" s="4">
        <v>21.7</v>
      </c>
      <c r="J1699" s="4">
        <v>65.099999999999994</v>
      </c>
      <c r="K1699" s="4">
        <v>1.35</v>
      </c>
      <c r="L1699" s="4">
        <v>221.66666666666671</v>
      </c>
      <c r="M1699" s="4">
        <v>219.7</v>
      </c>
      <c r="N1699" s="4">
        <v>2.5</v>
      </c>
      <c r="O1699" s="4">
        <v>5.45</v>
      </c>
      <c r="P1699" s="4">
        <v>2.5</v>
      </c>
      <c r="Q1699" s="4">
        <v>99</v>
      </c>
      <c r="R1699" s="4">
        <v>222</v>
      </c>
      <c r="S1699" s="4" t="str" cm="1">
        <f t="array" ref="S1699">_xlfn.IFS($R1699&lt;=50,"Good",$R1699&lt;=100,"Moderate",$R1699&lt;=200,"Poor",$R1699&lt;=300,"Very Poor",$R1699&lt;=500,"Hazardous")</f>
        <v>Very Poor</v>
      </c>
      <c r="T1699" t="s">
        <v>25</v>
      </c>
      <c r="X1699" s="2"/>
      <c r="Y1699" s="2"/>
    </row>
    <row r="1700" spans="1:25" x14ac:dyDescent="0.3">
      <c r="A1700" s="2">
        <v>45631</v>
      </c>
      <c r="B1700" t="s">
        <v>23</v>
      </c>
      <c r="C1700" s="4">
        <v>128.4</v>
      </c>
      <c r="D1700" s="4">
        <v>260.8</v>
      </c>
      <c r="E1700" s="4">
        <v>31.8</v>
      </c>
      <c r="F1700" s="4">
        <v>1.07</v>
      </c>
      <c r="G1700" s="4">
        <v>36</v>
      </c>
      <c r="H1700" s="4">
        <v>3.64</v>
      </c>
      <c r="I1700" s="4">
        <v>31.9</v>
      </c>
      <c r="J1700" s="4">
        <v>70.099999999999994</v>
      </c>
      <c r="K1700" s="4">
        <v>1.62</v>
      </c>
      <c r="L1700" s="4">
        <v>214</v>
      </c>
      <c r="M1700" s="4">
        <v>260.8</v>
      </c>
      <c r="N1700" s="4">
        <v>39.75</v>
      </c>
      <c r="O1700" s="4">
        <v>2.6749999999999998</v>
      </c>
      <c r="P1700" s="4">
        <v>90</v>
      </c>
      <c r="Q1700" s="4">
        <v>182</v>
      </c>
      <c r="R1700" s="4">
        <v>261</v>
      </c>
      <c r="S1700" s="4" t="str" cm="1">
        <f t="array" ref="S1700">_xlfn.IFS($R1700&lt;=50,"Good",$R1700&lt;=100,"Moderate",$R1700&lt;=200,"Poor",$R1700&lt;=300,"Very Poor",$R1700&lt;=500,"Hazardous")</f>
        <v>Very Poor</v>
      </c>
      <c r="T1700" t="s">
        <v>28</v>
      </c>
      <c r="X1700" s="2"/>
      <c r="Y1700" s="2"/>
    </row>
    <row r="1701" spans="1:25" x14ac:dyDescent="0.3">
      <c r="A1701" s="2">
        <v>45631</v>
      </c>
      <c r="B1701" t="s">
        <v>24</v>
      </c>
      <c r="C1701" s="4">
        <v>152.4</v>
      </c>
      <c r="D1701" s="4">
        <v>163.4</v>
      </c>
      <c r="E1701" s="4">
        <v>52.2</v>
      </c>
      <c r="F1701" s="4">
        <v>0.5</v>
      </c>
      <c r="G1701" s="4">
        <v>42.1</v>
      </c>
      <c r="H1701" s="4">
        <v>1.45</v>
      </c>
      <c r="I1701" s="4">
        <v>20.7</v>
      </c>
      <c r="J1701" s="4">
        <v>18.600000000000001</v>
      </c>
      <c r="K1701" s="4">
        <v>3.2</v>
      </c>
      <c r="L1701" s="4">
        <v>254</v>
      </c>
      <c r="M1701" s="4">
        <v>163.4</v>
      </c>
      <c r="N1701" s="4">
        <v>65.25</v>
      </c>
      <c r="O1701" s="4">
        <v>1.25</v>
      </c>
      <c r="P1701" s="4">
        <v>105.25</v>
      </c>
      <c r="Q1701" s="4">
        <v>72.5</v>
      </c>
      <c r="R1701" s="4">
        <v>254</v>
      </c>
      <c r="S1701" s="4" t="str" cm="1">
        <f t="array" ref="S1701">_xlfn.IFS($R1701&lt;=50,"Good",$R1701&lt;=100,"Moderate",$R1701&lt;=200,"Poor",$R1701&lt;=300,"Very Poor",$R1701&lt;=500,"Hazardous")</f>
        <v>Very Poor</v>
      </c>
      <c r="T1701" t="s">
        <v>25</v>
      </c>
      <c r="X1701" s="2"/>
      <c r="Y1701" s="2"/>
    </row>
    <row r="1702" spans="1:25" x14ac:dyDescent="0.3">
      <c r="A1702" s="2">
        <v>45632</v>
      </c>
      <c r="B1702" t="s">
        <v>20</v>
      </c>
      <c r="C1702" s="4">
        <v>2</v>
      </c>
      <c r="D1702" s="4">
        <v>340.9</v>
      </c>
      <c r="E1702" s="4">
        <v>102</v>
      </c>
      <c r="F1702" s="4">
        <v>12.16</v>
      </c>
      <c r="G1702" s="4">
        <v>56</v>
      </c>
      <c r="H1702" s="4">
        <v>1.1299999999999999</v>
      </c>
      <c r="I1702" s="4">
        <v>20.5</v>
      </c>
      <c r="J1702" s="4">
        <v>74.3</v>
      </c>
      <c r="K1702" s="4">
        <v>0.2</v>
      </c>
      <c r="L1702" s="4">
        <v>3.333333333333333</v>
      </c>
      <c r="M1702" s="4">
        <v>340.9</v>
      </c>
      <c r="N1702" s="4">
        <v>127.5</v>
      </c>
      <c r="O1702" s="4">
        <v>30.4</v>
      </c>
      <c r="P1702" s="4">
        <v>140</v>
      </c>
      <c r="Q1702" s="4">
        <v>56.499999999999993</v>
      </c>
      <c r="R1702" s="4">
        <v>341</v>
      </c>
      <c r="S1702" s="4" t="str" cm="1">
        <f t="array" ref="S1702">_xlfn.IFS($R1702&lt;=50,"Good",$R1702&lt;=100,"Moderate",$R1702&lt;=200,"Poor",$R1702&lt;=300,"Very Poor",$R1702&lt;=500,"Hazardous")</f>
        <v>Hazardous</v>
      </c>
      <c r="T1702" t="s">
        <v>28</v>
      </c>
      <c r="X1702" s="2"/>
      <c r="Y1702" s="2"/>
    </row>
    <row r="1703" spans="1:25" x14ac:dyDescent="0.3">
      <c r="A1703" s="2">
        <v>45632</v>
      </c>
      <c r="B1703" t="s">
        <v>21</v>
      </c>
      <c r="C1703" s="4">
        <v>93.2</v>
      </c>
      <c r="D1703" s="4">
        <v>237.3</v>
      </c>
      <c r="E1703" s="4">
        <v>82.1</v>
      </c>
      <c r="F1703" s="4">
        <v>30.57</v>
      </c>
      <c r="G1703" s="4">
        <v>13.4</v>
      </c>
      <c r="H1703" s="4">
        <v>1.65</v>
      </c>
      <c r="I1703" s="4">
        <v>6.6</v>
      </c>
      <c r="J1703" s="4">
        <v>87.2</v>
      </c>
      <c r="K1703" s="4">
        <v>2.2000000000000002</v>
      </c>
      <c r="L1703" s="4">
        <v>155.33333333333329</v>
      </c>
      <c r="M1703" s="4">
        <v>237.3</v>
      </c>
      <c r="N1703" s="4">
        <v>102.625</v>
      </c>
      <c r="O1703" s="4">
        <v>76.425000000000011</v>
      </c>
      <c r="P1703" s="4">
        <v>33.5</v>
      </c>
      <c r="Q1703" s="4">
        <v>82.499999999999986</v>
      </c>
      <c r="R1703" s="4">
        <v>237</v>
      </c>
      <c r="S1703" s="4" t="str" cm="1">
        <f t="array" ref="S1703">_xlfn.IFS($R1703&lt;=50,"Good",$R1703&lt;=100,"Moderate",$R1703&lt;=200,"Poor",$R1703&lt;=300,"Very Poor",$R1703&lt;=500,"Hazardous")</f>
        <v>Very Poor</v>
      </c>
      <c r="T1703" t="s">
        <v>28</v>
      </c>
      <c r="X1703" s="2"/>
      <c r="Y1703" s="2"/>
    </row>
    <row r="1704" spans="1:25" x14ac:dyDescent="0.3">
      <c r="A1704" s="2">
        <v>45632</v>
      </c>
      <c r="B1704" t="s">
        <v>22</v>
      </c>
      <c r="C1704" s="4">
        <v>71.2</v>
      </c>
      <c r="D1704" s="4">
        <v>177.6</v>
      </c>
      <c r="E1704" s="4">
        <v>87.7</v>
      </c>
      <c r="F1704" s="4">
        <v>14.8</v>
      </c>
      <c r="G1704" s="4">
        <v>90.8</v>
      </c>
      <c r="H1704" s="4">
        <v>2.2400000000000002</v>
      </c>
      <c r="I1704" s="4">
        <v>16.7</v>
      </c>
      <c r="J1704" s="4">
        <v>49.9</v>
      </c>
      <c r="K1704" s="4">
        <v>2.0299999999999998</v>
      </c>
      <c r="L1704" s="4">
        <v>118.6666666666667</v>
      </c>
      <c r="M1704" s="4">
        <v>177.6</v>
      </c>
      <c r="N1704" s="4">
        <v>109.625</v>
      </c>
      <c r="O1704" s="4">
        <v>37.000000000000007</v>
      </c>
      <c r="P1704" s="4">
        <v>227</v>
      </c>
      <c r="Q1704" s="4">
        <v>112</v>
      </c>
      <c r="R1704" s="4">
        <v>227</v>
      </c>
      <c r="S1704" s="4" t="str" cm="1">
        <f t="array" ref="S1704">_xlfn.IFS($R1704&lt;=50,"Good",$R1704&lt;=100,"Moderate",$R1704&lt;=200,"Poor",$R1704&lt;=300,"Very Poor",$R1704&lt;=500,"Hazardous")</f>
        <v>Very Poor</v>
      </c>
      <c r="T1704" t="s">
        <v>27</v>
      </c>
      <c r="X1704" s="2"/>
      <c r="Y1704" s="2"/>
    </row>
    <row r="1705" spans="1:25" x14ac:dyDescent="0.3">
      <c r="A1705" s="2">
        <v>45632</v>
      </c>
      <c r="B1705" t="s">
        <v>23</v>
      </c>
      <c r="C1705" s="4">
        <v>23.9</v>
      </c>
      <c r="D1705" s="4">
        <v>195.8</v>
      </c>
      <c r="E1705" s="4">
        <v>97.1</v>
      </c>
      <c r="F1705" s="4">
        <v>7.89</v>
      </c>
      <c r="G1705" s="4">
        <v>17.8</v>
      </c>
      <c r="H1705" s="4">
        <v>3.38</v>
      </c>
      <c r="I1705" s="4">
        <v>10</v>
      </c>
      <c r="J1705" s="4">
        <v>22.8</v>
      </c>
      <c r="K1705" s="4">
        <v>1.1200000000000001</v>
      </c>
      <c r="L1705" s="4">
        <v>39.833333333333329</v>
      </c>
      <c r="M1705" s="4">
        <v>195.8</v>
      </c>
      <c r="N1705" s="4">
        <v>121.375</v>
      </c>
      <c r="O1705" s="4">
        <v>19.725000000000001</v>
      </c>
      <c r="P1705" s="4">
        <v>44.500000000000007</v>
      </c>
      <c r="Q1705" s="4">
        <v>169</v>
      </c>
      <c r="R1705" s="4">
        <v>196</v>
      </c>
      <c r="S1705" s="4" t="str" cm="1">
        <f t="array" ref="S1705">_xlfn.IFS($R1705&lt;=50,"Good",$R1705&lt;=100,"Moderate",$R1705&lt;=200,"Poor",$R1705&lt;=300,"Very Poor",$R1705&lt;=500,"Hazardous")</f>
        <v>Poor</v>
      </c>
      <c r="T1705" t="s">
        <v>28</v>
      </c>
      <c r="X1705" s="2"/>
      <c r="Y1705" s="2"/>
    </row>
    <row r="1706" spans="1:25" x14ac:dyDescent="0.3">
      <c r="A1706" s="2">
        <v>45632</v>
      </c>
      <c r="B1706" t="s">
        <v>24</v>
      </c>
      <c r="C1706" s="4">
        <v>24.3</v>
      </c>
      <c r="D1706" s="4">
        <v>252</v>
      </c>
      <c r="E1706" s="4">
        <v>66.5</v>
      </c>
      <c r="F1706" s="4">
        <v>12.15</v>
      </c>
      <c r="G1706" s="4">
        <v>68.099999999999994</v>
      </c>
      <c r="H1706" s="4">
        <v>1.38</v>
      </c>
      <c r="I1706" s="4">
        <v>25.4</v>
      </c>
      <c r="J1706" s="4">
        <v>87.2</v>
      </c>
      <c r="K1706" s="4">
        <v>2.4500000000000002</v>
      </c>
      <c r="L1706" s="4">
        <v>40.5</v>
      </c>
      <c r="M1706" s="4">
        <v>252</v>
      </c>
      <c r="N1706" s="4">
        <v>83.125</v>
      </c>
      <c r="O1706" s="4">
        <v>30.375</v>
      </c>
      <c r="P1706" s="4">
        <v>170.25</v>
      </c>
      <c r="Q1706" s="4">
        <v>68.999999999999986</v>
      </c>
      <c r="R1706" s="4">
        <v>252</v>
      </c>
      <c r="S1706" s="4" t="str" cm="1">
        <f t="array" ref="S1706">_xlfn.IFS($R1706&lt;=50,"Good",$R1706&lt;=100,"Moderate",$R1706&lt;=200,"Poor",$R1706&lt;=300,"Very Poor",$R1706&lt;=500,"Hazardous")</f>
        <v>Very Poor</v>
      </c>
      <c r="T1706" t="s">
        <v>28</v>
      </c>
      <c r="X1706" s="2"/>
      <c r="Y1706" s="2"/>
    </row>
    <row r="1707" spans="1:25" x14ac:dyDescent="0.3">
      <c r="A1707" s="2">
        <v>45633</v>
      </c>
      <c r="B1707" t="s">
        <v>20</v>
      </c>
      <c r="C1707" s="4">
        <v>151.1</v>
      </c>
      <c r="D1707" s="4">
        <v>194.1</v>
      </c>
      <c r="E1707" s="4">
        <v>116.8</v>
      </c>
      <c r="F1707" s="4">
        <v>0.5</v>
      </c>
      <c r="G1707" s="4">
        <v>1</v>
      </c>
      <c r="H1707" s="4">
        <v>1.78</v>
      </c>
      <c r="I1707" s="4">
        <v>13.8</v>
      </c>
      <c r="J1707" s="4">
        <v>50.7</v>
      </c>
      <c r="K1707" s="4">
        <v>2.2400000000000002</v>
      </c>
      <c r="L1707" s="4">
        <v>251.83333333333329</v>
      </c>
      <c r="M1707" s="4">
        <v>194.1</v>
      </c>
      <c r="N1707" s="4">
        <v>146</v>
      </c>
      <c r="O1707" s="4">
        <v>1.25</v>
      </c>
      <c r="P1707" s="4">
        <v>2.5</v>
      </c>
      <c r="Q1707" s="4">
        <v>89</v>
      </c>
      <c r="R1707" s="4">
        <v>252</v>
      </c>
      <c r="S1707" s="4" t="str" cm="1">
        <f t="array" ref="S1707">_xlfn.IFS($R1707&lt;=50,"Good",$R1707&lt;=100,"Moderate",$R1707&lt;=200,"Poor",$R1707&lt;=300,"Very Poor",$R1707&lt;=500,"Hazardous")</f>
        <v>Very Poor</v>
      </c>
      <c r="T1707" t="s">
        <v>25</v>
      </c>
      <c r="X1707" s="2"/>
      <c r="Y1707" s="2"/>
    </row>
    <row r="1708" spans="1:25" x14ac:dyDescent="0.3">
      <c r="A1708" s="2">
        <v>45633</v>
      </c>
      <c r="B1708" t="s">
        <v>21</v>
      </c>
      <c r="C1708" s="4">
        <v>163.19999999999999</v>
      </c>
      <c r="D1708" s="4">
        <v>191.1</v>
      </c>
      <c r="E1708" s="4">
        <v>57</v>
      </c>
      <c r="F1708" s="4">
        <v>12.48</v>
      </c>
      <c r="G1708" s="4">
        <v>23.4</v>
      </c>
      <c r="H1708" s="4">
        <v>1.28</v>
      </c>
      <c r="I1708" s="4">
        <v>8.6999999999999993</v>
      </c>
      <c r="J1708" s="4">
        <v>61.3</v>
      </c>
      <c r="K1708" s="4">
        <v>1.82</v>
      </c>
      <c r="L1708" s="4">
        <v>271.99999999999989</v>
      </c>
      <c r="M1708" s="4">
        <v>191.1</v>
      </c>
      <c r="N1708" s="4">
        <v>71.25</v>
      </c>
      <c r="O1708" s="4">
        <v>31.2</v>
      </c>
      <c r="P1708" s="4">
        <v>58.5</v>
      </c>
      <c r="Q1708" s="4">
        <v>64</v>
      </c>
      <c r="R1708" s="4">
        <v>272</v>
      </c>
      <c r="S1708" s="4" t="str" cm="1">
        <f t="array" ref="S1708">_xlfn.IFS($R1708&lt;=50,"Good",$R1708&lt;=100,"Moderate",$R1708&lt;=200,"Poor",$R1708&lt;=300,"Very Poor",$R1708&lt;=500,"Hazardous")</f>
        <v>Very Poor</v>
      </c>
      <c r="T1708" t="s">
        <v>25</v>
      </c>
      <c r="X1708" s="2"/>
      <c r="Y1708" s="2"/>
    </row>
    <row r="1709" spans="1:25" x14ac:dyDescent="0.3">
      <c r="A1709" s="2">
        <v>45633</v>
      </c>
      <c r="B1709" t="s">
        <v>22</v>
      </c>
      <c r="C1709" s="4">
        <v>135.30000000000001</v>
      </c>
      <c r="D1709" s="4">
        <v>50.4</v>
      </c>
      <c r="E1709" s="4">
        <v>51.9</v>
      </c>
      <c r="F1709" s="4">
        <v>25.94</v>
      </c>
      <c r="G1709" s="4">
        <v>14.1</v>
      </c>
      <c r="H1709" s="4">
        <v>1.61</v>
      </c>
      <c r="I1709" s="4">
        <v>11.5</v>
      </c>
      <c r="J1709" s="4">
        <v>35.700000000000003</v>
      </c>
      <c r="K1709" s="4">
        <v>4.3600000000000003</v>
      </c>
      <c r="L1709" s="4">
        <v>225.5</v>
      </c>
      <c r="M1709" s="4">
        <v>50.4</v>
      </c>
      <c r="N1709" s="4">
        <v>64.875</v>
      </c>
      <c r="O1709" s="4">
        <v>64.850000000000009</v>
      </c>
      <c r="P1709" s="4">
        <v>35.25</v>
      </c>
      <c r="Q1709" s="4">
        <v>80.5</v>
      </c>
      <c r="R1709" s="4">
        <v>226</v>
      </c>
      <c r="S1709" s="4" t="str" cm="1">
        <f t="array" ref="S1709">_xlfn.IFS($R1709&lt;=50,"Good",$R1709&lt;=100,"Moderate",$R1709&lt;=200,"Poor",$R1709&lt;=300,"Very Poor",$R1709&lt;=500,"Hazardous")</f>
        <v>Very Poor</v>
      </c>
      <c r="T1709" t="s">
        <v>25</v>
      </c>
      <c r="X1709" s="2"/>
      <c r="Y1709" s="2"/>
    </row>
    <row r="1710" spans="1:25" x14ac:dyDescent="0.3">
      <c r="A1710" s="2">
        <v>45633</v>
      </c>
      <c r="B1710" t="s">
        <v>23</v>
      </c>
      <c r="C1710" s="4">
        <v>104.2</v>
      </c>
      <c r="D1710" s="4">
        <v>204.8</v>
      </c>
      <c r="E1710" s="4">
        <v>17.7</v>
      </c>
      <c r="F1710" s="4">
        <v>15.67</v>
      </c>
      <c r="G1710" s="4">
        <v>62</v>
      </c>
      <c r="H1710" s="4">
        <v>3.02</v>
      </c>
      <c r="I1710" s="4">
        <v>24.7</v>
      </c>
      <c r="J1710" s="4">
        <v>39.700000000000003</v>
      </c>
      <c r="K1710" s="4">
        <v>2.88</v>
      </c>
      <c r="L1710" s="4">
        <v>173.66666666666671</v>
      </c>
      <c r="M1710" s="4">
        <v>204.8</v>
      </c>
      <c r="N1710" s="4">
        <v>22.125</v>
      </c>
      <c r="O1710" s="4">
        <v>39.174999999999997</v>
      </c>
      <c r="P1710" s="4">
        <v>155</v>
      </c>
      <c r="Q1710" s="4">
        <v>151</v>
      </c>
      <c r="R1710" s="4">
        <v>205</v>
      </c>
      <c r="S1710" s="4" t="str" cm="1">
        <f t="array" ref="S1710">_xlfn.IFS($R1710&lt;=50,"Good",$R1710&lt;=100,"Moderate",$R1710&lt;=200,"Poor",$R1710&lt;=300,"Very Poor",$R1710&lt;=500,"Hazardous")</f>
        <v>Very Poor</v>
      </c>
      <c r="T1710" t="s">
        <v>28</v>
      </c>
      <c r="X1710" s="2"/>
      <c r="Y1710" s="2"/>
    </row>
    <row r="1711" spans="1:25" x14ac:dyDescent="0.3">
      <c r="A1711" s="2">
        <v>45633</v>
      </c>
      <c r="B1711" t="s">
        <v>24</v>
      </c>
      <c r="C1711" s="4">
        <v>140.80000000000001</v>
      </c>
      <c r="D1711" s="4">
        <v>21.7</v>
      </c>
      <c r="E1711" s="4">
        <v>39.700000000000003</v>
      </c>
      <c r="F1711" s="4">
        <v>21.9</v>
      </c>
      <c r="G1711" s="4">
        <v>61.3</v>
      </c>
      <c r="H1711" s="4">
        <v>0.48</v>
      </c>
      <c r="I1711" s="4">
        <v>25.6</v>
      </c>
      <c r="J1711" s="4">
        <v>61.7</v>
      </c>
      <c r="K1711" s="4">
        <v>3.94</v>
      </c>
      <c r="L1711" s="4">
        <v>234.66666666666671</v>
      </c>
      <c r="M1711" s="4">
        <v>21.7</v>
      </c>
      <c r="N1711" s="4">
        <v>49.625</v>
      </c>
      <c r="O1711" s="4">
        <v>54.749999999999993</v>
      </c>
      <c r="P1711" s="4">
        <v>153.25</v>
      </c>
      <c r="Q1711" s="4">
        <v>24</v>
      </c>
      <c r="R1711" s="4">
        <v>235</v>
      </c>
      <c r="S1711" s="4" t="str" cm="1">
        <f t="array" ref="S1711">_xlfn.IFS($R1711&lt;=50,"Good",$R1711&lt;=100,"Moderate",$R1711&lt;=200,"Poor",$R1711&lt;=300,"Very Poor",$R1711&lt;=500,"Hazardous")</f>
        <v>Very Poor</v>
      </c>
      <c r="T1711" t="s">
        <v>25</v>
      </c>
      <c r="X1711" s="2"/>
      <c r="Y1711" s="2"/>
    </row>
    <row r="1712" spans="1:25" x14ac:dyDescent="0.3">
      <c r="A1712" s="2">
        <v>45634</v>
      </c>
      <c r="B1712" t="s">
        <v>20</v>
      </c>
      <c r="C1712" s="4">
        <v>75.400000000000006</v>
      </c>
      <c r="D1712" s="4">
        <v>292</v>
      </c>
      <c r="E1712" s="4">
        <v>113.9</v>
      </c>
      <c r="F1712" s="4">
        <v>11.49</v>
      </c>
      <c r="G1712" s="4">
        <v>41.9</v>
      </c>
      <c r="H1712" s="4">
        <v>1.49</v>
      </c>
      <c r="I1712" s="4">
        <v>31.6</v>
      </c>
      <c r="J1712" s="4">
        <v>57.8</v>
      </c>
      <c r="K1712" s="4">
        <v>1.39</v>
      </c>
      <c r="L1712" s="4">
        <v>125.6666666666667</v>
      </c>
      <c r="M1712" s="4">
        <v>292</v>
      </c>
      <c r="N1712" s="4">
        <v>142.375</v>
      </c>
      <c r="O1712" s="4">
        <v>28.725000000000001</v>
      </c>
      <c r="P1712" s="4">
        <v>104.75</v>
      </c>
      <c r="Q1712" s="4">
        <v>74.5</v>
      </c>
      <c r="R1712" s="4">
        <v>292</v>
      </c>
      <c r="S1712" s="4" t="str" cm="1">
        <f t="array" ref="S1712">_xlfn.IFS($R1712&lt;=50,"Good",$R1712&lt;=100,"Moderate",$R1712&lt;=200,"Poor",$R1712&lt;=300,"Very Poor",$R1712&lt;=500,"Hazardous")</f>
        <v>Very Poor</v>
      </c>
      <c r="T1712" t="s">
        <v>28</v>
      </c>
      <c r="X1712" s="2"/>
      <c r="Y1712" s="2"/>
    </row>
    <row r="1713" spans="1:25" x14ac:dyDescent="0.3">
      <c r="A1713" s="2">
        <v>45634</v>
      </c>
      <c r="B1713" t="s">
        <v>21</v>
      </c>
      <c r="C1713" s="4">
        <v>77.099999999999994</v>
      </c>
      <c r="D1713" s="4">
        <v>255.2</v>
      </c>
      <c r="E1713" s="4">
        <v>120.1</v>
      </c>
      <c r="F1713" s="4">
        <v>2.64</v>
      </c>
      <c r="G1713" s="4">
        <v>97</v>
      </c>
      <c r="H1713" s="4">
        <v>2.77</v>
      </c>
      <c r="I1713" s="4">
        <v>23.3</v>
      </c>
      <c r="J1713" s="4">
        <v>58.3</v>
      </c>
      <c r="K1713" s="4">
        <v>2.52</v>
      </c>
      <c r="L1713" s="4">
        <v>128.5</v>
      </c>
      <c r="M1713" s="4">
        <v>255.2</v>
      </c>
      <c r="N1713" s="4">
        <v>150.125</v>
      </c>
      <c r="O1713" s="4">
        <v>6.6</v>
      </c>
      <c r="P1713" s="4">
        <v>242.5</v>
      </c>
      <c r="Q1713" s="4">
        <v>138.5</v>
      </c>
      <c r="R1713" s="4">
        <v>255</v>
      </c>
      <c r="S1713" s="4" t="str" cm="1">
        <f t="array" ref="S1713">_xlfn.IFS($R1713&lt;=50,"Good",$R1713&lt;=100,"Moderate",$R1713&lt;=200,"Poor",$R1713&lt;=300,"Very Poor",$R1713&lt;=500,"Hazardous")</f>
        <v>Very Poor</v>
      </c>
      <c r="T1713" t="s">
        <v>28</v>
      </c>
      <c r="X1713" s="2"/>
      <c r="Y1713" s="2"/>
    </row>
    <row r="1714" spans="1:25" x14ac:dyDescent="0.3">
      <c r="A1714" s="2">
        <v>45634</v>
      </c>
      <c r="B1714" t="s">
        <v>22</v>
      </c>
      <c r="C1714" s="4">
        <v>84.4</v>
      </c>
      <c r="D1714" s="4">
        <v>275.2</v>
      </c>
      <c r="E1714" s="4">
        <v>68.2</v>
      </c>
      <c r="F1714" s="4">
        <v>17.989999999999998</v>
      </c>
      <c r="G1714" s="4">
        <v>24.9</v>
      </c>
      <c r="H1714" s="4">
        <v>2</v>
      </c>
      <c r="I1714" s="4">
        <v>14.4</v>
      </c>
      <c r="J1714" s="4">
        <v>81.900000000000006</v>
      </c>
      <c r="K1714" s="4">
        <v>1.5</v>
      </c>
      <c r="L1714" s="4">
        <v>140.66666666666671</v>
      </c>
      <c r="M1714" s="4">
        <v>275.2</v>
      </c>
      <c r="N1714" s="4">
        <v>85.25</v>
      </c>
      <c r="O1714" s="4">
        <v>44.974999999999987</v>
      </c>
      <c r="P1714" s="4">
        <v>62.25</v>
      </c>
      <c r="Q1714" s="4">
        <v>100</v>
      </c>
      <c r="R1714" s="4">
        <v>275</v>
      </c>
      <c r="S1714" s="4" t="str" cm="1">
        <f t="array" ref="S1714">_xlfn.IFS($R1714&lt;=50,"Good",$R1714&lt;=100,"Moderate",$R1714&lt;=200,"Poor",$R1714&lt;=300,"Very Poor",$R1714&lt;=500,"Hazardous")</f>
        <v>Very Poor</v>
      </c>
      <c r="T1714" t="s">
        <v>28</v>
      </c>
      <c r="X1714" s="2"/>
      <c r="Y1714" s="2"/>
    </row>
    <row r="1715" spans="1:25" x14ac:dyDescent="0.3">
      <c r="A1715" s="2">
        <v>45634</v>
      </c>
      <c r="B1715" t="s">
        <v>23</v>
      </c>
      <c r="C1715" s="4">
        <v>80.400000000000006</v>
      </c>
      <c r="D1715" s="4">
        <v>161.80000000000001</v>
      </c>
      <c r="E1715" s="4">
        <v>60.7</v>
      </c>
      <c r="F1715" s="4">
        <v>18.579999999999998</v>
      </c>
      <c r="G1715" s="4">
        <v>28.9</v>
      </c>
      <c r="H1715" s="4">
        <v>3.26</v>
      </c>
      <c r="I1715" s="4">
        <v>14.3</v>
      </c>
      <c r="J1715" s="4">
        <v>63</v>
      </c>
      <c r="K1715" s="4">
        <v>1.57</v>
      </c>
      <c r="L1715" s="4">
        <v>134</v>
      </c>
      <c r="M1715" s="4">
        <v>161.80000000000001</v>
      </c>
      <c r="N1715" s="4">
        <v>75.875</v>
      </c>
      <c r="O1715" s="4">
        <v>46.45</v>
      </c>
      <c r="P1715" s="4">
        <v>72.25</v>
      </c>
      <c r="Q1715" s="4">
        <v>163</v>
      </c>
      <c r="R1715" s="4">
        <v>163</v>
      </c>
      <c r="S1715" s="4" t="str" cm="1">
        <f t="array" ref="S1715">_xlfn.IFS($R1715&lt;=50,"Good",$R1715&lt;=100,"Moderate",$R1715&lt;=200,"Poor",$R1715&lt;=300,"Very Poor",$R1715&lt;=500,"Hazardous")</f>
        <v>Poor</v>
      </c>
      <c r="T1715" t="s">
        <v>29</v>
      </c>
      <c r="X1715" s="2"/>
      <c r="Y1715" s="2"/>
    </row>
    <row r="1716" spans="1:25" x14ac:dyDescent="0.3">
      <c r="A1716" s="2">
        <v>45634</v>
      </c>
      <c r="B1716" t="s">
        <v>24</v>
      </c>
      <c r="C1716" s="4">
        <v>127.8</v>
      </c>
      <c r="D1716" s="4">
        <v>209.5</v>
      </c>
      <c r="E1716" s="4">
        <v>73.7</v>
      </c>
      <c r="F1716" s="4">
        <v>24.54</v>
      </c>
      <c r="G1716" s="4">
        <v>23.4</v>
      </c>
      <c r="H1716" s="4">
        <v>2.73</v>
      </c>
      <c r="I1716" s="4">
        <v>14.6</v>
      </c>
      <c r="J1716" s="4">
        <v>62</v>
      </c>
      <c r="K1716" s="4">
        <v>1.57</v>
      </c>
      <c r="L1716" s="4">
        <v>213</v>
      </c>
      <c r="M1716" s="4">
        <v>209.5</v>
      </c>
      <c r="N1716" s="4">
        <v>92.125</v>
      </c>
      <c r="O1716" s="4">
        <v>61.349999999999987</v>
      </c>
      <c r="P1716" s="4">
        <v>58.5</v>
      </c>
      <c r="Q1716" s="4">
        <v>136.5</v>
      </c>
      <c r="R1716" s="4">
        <v>213</v>
      </c>
      <c r="S1716" s="4" t="str" cm="1">
        <f t="array" ref="S1716">_xlfn.IFS($R1716&lt;=50,"Good",$R1716&lt;=100,"Moderate",$R1716&lt;=200,"Poor",$R1716&lt;=300,"Very Poor",$R1716&lt;=500,"Hazardous")</f>
        <v>Very Poor</v>
      </c>
      <c r="T1716" t="s">
        <v>25</v>
      </c>
      <c r="X1716" s="2"/>
      <c r="Y1716" s="2"/>
    </row>
    <row r="1717" spans="1:25" x14ac:dyDescent="0.3">
      <c r="A1717" s="2">
        <v>45635</v>
      </c>
      <c r="B1717" t="s">
        <v>20</v>
      </c>
      <c r="C1717" s="4">
        <v>73.8</v>
      </c>
      <c r="D1717" s="4">
        <v>211.7</v>
      </c>
      <c r="E1717" s="4">
        <v>149.6</v>
      </c>
      <c r="F1717" s="4">
        <v>15.65</v>
      </c>
      <c r="G1717" s="4">
        <v>84.2</v>
      </c>
      <c r="H1717" s="4">
        <v>2.4500000000000002</v>
      </c>
      <c r="I1717" s="4">
        <v>17.3</v>
      </c>
      <c r="J1717" s="4">
        <v>87.7</v>
      </c>
      <c r="K1717" s="4">
        <v>3.02</v>
      </c>
      <c r="L1717" s="4">
        <v>123</v>
      </c>
      <c r="M1717" s="4">
        <v>211.7</v>
      </c>
      <c r="N1717" s="4">
        <v>187</v>
      </c>
      <c r="O1717" s="4">
        <v>39.125</v>
      </c>
      <c r="P1717" s="4">
        <v>210.5</v>
      </c>
      <c r="Q1717" s="4">
        <v>122.5</v>
      </c>
      <c r="R1717" s="4">
        <v>212</v>
      </c>
      <c r="S1717" s="4" t="str" cm="1">
        <f t="array" ref="S1717">_xlfn.IFS($R1717&lt;=50,"Good",$R1717&lt;=100,"Moderate",$R1717&lt;=200,"Poor",$R1717&lt;=300,"Very Poor",$R1717&lt;=500,"Hazardous")</f>
        <v>Very Poor</v>
      </c>
      <c r="T1717" t="s">
        <v>28</v>
      </c>
      <c r="X1717" s="2"/>
      <c r="Y1717" s="2"/>
    </row>
    <row r="1718" spans="1:25" x14ac:dyDescent="0.3">
      <c r="A1718" s="2">
        <v>45635</v>
      </c>
      <c r="B1718" t="s">
        <v>21</v>
      </c>
      <c r="C1718" s="4">
        <v>81.400000000000006</v>
      </c>
      <c r="D1718" s="4">
        <v>296.5</v>
      </c>
      <c r="E1718" s="4">
        <v>78.3</v>
      </c>
      <c r="F1718" s="4">
        <v>0.5</v>
      </c>
      <c r="G1718" s="4">
        <v>71.3</v>
      </c>
      <c r="H1718" s="4">
        <v>3.71</v>
      </c>
      <c r="I1718" s="4">
        <v>32.9</v>
      </c>
      <c r="J1718" s="4">
        <v>67.599999999999994</v>
      </c>
      <c r="K1718" s="4">
        <v>2.2000000000000002</v>
      </c>
      <c r="L1718" s="4">
        <v>135.66666666666671</v>
      </c>
      <c r="M1718" s="4">
        <v>296.5</v>
      </c>
      <c r="N1718" s="4">
        <v>97.874999999999986</v>
      </c>
      <c r="O1718" s="4">
        <v>1.25</v>
      </c>
      <c r="P1718" s="4">
        <v>178.25</v>
      </c>
      <c r="Q1718" s="4">
        <v>185.5</v>
      </c>
      <c r="R1718" s="4">
        <v>296</v>
      </c>
      <c r="S1718" s="4" t="str" cm="1">
        <f t="array" ref="S1718">_xlfn.IFS($R1718&lt;=50,"Good",$R1718&lt;=100,"Moderate",$R1718&lt;=200,"Poor",$R1718&lt;=300,"Very Poor",$R1718&lt;=500,"Hazardous")</f>
        <v>Very Poor</v>
      </c>
      <c r="T1718" t="s">
        <v>28</v>
      </c>
      <c r="X1718" s="2"/>
      <c r="Y1718" s="2"/>
    </row>
    <row r="1719" spans="1:25" x14ac:dyDescent="0.3">
      <c r="A1719" s="2">
        <v>45635</v>
      </c>
      <c r="B1719" t="s">
        <v>22</v>
      </c>
      <c r="C1719" s="4">
        <v>129.30000000000001</v>
      </c>
      <c r="D1719" s="4">
        <v>259.89999999999998</v>
      </c>
      <c r="E1719" s="4">
        <v>118.2</v>
      </c>
      <c r="F1719" s="4">
        <v>11.82</v>
      </c>
      <c r="G1719" s="4">
        <v>30.7</v>
      </c>
      <c r="H1719" s="4">
        <v>1.17</v>
      </c>
      <c r="I1719" s="4">
        <v>23.8</v>
      </c>
      <c r="J1719" s="4">
        <v>32.1</v>
      </c>
      <c r="K1719" s="4">
        <v>3.43</v>
      </c>
      <c r="L1719" s="4">
        <v>215.5</v>
      </c>
      <c r="M1719" s="4">
        <v>259.89999999999998</v>
      </c>
      <c r="N1719" s="4">
        <v>147.75</v>
      </c>
      <c r="O1719" s="4">
        <v>29.55</v>
      </c>
      <c r="P1719" s="4">
        <v>76.75</v>
      </c>
      <c r="Q1719" s="4">
        <v>58.5</v>
      </c>
      <c r="R1719" s="4">
        <v>260</v>
      </c>
      <c r="S1719" s="4" t="str" cm="1">
        <f t="array" ref="S1719">_xlfn.IFS($R1719&lt;=50,"Good",$R1719&lt;=100,"Moderate",$R1719&lt;=200,"Poor",$R1719&lt;=300,"Very Poor",$R1719&lt;=500,"Hazardous")</f>
        <v>Very Poor</v>
      </c>
      <c r="T1719" t="s">
        <v>28</v>
      </c>
      <c r="X1719" s="2"/>
      <c r="Y1719" s="2"/>
    </row>
    <row r="1720" spans="1:25" x14ac:dyDescent="0.3">
      <c r="A1720" s="2">
        <v>45635</v>
      </c>
      <c r="B1720" t="s">
        <v>23</v>
      </c>
      <c r="C1720" s="4">
        <v>124.2</v>
      </c>
      <c r="D1720" s="4">
        <v>248.2</v>
      </c>
      <c r="E1720" s="4">
        <v>76.400000000000006</v>
      </c>
      <c r="F1720" s="4">
        <v>25.06</v>
      </c>
      <c r="G1720" s="4">
        <v>55.6</v>
      </c>
      <c r="H1720" s="4">
        <v>1.34</v>
      </c>
      <c r="I1720" s="4">
        <v>15.9</v>
      </c>
      <c r="J1720" s="4">
        <v>44.2</v>
      </c>
      <c r="K1720" s="4">
        <v>3.16</v>
      </c>
      <c r="L1720" s="4">
        <v>207</v>
      </c>
      <c r="M1720" s="4">
        <v>248.2</v>
      </c>
      <c r="N1720" s="4">
        <v>95.5</v>
      </c>
      <c r="O1720" s="4">
        <v>62.65</v>
      </c>
      <c r="P1720" s="4">
        <v>139</v>
      </c>
      <c r="Q1720" s="4">
        <v>67</v>
      </c>
      <c r="R1720" s="4">
        <v>248</v>
      </c>
      <c r="S1720" s="4" t="str" cm="1">
        <f t="array" ref="S1720">_xlfn.IFS($R1720&lt;=50,"Good",$R1720&lt;=100,"Moderate",$R1720&lt;=200,"Poor",$R1720&lt;=300,"Very Poor",$R1720&lt;=500,"Hazardous")</f>
        <v>Very Poor</v>
      </c>
      <c r="T1720" t="s">
        <v>28</v>
      </c>
      <c r="X1720" s="2"/>
      <c r="Y1720" s="2"/>
    </row>
    <row r="1721" spans="1:25" x14ac:dyDescent="0.3">
      <c r="A1721" s="2">
        <v>45635</v>
      </c>
      <c r="B1721" t="s">
        <v>24</v>
      </c>
      <c r="C1721" s="4">
        <v>52.8</v>
      </c>
      <c r="D1721" s="4">
        <v>325.60000000000002</v>
      </c>
      <c r="E1721" s="4">
        <v>125.8</v>
      </c>
      <c r="F1721" s="4">
        <v>6.34</v>
      </c>
      <c r="G1721" s="4">
        <v>35</v>
      </c>
      <c r="H1721" s="4">
        <v>2.13</v>
      </c>
      <c r="I1721" s="4">
        <v>26.2</v>
      </c>
      <c r="J1721" s="4">
        <v>89</v>
      </c>
      <c r="K1721" s="4">
        <v>0.98</v>
      </c>
      <c r="L1721" s="4">
        <v>88</v>
      </c>
      <c r="M1721" s="4">
        <v>325.60000000000002</v>
      </c>
      <c r="N1721" s="4">
        <v>157.25</v>
      </c>
      <c r="O1721" s="4">
        <v>15.85</v>
      </c>
      <c r="P1721" s="4">
        <v>87.5</v>
      </c>
      <c r="Q1721" s="4">
        <v>106.5</v>
      </c>
      <c r="R1721" s="4">
        <v>326</v>
      </c>
      <c r="S1721" s="4" t="str" cm="1">
        <f t="array" ref="S1721">_xlfn.IFS($R1721&lt;=50,"Good",$R1721&lt;=100,"Moderate",$R1721&lt;=200,"Poor",$R1721&lt;=300,"Very Poor",$R1721&lt;=500,"Hazardous")</f>
        <v>Hazardous</v>
      </c>
      <c r="T1721" t="s">
        <v>28</v>
      </c>
      <c r="X1721" s="2"/>
      <c r="Y1721" s="2"/>
    </row>
    <row r="1722" spans="1:25" x14ac:dyDescent="0.3">
      <c r="A1722" s="2">
        <v>45636</v>
      </c>
      <c r="B1722" t="s">
        <v>20</v>
      </c>
      <c r="C1722" s="4">
        <v>92.8</v>
      </c>
      <c r="D1722" s="4">
        <v>191.4</v>
      </c>
      <c r="E1722" s="4">
        <v>31.3</v>
      </c>
      <c r="F1722" s="4">
        <v>10.26</v>
      </c>
      <c r="G1722" s="4">
        <v>52.5</v>
      </c>
      <c r="H1722" s="4">
        <v>1.9</v>
      </c>
      <c r="I1722" s="4">
        <v>9.1999999999999993</v>
      </c>
      <c r="J1722" s="4">
        <v>100</v>
      </c>
      <c r="K1722" s="4">
        <v>2.82</v>
      </c>
      <c r="L1722" s="4">
        <v>154.66666666666671</v>
      </c>
      <c r="M1722" s="4">
        <v>191.4</v>
      </c>
      <c r="N1722" s="4">
        <v>39.125</v>
      </c>
      <c r="O1722" s="4">
        <v>25.65</v>
      </c>
      <c r="P1722" s="4">
        <v>131.25</v>
      </c>
      <c r="Q1722" s="4">
        <v>95</v>
      </c>
      <c r="R1722" s="4">
        <v>191</v>
      </c>
      <c r="S1722" s="4" t="str" cm="1">
        <f t="array" ref="S1722">_xlfn.IFS($R1722&lt;=50,"Good",$R1722&lt;=100,"Moderate",$R1722&lt;=200,"Poor",$R1722&lt;=300,"Very Poor",$R1722&lt;=500,"Hazardous")</f>
        <v>Poor</v>
      </c>
      <c r="T1722" t="s">
        <v>28</v>
      </c>
      <c r="X1722" s="2"/>
      <c r="Y1722" s="2"/>
    </row>
    <row r="1723" spans="1:25" x14ac:dyDescent="0.3">
      <c r="A1723" s="2">
        <v>45636</v>
      </c>
      <c r="B1723" t="s">
        <v>21</v>
      </c>
      <c r="C1723" s="4">
        <v>126.7</v>
      </c>
      <c r="D1723" s="4">
        <v>108.2</v>
      </c>
      <c r="E1723" s="4">
        <v>100.4</v>
      </c>
      <c r="F1723" s="4">
        <v>14.36</v>
      </c>
      <c r="G1723" s="4">
        <v>1</v>
      </c>
      <c r="H1723" s="4">
        <v>1.1200000000000001</v>
      </c>
      <c r="I1723" s="4">
        <v>25.6</v>
      </c>
      <c r="J1723" s="4">
        <v>95</v>
      </c>
      <c r="K1723" s="4">
        <v>2.94</v>
      </c>
      <c r="L1723" s="4">
        <v>211.16666666666671</v>
      </c>
      <c r="M1723" s="4">
        <v>108.2</v>
      </c>
      <c r="N1723" s="4">
        <v>125.5</v>
      </c>
      <c r="O1723" s="4">
        <v>35.9</v>
      </c>
      <c r="P1723" s="4">
        <v>2.5</v>
      </c>
      <c r="Q1723" s="4">
        <v>56.000000000000007</v>
      </c>
      <c r="R1723" s="4">
        <v>211</v>
      </c>
      <c r="S1723" s="4" t="str" cm="1">
        <f t="array" ref="S1723">_xlfn.IFS($R1723&lt;=50,"Good",$R1723&lt;=100,"Moderate",$R1723&lt;=200,"Poor",$R1723&lt;=300,"Very Poor",$R1723&lt;=500,"Hazardous")</f>
        <v>Very Poor</v>
      </c>
      <c r="T1723" t="s">
        <v>25</v>
      </c>
      <c r="X1723" s="2"/>
      <c r="Y1723" s="2"/>
    </row>
    <row r="1724" spans="1:25" x14ac:dyDescent="0.3">
      <c r="A1724" s="2">
        <v>45636</v>
      </c>
      <c r="B1724" t="s">
        <v>22</v>
      </c>
      <c r="C1724" s="4">
        <v>141.5</v>
      </c>
      <c r="D1724" s="4">
        <v>168.2</v>
      </c>
      <c r="E1724" s="4">
        <v>65.8</v>
      </c>
      <c r="F1724" s="4">
        <v>20.45</v>
      </c>
      <c r="G1724" s="4">
        <v>69.7</v>
      </c>
      <c r="H1724" s="4">
        <v>3.01</v>
      </c>
      <c r="I1724" s="4">
        <v>12.5</v>
      </c>
      <c r="J1724" s="4">
        <v>58.8</v>
      </c>
      <c r="K1724" s="4">
        <v>2.83</v>
      </c>
      <c r="L1724" s="4">
        <v>235.83333333333329</v>
      </c>
      <c r="M1724" s="4">
        <v>168.2</v>
      </c>
      <c r="N1724" s="4">
        <v>82.249999999999986</v>
      </c>
      <c r="O1724" s="4">
        <v>51.125</v>
      </c>
      <c r="P1724" s="4">
        <v>174.25</v>
      </c>
      <c r="Q1724" s="4">
        <v>150.5</v>
      </c>
      <c r="R1724" s="4">
        <v>236</v>
      </c>
      <c r="S1724" s="4" t="str" cm="1">
        <f t="array" ref="S1724">_xlfn.IFS($R1724&lt;=50,"Good",$R1724&lt;=100,"Moderate",$R1724&lt;=200,"Poor",$R1724&lt;=300,"Very Poor",$R1724&lt;=500,"Hazardous")</f>
        <v>Very Poor</v>
      </c>
      <c r="T1724" t="s">
        <v>25</v>
      </c>
      <c r="X1724" s="2"/>
      <c r="Y1724" s="2"/>
    </row>
    <row r="1725" spans="1:25" x14ac:dyDescent="0.3">
      <c r="A1725" s="2">
        <v>45636</v>
      </c>
      <c r="B1725" t="s">
        <v>23</v>
      </c>
      <c r="C1725" s="4">
        <v>83.5</v>
      </c>
      <c r="D1725" s="4">
        <v>229.2</v>
      </c>
      <c r="E1725" s="4">
        <v>98.3</v>
      </c>
      <c r="F1725" s="4">
        <v>20.82</v>
      </c>
      <c r="G1725" s="4">
        <v>73.900000000000006</v>
      </c>
      <c r="H1725" s="4">
        <v>1.6</v>
      </c>
      <c r="I1725" s="4">
        <v>10.5</v>
      </c>
      <c r="J1725" s="4">
        <v>66.400000000000006</v>
      </c>
      <c r="K1725" s="4">
        <v>4.76</v>
      </c>
      <c r="L1725" s="4">
        <v>139.16666666666671</v>
      </c>
      <c r="M1725" s="4">
        <v>229.2</v>
      </c>
      <c r="N1725" s="4">
        <v>122.875</v>
      </c>
      <c r="O1725" s="4">
        <v>52.05</v>
      </c>
      <c r="P1725" s="4">
        <v>184.75</v>
      </c>
      <c r="Q1725" s="4">
        <v>80</v>
      </c>
      <c r="R1725" s="4">
        <v>229</v>
      </c>
      <c r="S1725" s="4" t="str" cm="1">
        <f t="array" ref="S1725">_xlfn.IFS($R1725&lt;=50,"Good",$R1725&lt;=100,"Moderate",$R1725&lt;=200,"Poor",$R1725&lt;=300,"Very Poor",$R1725&lt;=500,"Hazardous")</f>
        <v>Very Poor</v>
      </c>
      <c r="T1725" t="s">
        <v>28</v>
      </c>
      <c r="X1725" s="2"/>
      <c r="Y1725" s="2"/>
    </row>
    <row r="1726" spans="1:25" x14ac:dyDescent="0.3">
      <c r="A1726" s="2">
        <v>45636</v>
      </c>
      <c r="B1726" t="s">
        <v>24</v>
      </c>
      <c r="C1726" s="4">
        <v>80.400000000000006</v>
      </c>
      <c r="D1726" s="4">
        <v>283.7</v>
      </c>
      <c r="E1726" s="4">
        <v>103.7</v>
      </c>
      <c r="F1726" s="4">
        <v>15.76</v>
      </c>
      <c r="G1726" s="4">
        <v>39.799999999999997</v>
      </c>
      <c r="H1726" s="4">
        <v>1.1399999999999999</v>
      </c>
      <c r="I1726" s="4">
        <v>4</v>
      </c>
      <c r="J1726" s="4">
        <v>40</v>
      </c>
      <c r="K1726" s="4">
        <v>2.5299999999999998</v>
      </c>
      <c r="L1726" s="4">
        <v>134</v>
      </c>
      <c r="M1726" s="4">
        <v>283.7</v>
      </c>
      <c r="N1726" s="4">
        <v>129.625</v>
      </c>
      <c r="O1726" s="4">
        <v>39.4</v>
      </c>
      <c r="P1726" s="4">
        <v>99.499999999999986</v>
      </c>
      <c r="Q1726" s="4">
        <v>56.999999999999993</v>
      </c>
      <c r="R1726" s="4">
        <v>284</v>
      </c>
      <c r="S1726" s="4" t="str" cm="1">
        <f t="array" ref="S1726">_xlfn.IFS($R1726&lt;=50,"Good",$R1726&lt;=100,"Moderate",$R1726&lt;=200,"Poor",$R1726&lt;=300,"Very Poor",$R1726&lt;=500,"Hazardous")</f>
        <v>Very Poor</v>
      </c>
      <c r="T1726" t="s">
        <v>28</v>
      </c>
      <c r="X1726" s="2"/>
      <c r="Y1726" s="2"/>
    </row>
    <row r="1727" spans="1:25" x14ac:dyDescent="0.3">
      <c r="A1727" s="2">
        <v>45637</v>
      </c>
      <c r="B1727" t="s">
        <v>20</v>
      </c>
      <c r="C1727" s="4">
        <v>171</v>
      </c>
      <c r="D1727" s="4">
        <v>209.4</v>
      </c>
      <c r="E1727" s="4">
        <v>63.7</v>
      </c>
      <c r="F1727" s="4">
        <v>6.52</v>
      </c>
      <c r="G1727" s="4">
        <v>58.4</v>
      </c>
      <c r="H1727" s="4">
        <v>3.71</v>
      </c>
      <c r="I1727" s="4">
        <v>27.4</v>
      </c>
      <c r="J1727" s="4">
        <v>70.900000000000006</v>
      </c>
      <c r="K1727" s="4">
        <v>0.73</v>
      </c>
      <c r="L1727" s="4">
        <v>285</v>
      </c>
      <c r="M1727" s="4">
        <v>209.4</v>
      </c>
      <c r="N1727" s="4">
        <v>79.625</v>
      </c>
      <c r="O1727" s="4">
        <v>16.3</v>
      </c>
      <c r="P1727" s="4">
        <v>146</v>
      </c>
      <c r="Q1727" s="4">
        <v>185.5</v>
      </c>
      <c r="R1727" s="4">
        <v>285</v>
      </c>
      <c r="S1727" s="4" t="str" cm="1">
        <f t="array" ref="S1727">_xlfn.IFS($R1727&lt;=50,"Good",$R1727&lt;=100,"Moderate",$R1727&lt;=200,"Poor",$R1727&lt;=300,"Very Poor",$R1727&lt;=500,"Hazardous")</f>
        <v>Very Poor</v>
      </c>
      <c r="T1727" t="s">
        <v>25</v>
      </c>
      <c r="X1727" s="2"/>
      <c r="Y1727" s="2"/>
    </row>
    <row r="1728" spans="1:25" x14ac:dyDescent="0.3">
      <c r="A1728" s="2">
        <v>45637</v>
      </c>
      <c r="B1728" t="s">
        <v>21</v>
      </c>
      <c r="C1728" s="4">
        <v>98.9</v>
      </c>
      <c r="D1728" s="4">
        <v>473.7</v>
      </c>
      <c r="E1728" s="4">
        <v>134.9</v>
      </c>
      <c r="F1728" s="4">
        <v>0.62</v>
      </c>
      <c r="G1728" s="4">
        <v>43.4</v>
      </c>
      <c r="H1728" s="4">
        <v>2.84</v>
      </c>
      <c r="I1728" s="4">
        <v>14.7</v>
      </c>
      <c r="J1728" s="4">
        <v>18.399999999999999</v>
      </c>
      <c r="K1728" s="4">
        <v>2.62</v>
      </c>
      <c r="L1728" s="4">
        <v>164.83333333333329</v>
      </c>
      <c r="M1728" s="4">
        <v>473.7</v>
      </c>
      <c r="N1728" s="4">
        <v>168.625</v>
      </c>
      <c r="O1728" s="4">
        <v>1.55</v>
      </c>
      <c r="P1728" s="4">
        <v>108.5</v>
      </c>
      <c r="Q1728" s="4">
        <v>142</v>
      </c>
      <c r="R1728" s="4">
        <v>474</v>
      </c>
      <c r="S1728" s="4" t="str" cm="1">
        <f t="array" ref="S1728">_xlfn.IFS($R1728&lt;=50,"Good",$R1728&lt;=100,"Moderate",$R1728&lt;=200,"Poor",$R1728&lt;=300,"Very Poor",$R1728&lt;=500,"Hazardous")</f>
        <v>Hazardous</v>
      </c>
      <c r="T1728" t="s">
        <v>28</v>
      </c>
      <c r="X1728" s="2"/>
      <c r="Y1728" s="2"/>
    </row>
    <row r="1729" spans="1:25" x14ac:dyDescent="0.3">
      <c r="A1729" s="2">
        <v>45637</v>
      </c>
      <c r="B1729" t="s">
        <v>22</v>
      </c>
      <c r="C1729" s="4">
        <v>55.3</v>
      </c>
      <c r="D1729" s="4">
        <v>110.9</v>
      </c>
      <c r="E1729" s="4">
        <v>57.6</v>
      </c>
      <c r="F1729" s="4">
        <v>11.14</v>
      </c>
      <c r="G1729" s="4">
        <v>34</v>
      </c>
      <c r="H1729" s="4">
        <v>1.02</v>
      </c>
      <c r="I1729" s="4">
        <v>18.5</v>
      </c>
      <c r="J1729" s="4">
        <v>28.4</v>
      </c>
      <c r="K1729" s="4">
        <v>2.87</v>
      </c>
      <c r="L1729" s="4">
        <v>92.166666666666657</v>
      </c>
      <c r="M1729" s="4">
        <v>110.9</v>
      </c>
      <c r="N1729" s="4">
        <v>72.000000000000014</v>
      </c>
      <c r="O1729" s="4">
        <v>27.85</v>
      </c>
      <c r="P1729" s="4">
        <v>85</v>
      </c>
      <c r="Q1729" s="4">
        <v>51.000000000000007</v>
      </c>
      <c r="R1729" s="4">
        <v>111</v>
      </c>
      <c r="S1729" s="4" t="str" cm="1">
        <f t="array" ref="S1729">_xlfn.IFS($R1729&lt;=50,"Good",$R1729&lt;=100,"Moderate",$R1729&lt;=200,"Poor",$R1729&lt;=300,"Very Poor",$R1729&lt;=500,"Hazardous")</f>
        <v>Poor</v>
      </c>
      <c r="T1729" t="s">
        <v>28</v>
      </c>
      <c r="X1729" s="2"/>
      <c r="Y1729" s="2"/>
    </row>
    <row r="1730" spans="1:25" x14ac:dyDescent="0.3">
      <c r="A1730" s="2">
        <v>45637</v>
      </c>
      <c r="B1730" t="s">
        <v>23</v>
      </c>
      <c r="C1730" s="4">
        <v>2</v>
      </c>
      <c r="D1730" s="4">
        <v>164.2</v>
      </c>
      <c r="E1730" s="4">
        <v>101.4</v>
      </c>
      <c r="F1730" s="4">
        <v>4.33</v>
      </c>
      <c r="G1730" s="4">
        <v>52.1</v>
      </c>
      <c r="H1730" s="4">
        <v>3.03</v>
      </c>
      <c r="I1730" s="4">
        <v>-3.2</v>
      </c>
      <c r="J1730" s="4">
        <v>57.3</v>
      </c>
      <c r="K1730" s="4">
        <v>0.2</v>
      </c>
      <c r="L1730" s="4">
        <v>3.333333333333333</v>
      </c>
      <c r="M1730" s="4">
        <v>164.2</v>
      </c>
      <c r="N1730" s="4">
        <v>126.75</v>
      </c>
      <c r="O1730" s="4">
        <v>10.824999999999999</v>
      </c>
      <c r="P1730" s="4">
        <v>130.25</v>
      </c>
      <c r="Q1730" s="4">
        <v>151.5</v>
      </c>
      <c r="R1730" s="4">
        <v>164</v>
      </c>
      <c r="S1730" s="4" t="str" cm="1">
        <f t="array" ref="S1730">_xlfn.IFS($R1730&lt;=50,"Good",$R1730&lt;=100,"Moderate",$R1730&lt;=200,"Poor",$R1730&lt;=300,"Very Poor",$R1730&lt;=500,"Hazardous")</f>
        <v>Poor</v>
      </c>
      <c r="T1730" t="s">
        <v>28</v>
      </c>
      <c r="X1730" s="2"/>
      <c r="Y1730" s="2"/>
    </row>
    <row r="1731" spans="1:25" x14ac:dyDescent="0.3">
      <c r="A1731" s="2">
        <v>45637</v>
      </c>
      <c r="B1731" t="s">
        <v>24</v>
      </c>
      <c r="C1731" s="4">
        <v>99.4</v>
      </c>
      <c r="D1731" s="4">
        <v>210.4</v>
      </c>
      <c r="E1731" s="4">
        <v>2</v>
      </c>
      <c r="F1731" s="4">
        <v>31.02</v>
      </c>
      <c r="G1731" s="4">
        <v>46.7</v>
      </c>
      <c r="H1731" s="4">
        <v>1.22</v>
      </c>
      <c r="I1731" s="4">
        <v>30.3</v>
      </c>
      <c r="J1731" s="4">
        <v>27.7</v>
      </c>
      <c r="K1731" s="4">
        <v>1.52</v>
      </c>
      <c r="L1731" s="4">
        <v>165.66666666666671</v>
      </c>
      <c r="M1731" s="4">
        <v>210.4</v>
      </c>
      <c r="N1731" s="4">
        <v>2.5</v>
      </c>
      <c r="O1731" s="4">
        <v>77.55</v>
      </c>
      <c r="P1731" s="4">
        <v>116.75</v>
      </c>
      <c r="Q1731" s="4">
        <v>61</v>
      </c>
      <c r="R1731" s="4">
        <v>210</v>
      </c>
      <c r="S1731" s="4" t="str" cm="1">
        <f t="array" ref="S1731">_xlfn.IFS($R1731&lt;=50,"Good",$R1731&lt;=100,"Moderate",$R1731&lt;=200,"Poor",$R1731&lt;=300,"Very Poor",$R1731&lt;=500,"Hazardous")</f>
        <v>Very Poor</v>
      </c>
      <c r="T1731" t="s">
        <v>28</v>
      </c>
      <c r="X1731" s="2"/>
      <c r="Y1731" s="2"/>
    </row>
    <row r="1732" spans="1:25" x14ac:dyDescent="0.3">
      <c r="A1732" s="2">
        <v>45638</v>
      </c>
      <c r="B1732" t="s">
        <v>20</v>
      </c>
      <c r="C1732" s="4">
        <v>2</v>
      </c>
      <c r="D1732" s="4">
        <v>419.6</v>
      </c>
      <c r="E1732" s="4">
        <v>95</v>
      </c>
      <c r="F1732" s="4">
        <v>20.79</v>
      </c>
      <c r="G1732" s="4">
        <v>49.2</v>
      </c>
      <c r="H1732" s="4">
        <v>2.84</v>
      </c>
      <c r="I1732" s="4">
        <v>20.5</v>
      </c>
      <c r="J1732" s="4">
        <v>64.900000000000006</v>
      </c>
      <c r="K1732" s="4">
        <v>2.63</v>
      </c>
      <c r="L1732" s="4">
        <v>3.333333333333333</v>
      </c>
      <c r="M1732" s="4">
        <v>419.6</v>
      </c>
      <c r="N1732" s="4">
        <v>118.75</v>
      </c>
      <c r="O1732" s="4">
        <v>51.975000000000001</v>
      </c>
      <c r="P1732" s="4">
        <v>123</v>
      </c>
      <c r="Q1732" s="4">
        <v>142</v>
      </c>
      <c r="R1732" s="4">
        <v>420</v>
      </c>
      <c r="S1732" s="4" t="str" cm="1">
        <f t="array" ref="S1732">_xlfn.IFS($R1732&lt;=50,"Good",$R1732&lt;=100,"Moderate",$R1732&lt;=200,"Poor",$R1732&lt;=300,"Very Poor",$R1732&lt;=500,"Hazardous")</f>
        <v>Hazardous</v>
      </c>
      <c r="T1732" t="s">
        <v>28</v>
      </c>
      <c r="X1732" s="2"/>
      <c r="Y1732" s="2"/>
    </row>
    <row r="1733" spans="1:25" x14ac:dyDescent="0.3">
      <c r="A1733" s="2">
        <v>45638</v>
      </c>
      <c r="B1733" t="s">
        <v>21</v>
      </c>
      <c r="C1733" s="4">
        <v>83.5</v>
      </c>
      <c r="D1733" s="4">
        <v>234.4</v>
      </c>
      <c r="E1733" s="4">
        <v>100.9</v>
      </c>
      <c r="F1733" s="4">
        <v>17.11</v>
      </c>
      <c r="G1733" s="4">
        <v>3.4</v>
      </c>
      <c r="H1733" s="4">
        <v>0.79</v>
      </c>
      <c r="I1733" s="4">
        <v>27.6</v>
      </c>
      <c r="J1733" s="4">
        <v>54.5</v>
      </c>
      <c r="K1733" s="4">
        <v>3.2</v>
      </c>
      <c r="L1733" s="4">
        <v>139.16666666666671</v>
      </c>
      <c r="M1733" s="4">
        <v>234.4</v>
      </c>
      <c r="N1733" s="4">
        <v>126.125</v>
      </c>
      <c r="O1733" s="4">
        <v>42.774999999999999</v>
      </c>
      <c r="P1733" s="4">
        <v>8.5</v>
      </c>
      <c r="Q1733" s="4">
        <v>39.5</v>
      </c>
      <c r="R1733" s="4">
        <v>234</v>
      </c>
      <c r="S1733" s="4" t="str" cm="1">
        <f t="array" ref="S1733">_xlfn.IFS($R1733&lt;=50,"Good",$R1733&lt;=100,"Moderate",$R1733&lt;=200,"Poor",$R1733&lt;=300,"Very Poor",$R1733&lt;=500,"Hazardous")</f>
        <v>Very Poor</v>
      </c>
      <c r="T1733" t="s">
        <v>28</v>
      </c>
      <c r="X1733" s="2"/>
      <c r="Y1733" s="2"/>
    </row>
    <row r="1734" spans="1:25" x14ac:dyDescent="0.3">
      <c r="A1734" s="2">
        <v>45638</v>
      </c>
      <c r="B1734" t="s">
        <v>22</v>
      </c>
      <c r="C1734" s="4">
        <v>41.4</v>
      </c>
      <c r="D1734" s="4">
        <v>48</v>
      </c>
      <c r="E1734" s="4">
        <v>42.8</v>
      </c>
      <c r="F1734" s="4">
        <v>10.47</v>
      </c>
      <c r="G1734" s="4">
        <v>20</v>
      </c>
      <c r="H1734" s="4">
        <v>3</v>
      </c>
      <c r="I1734" s="4">
        <v>21.3</v>
      </c>
      <c r="J1734" s="4">
        <v>93.3</v>
      </c>
      <c r="K1734" s="4">
        <v>2.99</v>
      </c>
      <c r="L1734" s="4">
        <v>68.999999999999986</v>
      </c>
      <c r="M1734" s="4">
        <v>48</v>
      </c>
      <c r="N1734" s="4">
        <v>53.5</v>
      </c>
      <c r="O1734" s="4">
        <v>26.175000000000001</v>
      </c>
      <c r="P1734" s="4">
        <v>50</v>
      </c>
      <c r="Q1734" s="4">
        <v>150</v>
      </c>
      <c r="R1734" s="4">
        <v>150</v>
      </c>
      <c r="S1734" s="4" t="str" cm="1">
        <f t="array" ref="S1734">_xlfn.IFS($R1734&lt;=50,"Good",$R1734&lt;=100,"Moderate",$R1734&lt;=200,"Poor",$R1734&lt;=300,"Very Poor",$R1734&lt;=500,"Hazardous")</f>
        <v>Poor</v>
      </c>
      <c r="T1734" t="s">
        <v>29</v>
      </c>
      <c r="X1734" s="2"/>
      <c r="Y1734" s="2"/>
    </row>
    <row r="1735" spans="1:25" x14ac:dyDescent="0.3">
      <c r="A1735" s="2">
        <v>45638</v>
      </c>
      <c r="B1735" t="s">
        <v>23</v>
      </c>
      <c r="C1735" s="4">
        <v>2</v>
      </c>
      <c r="D1735" s="4">
        <v>293.39999999999998</v>
      </c>
      <c r="E1735" s="4">
        <v>23.7</v>
      </c>
      <c r="F1735" s="4">
        <v>14.64</v>
      </c>
      <c r="G1735" s="4">
        <v>18.600000000000001</v>
      </c>
      <c r="H1735" s="4">
        <v>3.98</v>
      </c>
      <c r="I1735" s="4">
        <v>30.1</v>
      </c>
      <c r="J1735" s="4">
        <v>46.6</v>
      </c>
      <c r="K1735" s="4">
        <v>2.35</v>
      </c>
      <c r="L1735" s="4">
        <v>3.333333333333333</v>
      </c>
      <c r="M1735" s="4">
        <v>293.39999999999998</v>
      </c>
      <c r="N1735" s="4">
        <v>29.625</v>
      </c>
      <c r="O1735" s="4">
        <v>36.6</v>
      </c>
      <c r="P1735" s="4">
        <v>46.500000000000007</v>
      </c>
      <c r="Q1735" s="4">
        <v>199</v>
      </c>
      <c r="R1735" s="4">
        <v>293</v>
      </c>
      <c r="S1735" s="4" t="str" cm="1">
        <f t="array" ref="S1735">_xlfn.IFS($R1735&lt;=50,"Good",$R1735&lt;=100,"Moderate",$R1735&lt;=200,"Poor",$R1735&lt;=300,"Very Poor",$R1735&lt;=500,"Hazardous")</f>
        <v>Very Poor</v>
      </c>
      <c r="T1735" t="s">
        <v>28</v>
      </c>
      <c r="X1735" s="2"/>
      <c r="Y1735" s="2"/>
    </row>
    <row r="1736" spans="1:25" x14ac:dyDescent="0.3">
      <c r="A1736" s="2">
        <v>45638</v>
      </c>
      <c r="B1736" t="s">
        <v>24</v>
      </c>
      <c r="C1736" s="4">
        <v>118.5</v>
      </c>
      <c r="D1736" s="4">
        <v>302.39999999999998</v>
      </c>
      <c r="E1736" s="4">
        <v>80.2</v>
      </c>
      <c r="F1736" s="4">
        <v>5.0599999999999996</v>
      </c>
      <c r="G1736" s="4">
        <v>21.8</v>
      </c>
      <c r="H1736" s="4">
        <v>2.11</v>
      </c>
      <c r="I1736" s="4">
        <v>28.6</v>
      </c>
      <c r="J1736" s="4">
        <v>67.7</v>
      </c>
      <c r="K1736" s="4">
        <v>2.0699999999999998</v>
      </c>
      <c r="L1736" s="4">
        <v>197.5</v>
      </c>
      <c r="M1736" s="4">
        <v>302.39999999999998</v>
      </c>
      <c r="N1736" s="4">
        <v>100.25</v>
      </c>
      <c r="O1736" s="4">
        <v>12.65</v>
      </c>
      <c r="P1736" s="4">
        <v>54.5</v>
      </c>
      <c r="Q1736" s="4">
        <v>105.5</v>
      </c>
      <c r="R1736" s="4">
        <v>302</v>
      </c>
      <c r="S1736" s="4" t="str" cm="1">
        <f t="array" ref="S1736">_xlfn.IFS($R1736&lt;=50,"Good",$R1736&lt;=100,"Moderate",$R1736&lt;=200,"Poor",$R1736&lt;=300,"Very Poor",$R1736&lt;=500,"Hazardous")</f>
        <v>Hazardous</v>
      </c>
      <c r="T1736" t="s">
        <v>28</v>
      </c>
      <c r="X1736" s="2"/>
      <c r="Y1736" s="2"/>
    </row>
    <row r="1737" spans="1:25" x14ac:dyDescent="0.3">
      <c r="A1737" s="2">
        <v>45639</v>
      </c>
      <c r="B1737" t="s">
        <v>20</v>
      </c>
      <c r="C1737" s="4">
        <v>146.19999999999999</v>
      </c>
      <c r="D1737" s="4">
        <v>178.1</v>
      </c>
      <c r="E1737" s="4">
        <v>115.6</v>
      </c>
      <c r="F1737" s="4">
        <v>37.97</v>
      </c>
      <c r="G1737" s="4">
        <v>32.1</v>
      </c>
      <c r="H1737" s="4">
        <v>3.09</v>
      </c>
      <c r="I1737" s="4">
        <v>14.8</v>
      </c>
      <c r="J1737" s="4">
        <v>58</v>
      </c>
      <c r="K1737" s="4">
        <v>2.54</v>
      </c>
      <c r="L1737" s="4">
        <v>243.6666666666666</v>
      </c>
      <c r="M1737" s="4">
        <v>178.1</v>
      </c>
      <c r="N1737" s="4">
        <v>144.5</v>
      </c>
      <c r="O1737" s="4">
        <v>94.924999999999997</v>
      </c>
      <c r="P1737" s="4">
        <v>80.25</v>
      </c>
      <c r="Q1737" s="4">
        <v>154.5</v>
      </c>
      <c r="R1737" s="4">
        <v>244</v>
      </c>
      <c r="S1737" s="4" t="str" cm="1">
        <f t="array" ref="S1737">_xlfn.IFS($R1737&lt;=50,"Good",$R1737&lt;=100,"Moderate",$R1737&lt;=200,"Poor",$R1737&lt;=300,"Very Poor",$R1737&lt;=500,"Hazardous")</f>
        <v>Very Poor</v>
      </c>
      <c r="T1737" t="s">
        <v>25</v>
      </c>
      <c r="X1737" s="2"/>
      <c r="Y1737" s="2"/>
    </row>
    <row r="1738" spans="1:25" x14ac:dyDescent="0.3">
      <c r="A1738" s="2">
        <v>45639</v>
      </c>
      <c r="B1738" t="s">
        <v>21</v>
      </c>
      <c r="C1738" s="4">
        <v>108.4</v>
      </c>
      <c r="D1738" s="4">
        <v>535.6</v>
      </c>
      <c r="E1738" s="4">
        <v>77.7</v>
      </c>
      <c r="F1738" s="4">
        <v>21.87</v>
      </c>
      <c r="G1738" s="4">
        <v>1</v>
      </c>
      <c r="H1738" s="4">
        <v>2.92</v>
      </c>
      <c r="I1738" s="4">
        <v>28</v>
      </c>
      <c r="J1738" s="4">
        <v>50.5</v>
      </c>
      <c r="K1738" s="4">
        <v>0.2</v>
      </c>
      <c r="L1738" s="4">
        <v>180.66666666666671</v>
      </c>
      <c r="M1738" s="4">
        <v>500</v>
      </c>
      <c r="N1738" s="4">
        <v>97.125</v>
      </c>
      <c r="O1738" s="4">
        <v>54.674999999999997</v>
      </c>
      <c r="P1738" s="4">
        <v>2.5</v>
      </c>
      <c r="Q1738" s="4">
        <v>146</v>
      </c>
      <c r="R1738" s="4">
        <v>500</v>
      </c>
      <c r="S1738" s="4" t="str" cm="1">
        <f t="array" ref="S1738">_xlfn.IFS($R1738&lt;=50,"Good",$R1738&lt;=100,"Moderate",$R1738&lt;=200,"Poor",$R1738&lt;=300,"Very Poor",$R1738&lt;=500,"Hazardous")</f>
        <v>Hazardous</v>
      </c>
      <c r="T1738" t="s">
        <v>28</v>
      </c>
      <c r="X1738" s="2"/>
      <c r="Y1738" s="2"/>
    </row>
    <row r="1739" spans="1:25" x14ac:dyDescent="0.3">
      <c r="A1739" s="2">
        <v>45639</v>
      </c>
      <c r="B1739" t="s">
        <v>22</v>
      </c>
      <c r="C1739" s="4">
        <v>89.4</v>
      </c>
      <c r="D1739" s="4">
        <v>184</v>
      </c>
      <c r="E1739" s="4">
        <v>90.4</v>
      </c>
      <c r="F1739" s="4">
        <v>27.44</v>
      </c>
      <c r="G1739" s="4">
        <v>26.1</v>
      </c>
      <c r="H1739" s="4">
        <v>1.04</v>
      </c>
      <c r="I1739" s="4">
        <v>11.8</v>
      </c>
      <c r="J1739" s="4">
        <v>63.6</v>
      </c>
      <c r="K1739" s="4">
        <v>3.08</v>
      </c>
      <c r="L1739" s="4">
        <v>149</v>
      </c>
      <c r="M1739" s="4">
        <v>184</v>
      </c>
      <c r="N1739" s="4">
        <v>113</v>
      </c>
      <c r="O1739" s="4">
        <v>68.600000000000009</v>
      </c>
      <c r="P1739" s="4">
        <v>65.25</v>
      </c>
      <c r="Q1739" s="4">
        <v>52.000000000000007</v>
      </c>
      <c r="R1739" s="4">
        <v>184</v>
      </c>
      <c r="S1739" s="4" t="str" cm="1">
        <f t="array" ref="S1739">_xlfn.IFS($R1739&lt;=50,"Good",$R1739&lt;=100,"Moderate",$R1739&lt;=200,"Poor",$R1739&lt;=300,"Very Poor",$R1739&lt;=500,"Hazardous")</f>
        <v>Poor</v>
      </c>
      <c r="T1739" t="s">
        <v>28</v>
      </c>
      <c r="X1739" s="2"/>
      <c r="Y1739" s="2"/>
    </row>
    <row r="1740" spans="1:25" x14ac:dyDescent="0.3">
      <c r="A1740" s="2">
        <v>45639</v>
      </c>
      <c r="B1740" t="s">
        <v>23</v>
      </c>
      <c r="C1740" s="4">
        <v>69.8</v>
      </c>
      <c r="D1740" s="4">
        <v>266.8</v>
      </c>
      <c r="E1740" s="4">
        <v>86.9</v>
      </c>
      <c r="F1740" s="4">
        <v>13.15</v>
      </c>
      <c r="G1740" s="4">
        <v>15.7</v>
      </c>
      <c r="H1740" s="4">
        <v>1.46</v>
      </c>
      <c r="I1740" s="4">
        <v>3</v>
      </c>
      <c r="J1740" s="4">
        <v>64.2</v>
      </c>
      <c r="K1740" s="4">
        <v>2.5299999999999998</v>
      </c>
      <c r="L1740" s="4">
        <v>116.3333333333333</v>
      </c>
      <c r="M1740" s="4">
        <v>266.8</v>
      </c>
      <c r="N1740" s="4">
        <v>108.625</v>
      </c>
      <c r="O1740" s="4">
        <v>32.875</v>
      </c>
      <c r="P1740" s="4">
        <v>39.25</v>
      </c>
      <c r="Q1740" s="4">
        <v>73</v>
      </c>
      <c r="R1740" s="4">
        <v>267</v>
      </c>
      <c r="S1740" s="4" t="str" cm="1">
        <f t="array" ref="S1740">_xlfn.IFS($R1740&lt;=50,"Good",$R1740&lt;=100,"Moderate",$R1740&lt;=200,"Poor",$R1740&lt;=300,"Very Poor",$R1740&lt;=500,"Hazardous")</f>
        <v>Very Poor</v>
      </c>
      <c r="T1740" t="s">
        <v>28</v>
      </c>
      <c r="X1740" s="2"/>
      <c r="Y1740" s="2"/>
    </row>
    <row r="1741" spans="1:25" x14ac:dyDescent="0.3">
      <c r="A1741" s="2">
        <v>45639</v>
      </c>
      <c r="B1741" t="s">
        <v>24</v>
      </c>
      <c r="C1741" s="4">
        <v>115.6</v>
      </c>
      <c r="D1741" s="4">
        <v>264.5</v>
      </c>
      <c r="E1741" s="4">
        <v>92.8</v>
      </c>
      <c r="F1741" s="4">
        <v>13.11</v>
      </c>
      <c r="G1741" s="4">
        <v>40.799999999999997</v>
      </c>
      <c r="H1741" s="4">
        <v>0.63</v>
      </c>
      <c r="I1741" s="4">
        <v>15.9</v>
      </c>
      <c r="J1741" s="4">
        <v>60.9</v>
      </c>
      <c r="K1741" s="4">
        <v>2.12</v>
      </c>
      <c r="L1741" s="4">
        <v>192.66666666666671</v>
      </c>
      <c r="M1741" s="4">
        <v>264.5</v>
      </c>
      <c r="N1741" s="4">
        <v>116</v>
      </c>
      <c r="O1741" s="4">
        <v>32.774999999999999</v>
      </c>
      <c r="P1741" s="4">
        <v>102</v>
      </c>
      <c r="Q1741" s="4">
        <v>31.5</v>
      </c>
      <c r="R1741" s="4">
        <v>264</v>
      </c>
      <c r="S1741" s="4" t="str" cm="1">
        <f t="array" ref="S1741">_xlfn.IFS($R1741&lt;=50,"Good",$R1741&lt;=100,"Moderate",$R1741&lt;=200,"Poor",$R1741&lt;=300,"Very Poor",$R1741&lt;=500,"Hazardous")</f>
        <v>Very Poor</v>
      </c>
      <c r="T1741" t="s">
        <v>28</v>
      </c>
      <c r="X1741" s="2"/>
      <c r="Y1741" s="2"/>
    </row>
    <row r="1742" spans="1:25" x14ac:dyDescent="0.3">
      <c r="A1742" s="2">
        <v>45640</v>
      </c>
      <c r="B1742" t="s">
        <v>20</v>
      </c>
      <c r="C1742" s="4">
        <v>157.9</v>
      </c>
      <c r="D1742" s="4">
        <v>148.1</v>
      </c>
      <c r="E1742" s="4">
        <v>90.8</v>
      </c>
      <c r="F1742" s="4">
        <v>15.79</v>
      </c>
      <c r="G1742" s="4">
        <v>60.7</v>
      </c>
      <c r="H1742" s="4">
        <v>3.2</v>
      </c>
      <c r="I1742" s="4">
        <v>24.9</v>
      </c>
      <c r="J1742" s="4">
        <v>22.1</v>
      </c>
      <c r="K1742" s="4">
        <v>3.93</v>
      </c>
      <c r="L1742" s="4">
        <v>263.16666666666669</v>
      </c>
      <c r="M1742" s="4">
        <v>148.1</v>
      </c>
      <c r="N1742" s="4">
        <v>113.5</v>
      </c>
      <c r="O1742" s="4">
        <v>39.474999999999987</v>
      </c>
      <c r="P1742" s="4">
        <v>151.75</v>
      </c>
      <c r="Q1742" s="4">
        <v>160</v>
      </c>
      <c r="R1742" s="4">
        <v>263</v>
      </c>
      <c r="S1742" s="4" t="str" cm="1">
        <f t="array" ref="S1742">_xlfn.IFS($R1742&lt;=50,"Good",$R1742&lt;=100,"Moderate",$R1742&lt;=200,"Poor",$R1742&lt;=300,"Very Poor",$R1742&lt;=500,"Hazardous")</f>
        <v>Very Poor</v>
      </c>
      <c r="T1742" t="s">
        <v>25</v>
      </c>
      <c r="X1742" s="2"/>
      <c r="Y1742" s="2"/>
    </row>
    <row r="1743" spans="1:25" x14ac:dyDescent="0.3">
      <c r="A1743" s="2">
        <v>45640</v>
      </c>
      <c r="B1743" t="s">
        <v>21</v>
      </c>
      <c r="C1743" s="4">
        <v>211.6</v>
      </c>
      <c r="D1743" s="4">
        <v>182.1</v>
      </c>
      <c r="E1743" s="4">
        <v>99.5</v>
      </c>
      <c r="F1743" s="4">
        <v>7.09</v>
      </c>
      <c r="G1743" s="4">
        <v>1</v>
      </c>
      <c r="H1743" s="4">
        <v>1.51</v>
      </c>
      <c r="I1743" s="4">
        <v>16.2</v>
      </c>
      <c r="J1743" s="4">
        <v>53.6</v>
      </c>
      <c r="K1743" s="4">
        <v>1.35</v>
      </c>
      <c r="L1743" s="4">
        <v>352.66666666666669</v>
      </c>
      <c r="M1743" s="4">
        <v>182.1</v>
      </c>
      <c r="N1743" s="4">
        <v>124.375</v>
      </c>
      <c r="O1743" s="4">
        <v>17.725000000000001</v>
      </c>
      <c r="P1743" s="4">
        <v>2.5</v>
      </c>
      <c r="Q1743" s="4">
        <v>75.5</v>
      </c>
      <c r="R1743" s="4">
        <v>353</v>
      </c>
      <c r="S1743" s="4" t="str" cm="1">
        <f t="array" ref="S1743">_xlfn.IFS($R1743&lt;=50,"Good",$R1743&lt;=100,"Moderate",$R1743&lt;=200,"Poor",$R1743&lt;=300,"Very Poor",$R1743&lt;=500,"Hazardous")</f>
        <v>Hazardous</v>
      </c>
      <c r="T1743" t="s">
        <v>25</v>
      </c>
      <c r="X1743" s="2"/>
      <c r="Y1743" s="2"/>
    </row>
    <row r="1744" spans="1:25" x14ac:dyDescent="0.3">
      <c r="A1744" s="2">
        <v>45640</v>
      </c>
      <c r="B1744" t="s">
        <v>22</v>
      </c>
      <c r="C1744" s="4">
        <v>57.8</v>
      </c>
      <c r="D1744" s="4">
        <v>181.4</v>
      </c>
      <c r="E1744" s="4">
        <v>45</v>
      </c>
      <c r="F1744" s="4">
        <v>16.29</v>
      </c>
      <c r="G1744" s="4">
        <v>48.8</v>
      </c>
      <c r="H1744" s="4">
        <v>3.99</v>
      </c>
      <c r="I1744" s="4">
        <v>27.9</v>
      </c>
      <c r="J1744" s="4">
        <v>64.400000000000006</v>
      </c>
      <c r="K1744" s="4">
        <v>1.76</v>
      </c>
      <c r="L1744" s="4">
        <v>96.333333333333329</v>
      </c>
      <c r="M1744" s="4">
        <v>181.4</v>
      </c>
      <c r="N1744" s="4">
        <v>56.25</v>
      </c>
      <c r="O1744" s="4">
        <v>40.724999999999987</v>
      </c>
      <c r="P1744" s="4">
        <v>122</v>
      </c>
      <c r="Q1744" s="4">
        <v>199.5</v>
      </c>
      <c r="R1744" s="4">
        <v>200</v>
      </c>
      <c r="S1744" s="4" t="str" cm="1">
        <f t="array" ref="S1744">_xlfn.IFS($R1744&lt;=50,"Good",$R1744&lt;=100,"Moderate",$R1744&lt;=200,"Poor",$R1744&lt;=300,"Very Poor",$R1744&lt;=500,"Hazardous")</f>
        <v>Poor</v>
      </c>
      <c r="T1744" t="s">
        <v>29</v>
      </c>
      <c r="X1744" s="2"/>
      <c r="Y1744" s="2"/>
    </row>
    <row r="1745" spans="1:25" x14ac:dyDescent="0.3">
      <c r="A1745" s="2">
        <v>45640</v>
      </c>
      <c r="B1745" t="s">
        <v>23</v>
      </c>
      <c r="C1745" s="4">
        <v>110.1</v>
      </c>
      <c r="D1745" s="4">
        <v>223.4</v>
      </c>
      <c r="E1745" s="4">
        <v>55.6</v>
      </c>
      <c r="F1745" s="4">
        <v>19.07</v>
      </c>
      <c r="G1745" s="4">
        <v>4.5</v>
      </c>
      <c r="H1745" s="4">
        <v>1.69</v>
      </c>
      <c r="I1745" s="4">
        <v>23.9</v>
      </c>
      <c r="J1745" s="4">
        <v>54.8</v>
      </c>
      <c r="K1745" s="4">
        <v>2.25</v>
      </c>
      <c r="L1745" s="4">
        <v>183.5</v>
      </c>
      <c r="M1745" s="4">
        <v>223.4</v>
      </c>
      <c r="N1745" s="4">
        <v>69.5</v>
      </c>
      <c r="O1745" s="4">
        <v>47.674999999999997</v>
      </c>
      <c r="P1745" s="4">
        <v>11.25</v>
      </c>
      <c r="Q1745" s="4">
        <v>84.499999999999986</v>
      </c>
      <c r="R1745" s="4">
        <v>223</v>
      </c>
      <c r="S1745" s="4" t="str" cm="1">
        <f t="array" ref="S1745">_xlfn.IFS($R1745&lt;=50,"Good",$R1745&lt;=100,"Moderate",$R1745&lt;=200,"Poor",$R1745&lt;=300,"Very Poor",$R1745&lt;=500,"Hazardous")</f>
        <v>Very Poor</v>
      </c>
      <c r="T1745" t="s">
        <v>28</v>
      </c>
      <c r="X1745" s="2"/>
      <c r="Y1745" s="2"/>
    </row>
    <row r="1746" spans="1:25" x14ac:dyDescent="0.3">
      <c r="A1746" s="2">
        <v>45640</v>
      </c>
      <c r="B1746" t="s">
        <v>24</v>
      </c>
      <c r="C1746" s="4">
        <v>98.3</v>
      </c>
      <c r="D1746" s="4">
        <v>123</v>
      </c>
      <c r="E1746" s="4">
        <v>120.5</v>
      </c>
      <c r="F1746" s="4">
        <v>5.12</v>
      </c>
      <c r="G1746" s="4">
        <v>47.5</v>
      </c>
      <c r="H1746" s="4">
        <v>2.5499999999999998</v>
      </c>
      <c r="I1746" s="4">
        <v>13.4</v>
      </c>
      <c r="J1746" s="4">
        <v>61.3</v>
      </c>
      <c r="K1746" s="4">
        <v>1.91</v>
      </c>
      <c r="L1746" s="4">
        <v>163.83333333333329</v>
      </c>
      <c r="M1746" s="4">
        <v>123</v>
      </c>
      <c r="N1746" s="4">
        <v>150.625</v>
      </c>
      <c r="O1746" s="4">
        <v>12.8</v>
      </c>
      <c r="P1746" s="4">
        <v>118.75</v>
      </c>
      <c r="Q1746" s="4">
        <v>127.5</v>
      </c>
      <c r="R1746" s="4">
        <v>164</v>
      </c>
      <c r="S1746" s="4" t="str" cm="1">
        <f t="array" ref="S1746">_xlfn.IFS($R1746&lt;=50,"Good",$R1746&lt;=100,"Moderate",$R1746&lt;=200,"Poor",$R1746&lt;=300,"Very Poor",$R1746&lt;=500,"Hazardous")</f>
        <v>Poor</v>
      </c>
      <c r="T1746" t="s">
        <v>25</v>
      </c>
      <c r="X1746" s="2"/>
      <c r="Y1746" s="2"/>
    </row>
    <row r="1747" spans="1:25" x14ac:dyDescent="0.3">
      <c r="A1747" s="2">
        <v>45641</v>
      </c>
      <c r="B1747" t="s">
        <v>20</v>
      </c>
      <c r="C1747" s="4">
        <v>187.2</v>
      </c>
      <c r="D1747" s="4">
        <v>95.1</v>
      </c>
      <c r="E1747" s="4">
        <v>58.7</v>
      </c>
      <c r="F1747" s="4">
        <v>3.46</v>
      </c>
      <c r="G1747" s="4">
        <v>6.3</v>
      </c>
      <c r="H1747" s="4">
        <v>3.96</v>
      </c>
      <c r="I1747" s="4">
        <v>23.8</v>
      </c>
      <c r="J1747" s="4">
        <v>62.5</v>
      </c>
      <c r="K1747" s="4">
        <v>1.71</v>
      </c>
      <c r="L1747" s="4">
        <v>312</v>
      </c>
      <c r="M1747" s="4">
        <v>95.1</v>
      </c>
      <c r="N1747" s="4">
        <v>73.375000000000014</v>
      </c>
      <c r="O1747" s="4">
        <v>8.65</v>
      </c>
      <c r="P1747" s="4">
        <v>15.75</v>
      </c>
      <c r="Q1747" s="4">
        <v>198</v>
      </c>
      <c r="R1747" s="4">
        <v>312</v>
      </c>
      <c r="S1747" s="4" t="str" cm="1">
        <f t="array" ref="S1747">_xlfn.IFS($R1747&lt;=50,"Good",$R1747&lt;=100,"Moderate",$R1747&lt;=200,"Poor",$R1747&lt;=300,"Very Poor",$R1747&lt;=500,"Hazardous")</f>
        <v>Hazardous</v>
      </c>
      <c r="T1747" t="s">
        <v>25</v>
      </c>
      <c r="X1747" s="2"/>
      <c r="Y1747" s="2"/>
    </row>
    <row r="1748" spans="1:25" x14ac:dyDescent="0.3">
      <c r="A1748" s="2">
        <v>45641</v>
      </c>
      <c r="B1748" t="s">
        <v>21</v>
      </c>
      <c r="C1748" s="4">
        <v>174.5</v>
      </c>
      <c r="D1748" s="4">
        <v>141.1</v>
      </c>
      <c r="E1748" s="4">
        <v>121.7</v>
      </c>
      <c r="F1748" s="4">
        <v>7.27</v>
      </c>
      <c r="G1748" s="4">
        <v>26.9</v>
      </c>
      <c r="H1748" s="4">
        <v>3.31</v>
      </c>
      <c r="I1748" s="4">
        <v>26</v>
      </c>
      <c r="J1748" s="4">
        <v>70.8</v>
      </c>
      <c r="K1748" s="4">
        <v>1.24</v>
      </c>
      <c r="L1748" s="4">
        <v>290.83333333333331</v>
      </c>
      <c r="M1748" s="4">
        <v>141.1</v>
      </c>
      <c r="N1748" s="4">
        <v>152.125</v>
      </c>
      <c r="O1748" s="4">
        <v>18.175000000000001</v>
      </c>
      <c r="P1748" s="4">
        <v>67.249999999999986</v>
      </c>
      <c r="Q1748" s="4">
        <v>165.5</v>
      </c>
      <c r="R1748" s="4">
        <v>291</v>
      </c>
      <c r="S1748" s="4" t="str" cm="1">
        <f t="array" ref="S1748">_xlfn.IFS($R1748&lt;=50,"Good",$R1748&lt;=100,"Moderate",$R1748&lt;=200,"Poor",$R1748&lt;=300,"Very Poor",$R1748&lt;=500,"Hazardous")</f>
        <v>Very Poor</v>
      </c>
      <c r="T1748" t="s">
        <v>25</v>
      </c>
      <c r="X1748" s="2"/>
      <c r="Y1748" s="2"/>
    </row>
    <row r="1749" spans="1:25" x14ac:dyDescent="0.3">
      <c r="A1749" s="2">
        <v>45641</v>
      </c>
      <c r="B1749" t="s">
        <v>22</v>
      </c>
      <c r="C1749" s="4">
        <v>70.8</v>
      </c>
      <c r="D1749" s="4">
        <v>196.7</v>
      </c>
      <c r="E1749" s="4">
        <v>42.6</v>
      </c>
      <c r="F1749" s="4">
        <v>22.58</v>
      </c>
      <c r="G1749" s="4">
        <v>1</v>
      </c>
      <c r="H1749" s="4">
        <v>1.1100000000000001</v>
      </c>
      <c r="I1749" s="4">
        <v>16.399999999999999</v>
      </c>
      <c r="J1749" s="4">
        <v>10</v>
      </c>
      <c r="K1749" s="4">
        <v>0.82</v>
      </c>
      <c r="L1749" s="4">
        <v>118</v>
      </c>
      <c r="M1749" s="4">
        <v>196.7</v>
      </c>
      <c r="N1749" s="4">
        <v>53.25</v>
      </c>
      <c r="O1749" s="4">
        <v>56.45</v>
      </c>
      <c r="P1749" s="4">
        <v>2.5</v>
      </c>
      <c r="Q1749" s="4">
        <v>55.500000000000007</v>
      </c>
      <c r="R1749" s="4">
        <v>197</v>
      </c>
      <c r="S1749" s="4" t="str" cm="1">
        <f t="array" ref="S1749">_xlfn.IFS($R1749&lt;=50,"Good",$R1749&lt;=100,"Moderate",$R1749&lt;=200,"Poor",$R1749&lt;=300,"Very Poor",$R1749&lt;=500,"Hazardous")</f>
        <v>Poor</v>
      </c>
      <c r="T1749" t="s">
        <v>28</v>
      </c>
      <c r="X1749" s="2"/>
      <c r="Y1749" s="2"/>
    </row>
    <row r="1750" spans="1:25" x14ac:dyDescent="0.3">
      <c r="A1750" s="2">
        <v>45641</v>
      </c>
      <c r="B1750" t="s">
        <v>23</v>
      </c>
      <c r="C1750" s="4">
        <v>126</v>
      </c>
      <c r="D1750" s="4">
        <v>194.9</v>
      </c>
      <c r="E1750" s="4">
        <v>122.3</v>
      </c>
      <c r="F1750" s="4">
        <v>25.16</v>
      </c>
      <c r="G1750" s="4">
        <v>45.7</v>
      </c>
      <c r="H1750" s="4">
        <v>2.2200000000000002</v>
      </c>
      <c r="I1750" s="4">
        <v>20.5</v>
      </c>
      <c r="J1750" s="4">
        <v>12.2</v>
      </c>
      <c r="K1750" s="4">
        <v>0.83</v>
      </c>
      <c r="L1750" s="4">
        <v>210</v>
      </c>
      <c r="M1750" s="4">
        <v>194.9</v>
      </c>
      <c r="N1750" s="4">
        <v>152.875</v>
      </c>
      <c r="O1750" s="4">
        <v>62.9</v>
      </c>
      <c r="P1750" s="4">
        <v>114.25</v>
      </c>
      <c r="Q1750" s="4">
        <v>111</v>
      </c>
      <c r="R1750" s="4">
        <v>210</v>
      </c>
      <c r="S1750" s="4" t="str" cm="1">
        <f t="array" ref="S1750">_xlfn.IFS($R1750&lt;=50,"Good",$R1750&lt;=100,"Moderate",$R1750&lt;=200,"Poor",$R1750&lt;=300,"Very Poor",$R1750&lt;=500,"Hazardous")</f>
        <v>Very Poor</v>
      </c>
      <c r="T1750" t="s">
        <v>25</v>
      </c>
      <c r="X1750" s="2"/>
      <c r="Y1750" s="2"/>
    </row>
    <row r="1751" spans="1:25" x14ac:dyDescent="0.3">
      <c r="A1751" s="2">
        <v>45641</v>
      </c>
      <c r="B1751" t="s">
        <v>24</v>
      </c>
      <c r="C1751" s="4">
        <v>110.9</v>
      </c>
      <c r="D1751" s="4">
        <v>276.3</v>
      </c>
      <c r="E1751" s="4">
        <v>89.4</v>
      </c>
      <c r="F1751" s="4">
        <v>6.23</v>
      </c>
      <c r="G1751" s="4">
        <v>62.8</v>
      </c>
      <c r="H1751" s="4">
        <v>3.68</v>
      </c>
      <c r="I1751" s="4">
        <v>26.6</v>
      </c>
      <c r="J1751" s="4">
        <v>77.8</v>
      </c>
      <c r="K1751" s="4">
        <v>2.33</v>
      </c>
      <c r="L1751" s="4">
        <v>184.83333333333329</v>
      </c>
      <c r="M1751" s="4">
        <v>276.3</v>
      </c>
      <c r="N1751" s="4">
        <v>111.75</v>
      </c>
      <c r="O1751" s="4">
        <v>15.574999999999999</v>
      </c>
      <c r="P1751" s="4">
        <v>157</v>
      </c>
      <c r="Q1751" s="4">
        <v>184</v>
      </c>
      <c r="R1751" s="4">
        <v>276</v>
      </c>
      <c r="S1751" s="4" t="str" cm="1">
        <f t="array" ref="S1751">_xlfn.IFS($R1751&lt;=50,"Good",$R1751&lt;=100,"Moderate",$R1751&lt;=200,"Poor",$R1751&lt;=300,"Very Poor",$R1751&lt;=500,"Hazardous")</f>
        <v>Very Poor</v>
      </c>
      <c r="T1751" t="s">
        <v>28</v>
      </c>
      <c r="X1751" s="2"/>
      <c r="Y1751" s="2"/>
    </row>
    <row r="1752" spans="1:25" x14ac:dyDescent="0.3">
      <c r="A1752" s="2">
        <v>45642</v>
      </c>
      <c r="B1752" t="s">
        <v>20</v>
      </c>
      <c r="C1752" s="4">
        <v>169.8</v>
      </c>
      <c r="D1752" s="4">
        <v>236.9</v>
      </c>
      <c r="E1752" s="4">
        <v>101.6</v>
      </c>
      <c r="F1752" s="4">
        <v>18.079999999999998</v>
      </c>
      <c r="G1752" s="4">
        <v>38.299999999999997</v>
      </c>
      <c r="H1752" s="4">
        <v>1.26</v>
      </c>
      <c r="I1752" s="4">
        <v>19.399999999999999</v>
      </c>
      <c r="J1752" s="4">
        <v>77.8</v>
      </c>
      <c r="K1752" s="4">
        <v>1.97</v>
      </c>
      <c r="L1752" s="4">
        <v>283.00000000000011</v>
      </c>
      <c r="M1752" s="4">
        <v>236.9</v>
      </c>
      <c r="N1752" s="4">
        <v>127</v>
      </c>
      <c r="O1752" s="4">
        <v>45.2</v>
      </c>
      <c r="P1752" s="4">
        <v>95.749999999999986</v>
      </c>
      <c r="Q1752" s="4">
        <v>63</v>
      </c>
      <c r="R1752" s="4">
        <v>283</v>
      </c>
      <c r="S1752" s="4" t="str" cm="1">
        <f t="array" ref="S1752">_xlfn.IFS($R1752&lt;=50,"Good",$R1752&lt;=100,"Moderate",$R1752&lt;=200,"Poor",$R1752&lt;=300,"Very Poor",$R1752&lt;=500,"Hazardous")</f>
        <v>Very Poor</v>
      </c>
      <c r="T1752" t="s">
        <v>25</v>
      </c>
      <c r="X1752" s="2"/>
      <c r="Y1752" s="2"/>
    </row>
    <row r="1753" spans="1:25" x14ac:dyDescent="0.3">
      <c r="A1753" s="2">
        <v>45642</v>
      </c>
      <c r="B1753" t="s">
        <v>21</v>
      </c>
      <c r="C1753" s="4">
        <v>173.6</v>
      </c>
      <c r="D1753" s="4">
        <v>328.4</v>
      </c>
      <c r="E1753" s="4">
        <v>78</v>
      </c>
      <c r="F1753" s="4">
        <v>29.89</v>
      </c>
      <c r="G1753" s="4">
        <v>35</v>
      </c>
      <c r="H1753" s="4">
        <v>4.21</v>
      </c>
      <c r="I1753" s="4">
        <v>23</v>
      </c>
      <c r="J1753" s="4">
        <v>59.7</v>
      </c>
      <c r="K1753" s="4">
        <v>1.43</v>
      </c>
      <c r="L1753" s="4">
        <v>289.33333333333331</v>
      </c>
      <c r="M1753" s="4">
        <v>328.4</v>
      </c>
      <c r="N1753" s="4">
        <v>97.5</v>
      </c>
      <c r="O1753" s="4">
        <v>74.724999999999994</v>
      </c>
      <c r="P1753" s="4">
        <v>87.5</v>
      </c>
      <c r="Q1753" s="4">
        <v>210.5</v>
      </c>
      <c r="R1753" s="4">
        <v>328</v>
      </c>
      <c r="S1753" s="4" t="str" cm="1">
        <f t="array" ref="S1753">_xlfn.IFS($R1753&lt;=50,"Good",$R1753&lt;=100,"Moderate",$R1753&lt;=200,"Poor",$R1753&lt;=300,"Very Poor",$R1753&lt;=500,"Hazardous")</f>
        <v>Hazardous</v>
      </c>
      <c r="T1753" t="s">
        <v>28</v>
      </c>
      <c r="X1753" s="2"/>
      <c r="Y1753" s="2"/>
    </row>
    <row r="1754" spans="1:25" x14ac:dyDescent="0.3">
      <c r="A1754" s="2">
        <v>45642</v>
      </c>
      <c r="B1754" t="s">
        <v>22</v>
      </c>
      <c r="C1754" s="4">
        <v>87.2</v>
      </c>
      <c r="D1754" s="4">
        <v>163.80000000000001</v>
      </c>
      <c r="E1754" s="4">
        <v>30.1</v>
      </c>
      <c r="F1754" s="4">
        <v>10.51</v>
      </c>
      <c r="G1754" s="4">
        <v>17</v>
      </c>
      <c r="H1754" s="4">
        <v>2.36</v>
      </c>
      <c r="I1754" s="4">
        <v>29.1</v>
      </c>
      <c r="J1754" s="4">
        <v>37.9</v>
      </c>
      <c r="K1754" s="4">
        <v>4.55</v>
      </c>
      <c r="L1754" s="4">
        <v>145.33333333333329</v>
      </c>
      <c r="M1754" s="4">
        <v>163.80000000000001</v>
      </c>
      <c r="N1754" s="4">
        <v>37.625</v>
      </c>
      <c r="O1754" s="4">
        <v>26.274999999999999</v>
      </c>
      <c r="P1754" s="4">
        <v>42.5</v>
      </c>
      <c r="Q1754" s="4">
        <v>118</v>
      </c>
      <c r="R1754" s="4">
        <v>164</v>
      </c>
      <c r="S1754" s="4" t="str" cm="1">
        <f t="array" ref="S1754">_xlfn.IFS($R1754&lt;=50,"Good",$R1754&lt;=100,"Moderate",$R1754&lt;=200,"Poor",$R1754&lt;=300,"Very Poor",$R1754&lt;=500,"Hazardous")</f>
        <v>Poor</v>
      </c>
      <c r="T1754" t="s">
        <v>28</v>
      </c>
      <c r="X1754" s="2"/>
      <c r="Y1754" s="2"/>
    </row>
    <row r="1755" spans="1:25" x14ac:dyDescent="0.3">
      <c r="A1755" s="2">
        <v>45642</v>
      </c>
      <c r="B1755" t="s">
        <v>23</v>
      </c>
      <c r="C1755" s="4">
        <v>89.8</v>
      </c>
      <c r="D1755" s="4">
        <v>98.4</v>
      </c>
      <c r="E1755" s="4">
        <v>96.2</v>
      </c>
      <c r="F1755" s="4">
        <v>9.23</v>
      </c>
      <c r="G1755" s="4">
        <v>34.200000000000003</v>
      </c>
      <c r="H1755" s="4">
        <v>1.53</v>
      </c>
      <c r="I1755" s="4">
        <v>14.3</v>
      </c>
      <c r="J1755" s="4">
        <v>73</v>
      </c>
      <c r="K1755" s="4">
        <v>2.16</v>
      </c>
      <c r="L1755" s="4">
        <v>149.66666666666671</v>
      </c>
      <c r="M1755" s="4">
        <v>98.4</v>
      </c>
      <c r="N1755" s="4">
        <v>120.25</v>
      </c>
      <c r="O1755" s="4">
        <v>23.074999999999999</v>
      </c>
      <c r="P1755" s="4">
        <v>85.5</v>
      </c>
      <c r="Q1755" s="4">
        <v>76.5</v>
      </c>
      <c r="R1755" s="4">
        <v>150</v>
      </c>
      <c r="S1755" s="4" t="str" cm="1">
        <f t="array" ref="S1755">_xlfn.IFS($R1755&lt;=50,"Good",$R1755&lt;=100,"Moderate",$R1755&lt;=200,"Poor",$R1755&lt;=300,"Very Poor",$R1755&lt;=500,"Hazardous")</f>
        <v>Poor</v>
      </c>
      <c r="T1755" t="s">
        <v>25</v>
      </c>
      <c r="X1755" s="2"/>
      <c r="Y1755" s="2"/>
    </row>
    <row r="1756" spans="1:25" x14ac:dyDescent="0.3">
      <c r="A1756" s="2">
        <v>45642</v>
      </c>
      <c r="B1756" t="s">
        <v>24</v>
      </c>
      <c r="C1756" s="4">
        <v>29.7</v>
      </c>
      <c r="D1756" s="4">
        <v>269.39999999999998</v>
      </c>
      <c r="E1756" s="4">
        <v>36.799999999999997</v>
      </c>
      <c r="F1756" s="4">
        <v>3.93</v>
      </c>
      <c r="G1756" s="4">
        <v>69.099999999999994</v>
      </c>
      <c r="H1756" s="4">
        <v>0.85</v>
      </c>
      <c r="I1756" s="4">
        <v>3.8</v>
      </c>
      <c r="J1756" s="4">
        <v>71.2</v>
      </c>
      <c r="K1756" s="4">
        <v>2.64</v>
      </c>
      <c r="L1756" s="4">
        <v>49.499999999999993</v>
      </c>
      <c r="M1756" s="4">
        <v>269.39999999999998</v>
      </c>
      <c r="N1756" s="4">
        <v>46</v>
      </c>
      <c r="O1756" s="4">
        <v>9.8250000000000011</v>
      </c>
      <c r="P1756" s="4">
        <v>172.75</v>
      </c>
      <c r="Q1756" s="4">
        <v>42.499999999999993</v>
      </c>
      <c r="R1756" s="4">
        <v>269</v>
      </c>
      <c r="S1756" s="4" t="str" cm="1">
        <f t="array" ref="S1756">_xlfn.IFS($R1756&lt;=50,"Good",$R1756&lt;=100,"Moderate",$R1756&lt;=200,"Poor",$R1756&lt;=300,"Very Poor",$R1756&lt;=500,"Hazardous")</f>
        <v>Very Poor</v>
      </c>
      <c r="T1756" t="s">
        <v>28</v>
      </c>
      <c r="X1756" s="2"/>
      <c r="Y1756" s="2"/>
    </row>
    <row r="1757" spans="1:25" x14ac:dyDescent="0.3">
      <c r="A1757" s="2">
        <v>45643</v>
      </c>
      <c r="B1757" t="s">
        <v>20</v>
      </c>
      <c r="C1757" s="4">
        <v>98.4</v>
      </c>
      <c r="D1757" s="4">
        <v>186.1</v>
      </c>
      <c r="E1757" s="4">
        <v>91.3</v>
      </c>
      <c r="F1757" s="4">
        <v>7.79</v>
      </c>
      <c r="G1757" s="4">
        <v>79.599999999999994</v>
      </c>
      <c r="H1757" s="4">
        <v>0.57999999999999996</v>
      </c>
      <c r="I1757" s="4">
        <v>23.1</v>
      </c>
      <c r="J1757" s="4">
        <v>71.599999999999994</v>
      </c>
      <c r="K1757" s="4">
        <v>1.59</v>
      </c>
      <c r="L1757" s="4">
        <v>164</v>
      </c>
      <c r="M1757" s="4">
        <v>186.1</v>
      </c>
      <c r="N1757" s="4">
        <v>114.125</v>
      </c>
      <c r="O1757" s="4">
        <v>19.475000000000001</v>
      </c>
      <c r="P1757" s="4">
        <v>199</v>
      </c>
      <c r="Q1757" s="4">
        <v>29</v>
      </c>
      <c r="R1757" s="4">
        <v>199</v>
      </c>
      <c r="S1757" s="4" t="str" cm="1">
        <f t="array" ref="S1757">_xlfn.IFS($R1757&lt;=50,"Good",$R1757&lt;=100,"Moderate",$R1757&lt;=200,"Poor",$R1757&lt;=300,"Very Poor",$R1757&lt;=500,"Hazardous")</f>
        <v>Poor</v>
      </c>
      <c r="T1757" t="s">
        <v>27</v>
      </c>
      <c r="X1757" s="2"/>
      <c r="Y1757" s="2"/>
    </row>
    <row r="1758" spans="1:25" x14ac:dyDescent="0.3">
      <c r="A1758" s="2">
        <v>45643</v>
      </c>
      <c r="B1758" t="s">
        <v>21</v>
      </c>
      <c r="C1758" s="4">
        <v>58.6</v>
      </c>
      <c r="D1758" s="4">
        <v>362.1</v>
      </c>
      <c r="E1758" s="4">
        <v>50.4</v>
      </c>
      <c r="F1758" s="4">
        <v>9.93</v>
      </c>
      <c r="G1758" s="4">
        <v>70</v>
      </c>
      <c r="H1758" s="4">
        <v>2.44</v>
      </c>
      <c r="I1758" s="4">
        <v>7.4</v>
      </c>
      <c r="J1758" s="4">
        <v>91.4</v>
      </c>
      <c r="K1758" s="4">
        <v>1.86</v>
      </c>
      <c r="L1758" s="4">
        <v>97.666666666666671</v>
      </c>
      <c r="M1758" s="4">
        <v>362.1</v>
      </c>
      <c r="N1758" s="4">
        <v>63</v>
      </c>
      <c r="O1758" s="4">
        <v>24.824999999999999</v>
      </c>
      <c r="P1758" s="4">
        <v>175</v>
      </c>
      <c r="Q1758" s="4">
        <v>122</v>
      </c>
      <c r="R1758" s="4">
        <v>362</v>
      </c>
      <c r="S1758" s="4" t="str" cm="1">
        <f t="array" ref="S1758">_xlfn.IFS($R1758&lt;=50,"Good",$R1758&lt;=100,"Moderate",$R1758&lt;=200,"Poor",$R1758&lt;=300,"Very Poor",$R1758&lt;=500,"Hazardous")</f>
        <v>Hazardous</v>
      </c>
      <c r="T1758" t="s">
        <v>28</v>
      </c>
      <c r="X1758" s="2"/>
      <c r="Y1758" s="2"/>
    </row>
    <row r="1759" spans="1:25" x14ac:dyDescent="0.3">
      <c r="A1759" s="2">
        <v>45643</v>
      </c>
      <c r="B1759" t="s">
        <v>22</v>
      </c>
      <c r="C1759" s="4">
        <v>72.8</v>
      </c>
      <c r="D1759" s="4">
        <v>205.7</v>
      </c>
      <c r="E1759" s="4">
        <v>87.4</v>
      </c>
      <c r="F1759" s="4">
        <v>27.06</v>
      </c>
      <c r="G1759" s="4">
        <v>1</v>
      </c>
      <c r="H1759" s="4">
        <v>2.58</v>
      </c>
      <c r="I1759" s="4">
        <v>25.2</v>
      </c>
      <c r="J1759" s="4">
        <v>57.5</v>
      </c>
      <c r="K1759" s="4">
        <v>3.44</v>
      </c>
      <c r="L1759" s="4">
        <v>121.3333333333333</v>
      </c>
      <c r="M1759" s="4">
        <v>205.7</v>
      </c>
      <c r="N1759" s="4">
        <v>109.25</v>
      </c>
      <c r="O1759" s="4">
        <v>67.650000000000006</v>
      </c>
      <c r="P1759" s="4">
        <v>2.5</v>
      </c>
      <c r="Q1759" s="4">
        <v>129</v>
      </c>
      <c r="R1759" s="4">
        <v>206</v>
      </c>
      <c r="S1759" s="4" t="str" cm="1">
        <f t="array" ref="S1759">_xlfn.IFS($R1759&lt;=50,"Good",$R1759&lt;=100,"Moderate",$R1759&lt;=200,"Poor",$R1759&lt;=300,"Very Poor",$R1759&lt;=500,"Hazardous")</f>
        <v>Very Poor</v>
      </c>
      <c r="T1759" t="s">
        <v>28</v>
      </c>
      <c r="X1759" s="2"/>
      <c r="Y1759" s="2"/>
    </row>
    <row r="1760" spans="1:25" x14ac:dyDescent="0.3">
      <c r="A1760" s="2">
        <v>45643</v>
      </c>
      <c r="B1760" t="s">
        <v>23</v>
      </c>
      <c r="C1760" s="4">
        <v>140.80000000000001</v>
      </c>
      <c r="D1760" s="4">
        <v>59.3</v>
      </c>
      <c r="E1760" s="4">
        <v>128</v>
      </c>
      <c r="F1760" s="4">
        <v>0.5</v>
      </c>
      <c r="G1760" s="4">
        <v>10.5</v>
      </c>
      <c r="H1760" s="4">
        <v>1.67</v>
      </c>
      <c r="I1760" s="4">
        <v>33.5</v>
      </c>
      <c r="J1760" s="4">
        <v>54.5</v>
      </c>
      <c r="K1760" s="4">
        <v>2.46</v>
      </c>
      <c r="L1760" s="4">
        <v>234.66666666666671</v>
      </c>
      <c r="M1760" s="4">
        <v>59.3</v>
      </c>
      <c r="N1760" s="4">
        <v>160</v>
      </c>
      <c r="O1760" s="4">
        <v>1.25</v>
      </c>
      <c r="P1760" s="4">
        <v>26.25</v>
      </c>
      <c r="Q1760" s="4">
        <v>83.499999999999986</v>
      </c>
      <c r="R1760" s="4">
        <v>235</v>
      </c>
      <c r="S1760" s="4" t="str" cm="1">
        <f t="array" ref="S1760">_xlfn.IFS($R1760&lt;=50,"Good",$R1760&lt;=100,"Moderate",$R1760&lt;=200,"Poor",$R1760&lt;=300,"Very Poor",$R1760&lt;=500,"Hazardous")</f>
        <v>Very Poor</v>
      </c>
      <c r="T1760" t="s">
        <v>25</v>
      </c>
      <c r="X1760" s="2"/>
      <c r="Y1760" s="2"/>
    </row>
    <row r="1761" spans="1:25" x14ac:dyDescent="0.3">
      <c r="A1761" s="2">
        <v>45643</v>
      </c>
      <c r="B1761" t="s">
        <v>24</v>
      </c>
      <c r="C1761" s="4">
        <v>181.2</v>
      </c>
      <c r="D1761" s="4">
        <v>179.5</v>
      </c>
      <c r="E1761" s="4">
        <v>37.700000000000003</v>
      </c>
      <c r="F1761" s="4">
        <v>10.41</v>
      </c>
      <c r="G1761" s="4">
        <v>73.5</v>
      </c>
      <c r="H1761" s="4">
        <v>2.19</v>
      </c>
      <c r="I1761" s="4">
        <v>33.5</v>
      </c>
      <c r="J1761" s="4">
        <v>73.3</v>
      </c>
      <c r="K1761" s="4">
        <v>2.23</v>
      </c>
      <c r="L1761" s="4">
        <v>302</v>
      </c>
      <c r="M1761" s="4">
        <v>179.5</v>
      </c>
      <c r="N1761" s="4">
        <v>47.125</v>
      </c>
      <c r="O1761" s="4">
        <v>26.024999999999999</v>
      </c>
      <c r="P1761" s="4">
        <v>183.75</v>
      </c>
      <c r="Q1761" s="4">
        <v>109.5</v>
      </c>
      <c r="R1761" s="4">
        <v>302</v>
      </c>
      <c r="S1761" s="4" t="str" cm="1">
        <f t="array" ref="S1761">_xlfn.IFS($R1761&lt;=50,"Good",$R1761&lt;=100,"Moderate",$R1761&lt;=200,"Poor",$R1761&lt;=300,"Very Poor",$R1761&lt;=500,"Hazardous")</f>
        <v>Hazardous</v>
      </c>
      <c r="T1761" t="s">
        <v>25</v>
      </c>
      <c r="X1761" s="2"/>
      <c r="Y1761" s="2"/>
    </row>
    <row r="1762" spans="1:25" x14ac:dyDescent="0.3">
      <c r="A1762" s="2">
        <v>45644</v>
      </c>
      <c r="B1762" t="s">
        <v>20</v>
      </c>
      <c r="C1762" s="4">
        <v>113.2</v>
      </c>
      <c r="D1762" s="4">
        <v>126.6</v>
      </c>
      <c r="E1762" s="4">
        <v>58.2</v>
      </c>
      <c r="F1762" s="4">
        <v>55.93</v>
      </c>
      <c r="G1762" s="4">
        <v>67.8</v>
      </c>
      <c r="H1762" s="4">
        <v>3.16</v>
      </c>
      <c r="I1762" s="4">
        <v>15.6</v>
      </c>
      <c r="J1762" s="4">
        <v>88.3</v>
      </c>
      <c r="K1762" s="4">
        <v>3.82</v>
      </c>
      <c r="L1762" s="4">
        <v>188.66666666666671</v>
      </c>
      <c r="M1762" s="4">
        <v>126.6</v>
      </c>
      <c r="N1762" s="4">
        <v>72.750000000000014</v>
      </c>
      <c r="O1762" s="4">
        <v>139.82499999999999</v>
      </c>
      <c r="P1762" s="4">
        <v>169.5</v>
      </c>
      <c r="Q1762" s="4">
        <v>158</v>
      </c>
      <c r="R1762" s="4">
        <v>189</v>
      </c>
      <c r="S1762" s="4" t="str" cm="1">
        <f t="array" ref="S1762">_xlfn.IFS($R1762&lt;=50,"Good",$R1762&lt;=100,"Moderate",$R1762&lt;=200,"Poor",$R1762&lt;=300,"Very Poor",$R1762&lt;=500,"Hazardous")</f>
        <v>Poor</v>
      </c>
      <c r="T1762" t="s">
        <v>25</v>
      </c>
      <c r="X1762" s="2"/>
      <c r="Y1762" s="2"/>
    </row>
    <row r="1763" spans="1:25" x14ac:dyDescent="0.3">
      <c r="A1763" s="2">
        <v>45644</v>
      </c>
      <c r="B1763" t="s">
        <v>21</v>
      </c>
      <c r="C1763" s="4">
        <v>232.9</v>
      </c>
      <c r="D1763" s="4">
        <v>460</v>
      </c>
      <c r="E1763" s="4">
        <v>30.8</v>
      </c>
      <c r="F1763" s="4">
        <v>4.9000000000000004</v>
      </c>
      <c r="G1763" s="4">
        <v>16.8</v>
      </c>
      <c r="H1763" s="4">
        <v>1.27</v>
      </c>
      <c r="I1763" s="4">
        <v>22.3</v>
      </c>
      <c r="J1763" s="4">
        <v>49.8</v>
      </c>
      <c r="K1763" s="4">
        <v>4.99</v>
      </c>
      <c r="L1763" s="4">
        <v>388.16666666666669</v>
      </c>
      <c r="M1763" s="4">
        <v>460</v>
      </c>
      <c r="N1763" s="4">
        <v>38.5</v>
      </c>
      <c r="O1763" s="4">
        <v>12.25</v>
      </c>
      <c r="P1763" s="4">
        <v>42</v>
      </c>
      <c r="Q1763" s="4">
        <v>63.5</v>
      </c>
      <c r="R1763" s="4">
        <v>460</v>
      </c>
      <c r="S1763" s="4" t="str" cm="1">
        <f t="array" ref="S1763">_xlfn.IFS($R1763&lt;=50,"Good",$R1763&lt;=100,"Moderate",$R1763&lt;=200,"Poor",$R1763&lt;=300,"Very Poor",$R1763&lt;=500,"Hazardous")</f>
        <v>Hazardous</v>
      </c>
      <c r="T1763" t="s">
        <v>28</v>
      </c>
      <c r="X1763" s="2"/>
      <c r="Y1763" s="2"/>
    </row>
    <row r="1764" spans="1:25" x14ac:dyDescent="0.3">
      <c r="A1764" s="2">
        <v>45644</v>
      </c>
      <c r="B1764" t="s">
        <v>22</v>
      </c>
      <c r="C1764" s="4">
        <v>178.1</v>
      </c>
      <c r="D1764" s="4">
        <v>181.8</v>
      </c>
      <c r="E1764" s="4">
        <v>127.8</v>
      </c>
      <c r="F1764" s="4">
        <v>23.47</v>
      </c>
      <c r="G1764" s="4">
        <v>24.6</v>
      </c>
      <c r="H1764" s="4">
        <v>0.05</v>
      </c>
      <c r="I1764" s="4">
        <v>18.5</v>
      </c>
      <c r="J1764" s="4">
        <v>48.4</v>
      </c>
      <c r="K1764" s="4">
        <v>2.75</v>
      </c>
      <c r="L1764" s="4">
        <v>296.83333333333331</v>
      </c>
      <c r="M1764" s="4">
        <v>181.8</v>
      </c>
      <c r="N1764" s="4">
        <v>159.75</v>
      </c>
      <c r="O1764" s="4">
        <v>58.674999999999997</v>
      </c>
      <c r="P1764" s="4">
        <v>61.500000000000007</v>
      </c>
      <c r="Q1764" s="4">
        <v>2.5</v>
      </c>
      <c r="R1764" s="4">
        <v>297</v>
      </c>
      <c r="S1764" s="4" t="str" cm="1">
        <f t="array" ref="S1764">_xlfn.IFS($R1764&lt;=50,"Good",$R1764&lt;=100,"Moderate",$R1764&lt;=200,"Poor",$R1764&lt;=300,"Very Poor",$R1764&lt;=500,"Hazardous")</f>
        <v>Very Poor</v>
      </c>
      <c r="T1764" t="s">
        <v>25</v>
      </c>
      <c r="X1764" s="2"/>
      <c r="Y1764" s="2"/>
    </row>
    <row r="1765" spans="1:25" x14ac:dyDescent="0.3">
      <c r="A1765" s="2">
        <v>45644</v>
      </c>
      <c r="B1765" t="s">
        <v>23</v>
      </c>
      <c r="C1765" s="4">
        <v>100.3</v>
      </c>
      <c r="D1765" s="4">
        <v>198</v>
      </c>
      <c r="E1765" s="4">
        <v>88.8</v>
      </c>
      <c r="F1765" s="4">
        <v>3.1</v>
      </c>
      <c r="G1765" s="4">
        <v>45.3</v>
      </c>
      <c r="H1765" s="4">
        <v>1.5</v>
      </c>
      <c r="I1765" s="4">
        <v>21.4</v>
      </c>
      <c r="J1765" s="4">
        <v>77.2</v>
      </c>
      <c r="K1765" s="4">
        <v>1.03</v>
      </c>
      <c r="L1765" s="4">
        <v>167.16666666666671</v>
      </c>
      <c r="M1765" s="4">
        <v>198</v>
      </c>
      <c r="N1765" s="4">
        <v>111</v>
      </c>
      <c r="O1765" s="4">
        <v>7.75</v>
      </c>
      <c r="P1765" s="4">
        <v>113.25</v>
      </c>
      <c r="Q1765" s="4">
        <v>75</v>
      </c>
      <c r="R1765" s="4">
        <v>198</v>
      </c>
      <c r="S1765" s="4" t="str" cm="1">
        <f t="array" ref="S1765">_xlfn.IFS($R1765&lt;=50,"Good",$R1765&lt;=100,"Moderate",$R1765&lt;=200,"Poor",$R1765&lt;=300,"Very Poor",$R1765&lt;=500,"Hazardous")</f>
        <v>Poor</v>
      </c>
      <c r="T1765" t="s">
        <v>28</v>
      </c>
      <c r="X1765" s="2"/>
      <c r="Y1765" s="2"/>
    </row>
    <row r="1766" spans="1:25" x14ac:dyDescent="0.3">
      <c r="A1766" s="2">
        <v>45644</v>
      </c>
      <c r="B1766" t="s">
        <v>24</v>
      </c>
      <c r="C1766" s="4">
        <v>90.7</v>
      </c>
      <c r="D1766" s="4">
        <v>198.7</v>
      </c>
      <c r="E1766" s="4">
        <v>61.1</v>
      </c>
      <c r="F1766" s="4">
        <v>22</v>
      </c>
      <c r="G1766" s="4">
        <v>21.8</v>
      </c>
      <c r="H1766" s="4">
        <v>1.53</v>
      </c>
      <c r="I1766" s="4">
        <v>15</v>
      </c>
      <c r="J1766" s="4">
        <v>79.7</v>
      </c>
      <c r="K1766" s="4">
        <v>2.41</v>
      </c>
      <c r="L1766" s="4">
        <v>151.16666666666671</v>
      </c>
      <c r="M1766" s="4">
        <v>198.7</v>
      </c>
      <c r="N1766" s="4">
        <v>76.375</v>
      </c>
      <c r="O1766" s="4">
        <v>55</v>
      </c>
      <c r="P1766" s="4">
        <v>54.5</v>
      </c>
      <c r="Q1766" s="4">
        <v>76.5</v>
      </c>
      <c r="R1766" s="4">
        <v>199</v>
      </c>
      <c r="S1766" s="4" t="str" cm="1">
        <f t="array" ref="S1766">_xlfn.IFS($R1766&lt;=50,"Good",$R1766&lt;=100,"Moderate",$R1766&lt;=200,"Poor",$R1766&lt;=300,"Very Poor",$R1766&lt;=500,"Hazardous")</f>
        <v>Poor</v>
      </c>
      <c r="T1766" t="s">
        <v>28</v>
      </c>
      <c r="X1766" s="2"/>
      <c r="Y1766" s="2"/>
    </row>
    <row r="1767" spans="1:25" x14ac:dyDescent="0.3">
      <c r="A1767" s="2">
        <v>45645</v>
      </c>
      <c r="B1767" t="s">
        <v>20</v>
      </c>
      <c r="C1767" s="4">
        <v>135.80000000000001</v>
      </c>
      <c r="D1767" s="4">
        <v>438.9</v>
      </c>
      <c r="E1767" s="4">
        <v>80</v>
      </c>
      <c r="F1767" s="4">
        <v>24.95</v>
      </c>
      <c r="G1767" s="4">
        <v>84.6</v>
      </c>
      <c r="H1767" s="4">
        <v>3.34</v>
      </c>
      <c r="I1767" s="4">
        <v>19.899999999999999</v>
      </c>
      <c r="J1767" s="4">
        <v>71.599999999999994</v>
      </c>
      <c r="K1767" s="4">
        <v>0.96</v>
      </c>
      <c r="L1767" s="4">
        <v>226.3333333333334</v>
      </c>
      <c r="M1767" s="4">
        <v>438.9</v>
      </c>
      <c r="N1767" s="4">
        <v>100</v>
      </c>
      <c r="O1767" s="4">
        <v>62.375</v>
      </c>
      <c r="P1767" s="4">
        <v>211.5</v>
      </c>
      <c r="Q1767" s="4">
        <v>167</v>
      </c>
      <c r="R1767" s="4">
        <v>439</v>
      </c>
      <c r="S1767" s="4" t="str" cm="1">
        <f t="array" ref="S1767">_xlfn.IFS($R1767&lt;=50,"Good",$R1767&lt;=100,"Moderate",$R1767&lt;=200,"Poor",$R1767&lt;=300,"Very Poor",$R1767&lt;=500,"Hazardous")</f>
        <v>Hazardous</v>
      </c>
      <c r="T1767" t="s">
        <v>28</v>
      </c>
      <c r="X1767" s="2"/>
      <c r="Y1767" s="2"/>
    </row>
    <row r="1768" spans="1:25" x14ac:dyDescent="0.3">
      <c r="A1768" s="2">
        <v>45645</v>
      </c>
      <c r="B1768" t="s">
        <v>21</v>
      </c>
      <c r="C1768" s="4">
        <v>73.2</v>
      </c>
      <c r="D1768" s="4">
        <v>167.4</v>
      </c>
      <c r="E1768" s="4">
        <v>179.6</v>
      </c>
      <c r="F1768" s="4">
        <v>7.87</v>
      </c>
      <c r="G1768" s="4">
        <v>21.7</v>
      </c>
      <c r="H1768" s="4">
        <v>1.1499999999999999</v>
      </c>
      <c r="I1768" s="4">
        <v>23.9</v>
      </c>
      <c r="J1768" s="4">
        <v>62.6</v>
      </c>
      <c r="K1768" s="4">
        <v>3.8</v>
      </c>
      <c r="L1768" s="4">
        <v>122</v>
      </c>
      <c r="M1768" s="4">
        <v>167.4</v>
      </c>
      <c r="N1768" s="4">
        <v>224.5</v>
      </c>
      <c r="O1768" s="4">
        <v>19.675000000000001</v>
      </c>
      <c r="P1768" s="4">
        <v>54.25</v>
      </c>
      <c r="Q1768" s="4">
        <v>57.499999999999993</v>
      </c>
      <c r="R1768" s="4">
        <v>224</v>
      </c>
      <c r="S1768" s="4" t="str" cm="1">
        <f t="array" ref="S1768">_xlfn.IFS($R1768&lt;=50,"Good",$R1768&lt;=100,"Moderate",$R1768&lt;=200,"Poor",$R1768&lt;=300,"Very Poor",$R1768&lt;=500,"Hazardous")</f>
        <v>Very Poor</v>
      </c>
      <c r="T1768" t="s">
        <v>26</v>
      </c>
      <c r="X1768" s="2"/>
      <c r="Y1768" s="2"/>
    </row>
    <row r="1769" spans="1:25" x14ac:dyDescent="0.3">
      <c r="A1769" s="2">
        <v>45645</v>
      </c>
      <c r="B1769" t="s">
        <v>22</v>
      </c>
      <c r="C1769" s="4">
        <v>121.8</v>
      </c>
      <c r="D1769" s="4">
        <v>56.5</v>
      </c>
      <c r="E1769" s="4">
        <v>43.9</v>
      </c>
      <c r="F1769" s="4">
        <v>22.54</v>
      </c>
      <c r="G1769" s="4">
        <v>29.9</v>
      </c>
      <c r="H1769" s="4">
        <v>2.91</v>
      </c>
      <c r="I1769" s="4">
        <v>19</v>
      </c>
      <c r="J1769" s="4">
        <v>42.6</v>
      </c>
      <c r="K1769" s="4">
        <v>2.14</v>
      </c>
      <c r="L1769" s="4">
        <v>203</v>
      </c>
      <c r="M1769" s="4">
        <v>56.5</v>
      </c>
      <c r="N1769" s="4">
        <v>54.875</v>
      </c>
      <c r="O1769" s="4">
        <v>56.349999999999987</v>
      </c>
      <c r="P1769" s="4">
        <v>74.75</v>
      </c>
      <c r="Q1769" s="4">
        <v>145.5</v>
      </c>
      <c r="R1769" s="4">
        <v>203</v>
      </c>
      <c r="S1769" s="4" t="str" cm="1">
        <f t="array" ref="S1769">_xlfn.IFS($R1769&lt;=50,"Good",$R1769&lt;=100,"Moderate",$R1769&lt;=200,"Poor",$R1769&lt;=300,"Very Poor",$R1769&lt;=500,"Hazardous")</f>
        <v>Very Poor</v>
      </c>
      <c r="T1769" t="s">
        <v>25</v>
      </c>
      <c r="X1769" s="2"/>
      <c r="Y1769" s="2"/>
    </row>
    <row r="1770" spans="1:25" x14ac:dyDescent="0.3">
      <c r="A1770" s="2">
        <v>45645</v>
      </c>
      <c r="B1770" t="s">
        <v>23</v>
      </c>
      <c r="C1770" s="4">
        <v>49.5</v>
      </c>
      <c r="D1770" s="4">
        <v>137.69999999999999</v>
      </c>
      <c r="E1770" s="4">
        <v>78.400000000000006</v>
      </c>
      <c r="F1770" s="4">
        <v>16.89</v>
      </c>
      <c r="G1770" s="4">
        <v>1</v>
      </c>
      <c r="H1770" s="4">
        <v>1.9</v>
      </c>
      <c r="I1770" s="4">
        <v>15.9</v>
      </c>
      <c r="J1770" s="4">
        <v>48.3</v>
      </c>
      <c r="K1770" s="4">
        <v>2.66</v>
      </c>
      <c r="L1770" s="4">
        <v>82.5</v>
      </c>
      <c r="M1770" s="4">
        <v>137.69999999999999</v>
      </c>
      <c r="N1770" s="4">
        <v>98</v>
      </c>
      <c r="O1770" s="4">
        <v>42.225000000000001</v>
      </c>
      <c r="P1770" s="4">
        <v>2.5</v>
      </c>
      <c r="Q1770" s="4">
        <v>95</v>
      </c>
      <c r="R1770" s="4">
        <v>138</v>
      </c>
      <c r="S1770" s="4" t="str" cm="1">
        <f t="array" ref="S1770">_xlfn.IFS($R1770&lt;=50,"Good",$R1770&lt;=100,"Moderate",$R1770&lt;=200,"Poor",$R1770&lt;=300,"Very Poor",$R1770&lt;=500,"Hazardous")</f>
        <v>Poor</v>
      </c>
      <c r="T1770" t="s">
        <v>28</v>
      </c>
      <c r="X1770" s="2"/>
      <c r="Y1770" s="2"/>
    </row>
    <row r="1771" spans="1:25" x14ac:dyDescent="0.3">
      <c r="A1771" s="2">
        <v>45645</v>
      </c>
      <c r="B1771" t="s">
        <v>24</v>
      </c>
      <c r="C1771" s="4">
        <v>76.5</v>
      </c>
      <c r="D1771" s="4">
        <v>357.2</v>
      </c>
      <c r="E1771" s="4">
        <v>121</v>
      </c>
      <c r="F1771" s="4">
        <v>24.48</v>
      </c>
      <c r="G1771" s="4">
        <v>27.4</v>
      </c>
      <c r="H1771" s="4">
        <v>1.1000000000000001</v>
      </c>
      <c r="I1771" s="4">
        <v>20.6</v>
      </c>
      <c r="J1771" s="4">
        <v>57.3</v>
      </c>
      <c r="K1771" s="4">
        <v>2.27</v>
      </c>
      <c r="L1771" s="4">
        <v>127.5</v>
      </c>
      <c r="M1771" s="4">
        <v>357.2</v>
      </c>
      <c r="N1771" s="4">
        <v>151.25</v>
      </c>
      <c r="O1771" s="4">
        <v>61.2</v>
      </c>
      <c r="P1771" s="4">
        <v>68.499999999999986</v>
      </c>
      <c r="Q1771" s="4">
        <v>55.000000000000007</v>
      </c>
      <c r="R1771" s="4">
        <v>357</v>
      </c>
      <c r="S1771" s="4" t="str" cm="1">
        <f t="array" ref="S1771">_xlfn.IFS($R1771&lt;=50,"Good",$R1771&lt;=100,"Moderate",$R1771&lt;=200,"Poor",$R1771&lt;=300,"Very Poor",$R1771&lt;=500,"Hazardous")</f>
        <v>Hazardous</v>
      </c>
      <c r="T1771" t="s">
        <v>28</v>
      </c>
      <c r="X1771" s="2"/>
      <c r="Y1771" s="2"/>
    </row>
    <row r="1772" spans="1:25" x14ac:dyDescent="0.3">
      <c r="A1772" s="2">
        <v>45646</v>
      </c>
      <c r="B1772" t="s">
        <v>20</v>
      </c>
      <c r="C1772" s="4">
        <v>45.5</v>
      </c>
      <c r="D1772" s="4">
        <v>216.2</v>
      </c>
      <c r="E1772" s="4">
        <v>67.900000000000006</v>
      </c>
      <c r="F1772" s="4">
        <v>21.05</v>
      </c>
      <c r="G1772" s="4">
        <v>58.6</v>
      </c>
      <c r="H1772" s="4">
        <v>3.42</v>
      </c>
      <c r="I1772" s="4">
        <v>11.2</v>
      </c>
      <c r="J1772" s="4">
        <v>67.2</v>
      </c>
      <c r="K1772" s="4">
        <v>1.63</v>
      </c>
      <c r="L1772" s="4">
        <v>75.833333333333343</v>
      </c>
      <c r="M1772" s="4">
        <v>216.2</v>
      </c>
      <c r="N1772" s="4">
        <v>84.875</v>
      </c>
      <c r="O1772" s="4">
        <v>52.625000000000007</v>
      </c>
      <c r="P1772" s="4">
        <v>146.5</v>
      </c>
      <c r="Q1772" s="4">
        <v>171</v>
      </c>
      <c r="R1772" s="4">
        <v>216</v>
      </c>
      <c r="S1772" s="4" t="str" cm="1">
        <f t="array" ref="S1772">_xlfn.IFS($R1772&lt;=50,"Good",$R1772&lt;=100,"Moderate",$R1772&lt;=200,"Poor",$R1772&lt;=300,"Very Poor",$R1772&lt;=500,"Hazardous")</f>
        <v>Very Poor</v>
      </c>
      <c r="T1772" t="s">
        <v>28</v>
      </c>
      <c r="X1772" s="2"/>
      <c r="Y1772" s="2"/>
    </row>
    <row r="1773" spans="1:25" x14ac:dyDescent="0.3">
      <c r="A1773" s="2">
        <v>45646</v>
      </c>
      <c r="B1773" t="s">
        <v>21</v>
      </c>
      <c r="C1773" s="4">
        <v>46.8</v>
      </c>
      <c r="D1773" s="4">
        <v>188.6</v>
      </c>
      <c r="E1773" s="4">
        <v>132.69999999999999</v>
      </c>
      <c r="F1773" s="4">
        <v>12.28</v>
      </c>
      <c r="G1773" s="4">
        <v>89</v>
      </c>
      <c r="H1773" s="4">
        <v>3.06</v>
      </c>
      <c r="I1773" s="4">
        <v>17.2</v>
      </c>
      <c r="J1773" s="4">
        <v>80.900000000000006</v>
      </c>
      <c r="K1773" s="4">
        <v>3.03</v>
      </c>
      <c r="L1773" s="4">
        <v>78</v>
      </c>
      <c r="M1773" s="4">
        <v>188.6</v>
      </c>
      <c r="N1773" s="4">
        <v>165.875</v>
      </c>
      <c r="O1773" s="4">
        <v>30.7</v>
      </c>
      <c r="P1773" s="4">
        <v>222.5</v>
      </c>
      <c r="Q1773" s="4">
        <v>153</v>
      </c>
      <c r="R1773" s="4">
        <v>222</v>
      </c>
      <c r="S1773" s="4" t="str" cm="1">
        <f t="array" ref="S1773">_xlfn.IFS($R1773&lt;=50,"Good",$R1773&lt;=100,"Moderate",$R1773&lt;=200,"Poor",$R1773&lt;=300,"Very Poor",$R1773&lt;=500,"Hazardous")</f>
        <v>Very Poor</v>
      </c>
      <c r="T1773" t="s">
        <v>27</v>
      </c>
      <c r="X1773" s="2"/>
      <c r="Y1773" s="2"/>
    </row>
    <row r="1774" spans="1:25" x14ac:dyDescent="0.3">
      <c r="A1774" s="2">
        <v>45646</v>
      </c>
      <c r="B1774" t="s">
        <v>22</v>
      </c>
      <c r="C1774" s="4">
        <v>48.7</v>
      </c>
      <c r="D1774" s="4">
        <v>351.9</v>
      </c>
      <c r="E1774" s="4">
        <v>76.3</v>
      </c>
      <c r="F1774" s="4">
        <v>12.3</v>
      </c>
      <c r="G1774" s="4">
        <v>15.9</v>
      </c>
      <c r="H1774" s="4">
        <v>2.9</v>
      </c>
      <c r="I1774" s="4">
        <v>23.6</v>
      </c>
      <c r="J1774" s="4">
        <v>71.3</v>
      </c>
      <c r="K1774" s="4">
        <v>1.89</v>
      </c>
      <c r="L1774" s="4">
        <v>81.166666666666671</v>
      </c>
      <c r="M1774" s="4">
        <v>351.9</v>
      </c>
      <c r="N1774" s="4">
        <v>95.375</v>
      </c>
      <c r="O1774" s="4">
        <v>30.75</v>
      </c>
      <c r="P1774" s="4">
        <v>39.75</v>
      </c>
      <c r="Q1774" s="4">
        <v>145</v>
      </c>
      <c r="R1774" s="4">
        <v>352</v>
      </c>
      <c r="S1774" s="4" t="str" cm="1">
        <f t="array" ref="S1774">_xlfn.IFS($R1774&lt;=50,"Good",$R1774&lt;=100,"Moderate",$R1774&lt;=200,"Poor",$R1774&lt;=300,"Very Poor",$R1774&lt;=500,"Hazardous")</f>
        <v>Hazardous</v>
      </c>
      <c r="T1774" t="s">
        <v>28</v>
      </c>
      <c r="X1774" s="2"/>
      <c r="Y1774" s="2"/>
    </row>
    <row r="1775" spans="1:25" x14ac:dyDescent="0.3">
      <c r="A1775" s="2">
        <v>45646</v>
      </c>
      <c r="B1775" t="s">
        <v>23</v>
      </c>
      <c r="C1775" s="4">
        <v>136</v>
      </c>
      <c r="D1775" s="4">
        <v>279.5</v>
      </c>
      <c r="E1775" s="4">
        <v>50.6</v>
      </c>
      <c r="F1775" s="4">
        <v>1.46</v>
      </c>
      <c r="G1775" s="4">
        <v>49.1</v>
      </c>
      <c r="H1775" s="4">
        <v>0.41</v>
      </c>
      <c r="I1775" s="4">
        <v>21.1</v>
      </c>
      <c r="J1775" s="4">
        <v>51.9</v>
      </c>
      <c r="K1775" s="4">
        <v>3.96</v>
      </c>
      <c r="L1775" s="4">
        <v>226.66666666666671</v>
      </c>
      <c r="M1775" s="4">
        <v>279.5</v>
      </c>
      <c r="N1775" s="4">
        <v>63.25</v>
      </c>
      <c r="O1775" s="4">
        <v>3.65</v>
      </c>
      <c r="P1775" s="4">
        <v>122.75</v>
      </c>
      <c r="Q1775" s="4">
        <v>20.5</v>
      </c>
      <c r="R1775" s="4">
        <v>280</v>
      </c>
      <c r="S1775" s="4" t="str" cm="1">
        <f t="array" ref="S1775">_xlfn.IFS($R1775&lt;=50,"Good",$R1775&lt;=100,"Moderate",$R1775&lt;=200,"Poor",$R1775&lt;=300,"Very Poor",$R1775&lt;=500,"Hazardous")</f>
        <v>Very Poor</v>
      </c>
      <c r="T1775" t="s">
        <v>28</v>
      </c>
      <c r="X1775" s="2"/>
      <c r="Y1775" s="2"/>
    </row>
    <row r="1776" spans="1:25" x14ac:dyDescent="0.3">
      <c r="A1776" s="2">
        <v>45646</v>
      </c>
      <c r="B1776" t="s">
        <v>24</v>
      </c>
      <c r="C1776" s="4">
        <v>84.9</v>
      </c>
      <c r="D1776" s="4">
        <v>328.1</v>
      </c>
      <c r="E1776" s="4">
        <v>61.1</v>
      </c>
      <c r="F1776" s="4">
        <v>22.88</v>
      </c>
      <c r="G1776" s="4">
        <v>90.6</v>
      </c>
      <c r="H1776" s="4">
        <v>0.98</v>
      </c>
      <c r="I1776" s="4">
        <v>22</v>
      </c>
      <c r="J1776" s="4">
        <v>100</v>
      </c>
      <c r="K1776" s="4">
        <v>3.08</v>
      </c>
      <c r="L1776" s="4">
        <v>141.5</v>
      </c>
      <c r="M1776" s="4">
        <v>328.1</v>
      </c>
      <c r="N1776" s="4">
        <v>76.375</v>
      </c>
      <c r="O1776" s="4">
        <v>57.2</v>
      </c>
      <c r="P1776" s="4">
        <v>226.5</v>
      </c>
      <c r="Q1776" s="4">
        <v>49</v>
      </c>
      <c r="R1776" s="4">
        <v>328</v>
      </c>
      <c r="S1776" s="4" t="str" cm="1">
        <f t="array" ref="S1776">_xlfn.IFS($R1776&lt;=50,"Good",$R1776&lt;=100,"Moderate",$R1776&lt;=200,"Poor",$R1776&lt;=300,"Very Poor",$R1776&lt;=500,"Hazardous")</f>
        <v>Hazardous</v>
      </c>
      <c r="T1776" t="s">
        <v>28</v>
      </c>
      <c r="X1776" s="2"/>
      <c r="Y1776" s="2"/>
    </row>
    <row r="1777" spans="1:25" x14ac:dyDescent="0.3">
      <c r="A1777" s="2">
        <v>45647</v>
      </c>
      <c r="B1777" t="s">
        <v>20</v>
      </c>
      <c r="C1777" s="4">
        <v>113.8</v>
      </c>
      <c r="D1777" s="4">
        <v>307.89999999999998</v>
      </c>
      <c r="E1777" s="4">
        <v>84.3</v>
      </c>
      <c r="F1777" s="4">
        <v>0.5</v>
      </c>
      <c r="G1777" s="4">
        <v>70.7</v>
      </c>
      <c r="H1777" s="4">
        <v>0.05</v>
      </c>
      <c r="I1777" s="4">
        <v>17.100000000000001</v>
      </c>
      <c r="J1777" s="4">
        <v>81.7</v>
      </c>
      <c r="K1777" s="4">
        <v>2.0699999999999998</v>
      </c>
      <c r="L1777" s="4">
        <v>189.66666666666671</v>
      </c>
      <c r="M1777" s="4">
        <v>307.89999999999998</v>
      </c>
      <c r="N1777" s="4">
        <v>105.375</v>
      </c>
      <c r="O1777" s="4">
        <v>1.25</v>
      </c>
      <c r="P1777" s="4">
        <v>176.75</v>
      </c>
      <c r="Q1777" s="4">
        <v>2.5</v>
      </c>
      <c r="R1777" s="4">
        <v>308</v>
      </c>
      <c r="S1777" s="4" t="str" cm="1">
        <f t="array" ref="S1777">_xlfn.IFS($R1777&lt;=50,"Good",$R1777&lt;=100,"Moderate",$R1777&lt;=200,"Poor",$R1777&lt;=300,"Very Poor",$R1777&lt;=500,"Hazardous")</f>
        <v>Hazardous</v>
      </c>
      <c r="T1777" t="s">
        <v>28</v>
      </c>
      <c r="X1777" s="2"/>
      <c r="Y1777" s="2"/>
    </row>
    <row r="1778" spans="1:25" x14ac:dyDescent="0.3">
      <c r="A1778" s="2">
        <v>45647</v>
      </c>
      <c r="B1778" t="s">
        <v>21</v>
      </c>
      <c r="C1778" s="4">
        <v>78.400000000000006</v>
      </c>
      <c r="D1778" s="4">
        <v>345.5</v>
      </c>
      <c r="E1778" s="4">
        <v>56</v>
      </c>
      <c r="F1778" s="4">
        <v>3.78</v>
      </c>
      <c r="G1778" s="4">
        <v>52.7</v>
      </c>
      <c r="H1778" s="4">
        <v>2.1800000000000002</v>
      </c>
      <c r="I1778" s="4">
        <v>11.3</v>
      </c>
      <c r="J1778" s="4">
        <v>71.5</v>
      </c>
      <c r="K1778" s="4">
        <v>3.06</v>
      </c>
      <c r="L1778" s="4">
        <v>130.66666666666671</v>
      </c>
      <c r="M1778" s="4">
        <v>345.5</v>
      </c>
      <c r="N1778" s="4">
        <v>70</v>
      </c>
      <c r="O1778" s="4">
        <v>9.4499999999999993</v>
      </c>
      <c r="P1778" s="4">
        <v>131.75</v>
      </c>
      <c r="Q1778" s="4">
        <v>109</v>
      </c>
      <c r="R1778" s="4">
        <v>346</v>
      </c>
      <c r="S1778" s="4" t="str" cm="1">
        <f t="array" ref="S1778">_xlfn.IFS($R1778&lt;=50,"Good",$R1778&lt;=100,"Moderate",$R1778&lt;=200,"Poor",$R1778&lt;=300,"Very Poor",$R1778&lt;=500,"Hazardous")</f>
        <v>Hazardous</v>
      </c>
      <c r="T1778" t="s">
        <v>28</v>
      </c>
      <c r="X1778" s="2"/>
      <c r="Y1778" s="2"/>
    </row>
    <row r="1779" spans="1:25" x14ac:dyDescent="0.3">
      <c r="A1779" s="2">
        <v>45647</v>
      </c>
      <c r="B1779" t="s">
        <v>22</v>
      </c>
      <c r="C1779" s="4">
        <v>74.8</v>
      </c>
      <c r="D1779" s="4">
        <v>155.80000000000001</v>
      </c>
      <c r="E1779" s="4">
        <v>82.7</v>
      </c>
      <c r="F1779" s="4">
        <v>21.21</v>
      </c>
      <c r="G1779" s="4">
        <v>28.2</v>
      </c>
      <c r="H1779" s="4">
        <v>2.42</v>
      </c>
      <c r="I1779" s="4">
        <v>24</v>
      </c>
      <c r="J1779" s="4">
        <v>75.8</v>
      </c>
      <c r="K1779" s="4">
        <v>2.5499999999999998</v>
      </c>
      <c r="L1779" s="4">
        <v>124.6666666666667</v>
      </c>
      <c r="M1779" s="4">
        <v>155.80000000000001</v>
      </c>
      <c r="N1779" s="4">
        <v>103.375</v>
      </c>
      <c r="O1779" s="4">
        <v>53.025000000000013</v>
      </c>
      <c r="P1779" s="4">
        <v>70.5</v>
      </c>
      <c r="Q1779" s="4">
        <v>121</v>
      </c>
      <c r="R1779" s="4">
        <v>156</v>
      </c>
      <c r="S1779" s="4" t="str" cm="1">
        <f t="array" ref="S1779">_xlfn.IFS($R1779&lt;=50,"Good",$R1779&lt;=100,"Moderate",$R1779&lt;=200,"Poor",$R1779&lt;=300,"Very Poor",$R1779&lt;=500,"Hazardous")</f>
        <v>Poor</v>
      </c>
      <c r="T1779" t="s">
        <v>28</v>
      </c>
      <c r="X1779" s="2"/>
      <c r="Y1779" s="2"/>
    </row>
    <row r="1780" spans="1:25" x14ac:dyDescent="0.3">
      <c r="A1780" s="2">
        <v>45647</v>
      </c>
      <c r="B1780" t="s">
        <v>23</v>
      </c>
      <c r="C1780" s="4">
        <v>52.2</v>
      </c>
      <c r="D1780" s="4">
        <v>147.6</v>
      </c>
      <c r="E1780" s="4">
        <v>83</v>
      </c>
      <c r="F1780" s="4">
        <v>27.35</v>
      </c>
      <c r="G1780" s="4">
        <v>25.1</v>
      </c>
      <c r="H1780" s="4">
        <v>2.69</v>
      </c>
      <c r="I1780" s="4">
        <v>17.7</v>
      </c>
      <c r="J1780" s="4">
        <v>62</v>
      </c>
      <c r="K1780" s="4">
        <v>4.32</v>
      </c>
      <c r="L1780" s="4">
        <v>87.000000000000014</v>
      </c>
      <c r="M1780" s="4">
        <v>147.6</v>
      </c>
      <c r="N1780" s="4">
        <v>103.75</v>
      </c>
      <c r="O1780" s="4">
        <v>68.375</v>
      </c>
      <c r="P1780" s="4">
        <v>62.75</v>
      </c>
      <c r="Q1780" s="4">
        <v>134.5</v>
      </c>
      <c r="R1780" s="4">
        <v>148</v>
      </c>
      <c r="S1780" s="4" t="str" cm="1">
        <f t="array" ref="S1780">_xlfn.IFS($R1780&lt;=50,"Good",$R1780&lt;=100,"Moderate",$R1780&lt;=200,"Poor",$R1780&lt;=300,"Very Poor",$R1780&lt;=500,"Hazardous")</f>
        <v>Poor</v>
      </c>
      <c r="T1780" t="s">
        <v>28</v>
      </c>
      <c r="X1780" s="2"/>
      <c r="Y1780" s="2"/>
    </row>
    <row r="1781" spans="1:25" x14ac:dyDescent="0.3">
      <c r="A1781" s="2">
        <v>45647</v>
      </c>
      <c r="B1781" t="s">
        <v>24</v>
      </c>
      <c r="C1781" s="4">
        <v>146</v>
      </c>
      <c r="D1781" s="4">
        <v>80.099999999999994</v>
      </c>
      <c r="E1781" s="4">
        <v>59</v>
      </c>
      <c r="F1781" s="4">
        <v>25.13</v>
      </c>
      <c r="G1781" s="4">
        <v>43.1</v>
      </c>
      <c r="H1781" s="4">
        <v>0.9</v>
      </c>
      <c r="I1781" s="4">
        <v>14.3</v>
      </c>
      <c r="J1781" s="4">
        <v>72.7</v>
      </c>
      <c r="K1781" s="4">
        <v>4.1900000000000004</v>
      </c>
      <c r="L1781" s="4">
        <v>243.33333333333329</v>
      </c>
      <c r="M1781" s="4">
        <v>80.099999999999994</v>
      </c>
      <c r="N1781" s="4">
        <v>73.75</v>
      </c>
      <c r="O1781" s="4">
        <v>62.824999999999989</v>
      </c>
      <c r="P1781" s="4">
        <v>107.75</v>
      </c>
      <c r="Q1781" s="4">
        <v>45</v>
      </c>
      <c r="R1781" s="4">
        <v>243</v>
      </c>
      <c r="S1781" s="4" t="str" cm="1">
        <f t="array" ref="S1781">_xlfn.IFS($R1781&lt;=50,"Good",$R1781&lt;=100,"Moderate",$R1781&lt;=200,"Poor",$R1781&lt;=300,"Very Poor",$R1781&lt;=500,"Hazardous")</f>
        <v>Very Poor</v>
      </c>
      <c r="T1781" t="s">
        <v>25</v>
      </c>
      <c r="X1781" s="2"/>
      <c r="Y1781" s="2"/>
    </row>
    <row r="1782" spans="1:25" x14ac:dyDescent="0.3">
      <c r="A1782" s="2">
        <v>45648</v>
      </c>
      <c r="B1782" t="s">
        <v>20</v>
      </c>
      <c r="C1782" s="4">
        <v>111.4</v>
      </c>
      <c r="D1782" s="4">
        <v>494.1</v>
      </c>
      <c r="E1782" s="4">
        <v>113.1</v>
      </c>
      <c r="F1782" s="4">
        <v>12.48</v>
      </c>
      <c r="G1782" s="4">
        <v>20.3</v>
      </c>
      <c r="H1782" s="4">
        <v>1.1299999999999999</v>
      </c>
      <c r="I1782" s="4">
        <v>22.3</v>
      </c>
      <c r="J1782" s="4">
        <v>51.2</v>
      </c>
      <c r="K1782" s="4">
        <v>4.51</v>
      </c>
      <c r="L1782" s="4">
        <v>185.66666666666671</v>
      </c>
      <c r="M1782" s="4">
        <v>494.1</v>
      </c>
      <c r="N1782" s="4">
        <v>141.375</v>
      </c>
      <c r="O1782" s="4">
        <v>31.2</v>
      </c>
      <c r="P1782" s="4">
        <v>50.75</v>
      </c>
      <c r="Q1782" s="4">
        <v>56.499999999999993</v>
      </c>
      <c r="R1782" s="4">
        <v>494</v>
      </c>
      <c r="S1782" s="4" t="str" cm="1">
        <f t="array" ref="S1782">_xlfn.IFS($R1782&lt;=50,"Good",$R1782&lt;=100,"Moderate",$R1782&lt;=200,"Poor",$R1782&lt;=300,"Very Poor",$R1782&lt;=500,"Hazardous")</f>
        <v>Hazardous</v>
      </c>
      <c r="T1782" t="s">
        <v>28</v>
      </c>
      <c r="X1782" s="2"/>
      <c r="Y1782" s="2"/>
    </row>
    <row r="1783" spans="1:25" x14ac:dyDescent="0.3">
      <c r="A1783" s="2">
        <v>45648</v>
      </c>
      <c r="B1783" t="s">
        <v>21</v>
      </c>
      <c r="C1783" s="4">
        <v>208</v>
      </c>
      <c r="D1783" s="4">
        <v>316</v>
      </c>
      <c r="E1783" s="4">
        <v>42.8</v>
      </c>
      <c r="F1783" s="4">
        <v>9.2799999999999994</v>
      </c>
      <c r="G1783" s="4">
        <v>80.3</v>
      </c>
      <c r="H1783" s="4">
        <v>1.72</v>
      </c>
      <c r="I1783" s="4">
        <v>27.9</v>
      </c>
      <c r="J1783" s="4">
        <v>68.5</v>
      </c>
      <c r="K1783" s="4">
        <v>2.56</v>
      </c>
      <c r="L1783" s="4">
        <v>346.66666666666669</v>
      </c>
      <c r="M1783" s="4">
        <v>316</v>
      </c>
      <c r="N1783" s="4">
        <v>53.5</v>
      </c>
      <c r="O1783" s="4">
        <v>23.2</v>
      </c>
      <c r="P1783" s="4">
        <v>200.75</v>
      </c>
      <c r="Q1783" s="4">
        <v>86</v>
      </c>
      <c r="R1783" s="4">
        <v>347</v>
      </c>
      <c r="S1783" s="4" t="str" cm="1">
        <f t="array" ref="S1783">_xlfn.IFS($R1783&lt;=50,"Good",$R1783&lt;=100,"Moderate",$R1783&lt;=200,"Poor",$R1783&lt;=300,"Very Poor",$R1783&lt;=500,"Hazardous")</f>
        <v>Hazardous</v>
      </c>
      <c r="T1783" t="s">
        <v>25</v>
      </c>
      <c r="X1783" s="2"/>
      <c r="Y1783" s="2"/>
    </row>
    <row r="1784" spans="1:25" x14ac:dyDescent="0.3">
      <c r="A1784" s="2">
        <v>45648</v>
      </c>
      <c r="B1784" t="s">
        <v>22</v>
      </c>
      <c r="C1784" s="4">
        <v>59.2</v>
      </c>
      <c r="D1784" s="4">
        <v>173.8</v>
      </c>
      <c r="E1784" s="4">
        <v>74.2</v>
      </c>
      <c r="F1784" s="4">
        <v>20.010000000000002</v>
      </c>
      <c r="G1784" s="4">
        <v>15.3</v>
      </c>
      <c r="H1784" s="4">
        <v>1.58</v>
      </c>
      <c r="I1784" s="4">
        <v>20.3</v>
      </c>
      <c r="J1784" s="4">
        <v>71.900000000000006</v>
      </c>
      <c r="K1784" s="4">
        <v>1.41</v>
      </c>
      <c r="L1784" s="4">
        <v>98.666666666666671</v>
      </c>
      <c r="M1784" s="4">
        <v>173.8</v>
      </c>
      <c r="N1784" s="4">
        <v>92.75</v>
      </c>
      <c r="O1784" s="4">
        <v>50.025000000000013</v>
      </c>
      <c r="P1784" s="4">
        <v>38.25</v>
      </c>
      <c r="Q1784" s="4">
        <v>79</v>
      </c>
      <c r="R1784" s="4">
        <v>174</v>
      </c>
      <c r="S1784" s="4" t="str" cm="1">
        <f t="array" ref="S1784">_xlfn.IFS($R1784&lt;=50,"Good",$R1784&lt;=100,"Moderate",$R1784&lt;=200,"Poor",$R1784&lt;=300,"Very Poor",$R1784&lt;=500,"Hazardous")</f>
        <v>Poor</v>
      </c>
      <c r="T1784" t="s">
        <v>28</v>
      </c>
      <c r="X1784" s="2"/>
      <c r="Y1784" s="2"/>
    </row>
    <row r="1785" spans="1:25" x14ac:dyDescent="0.3">
      <c r="A1785" s="2">
        <v>45648</v>
      </c>
      <c r="B1785" t="s">
        <v>23</v>
      </c>
      <c r="C1785" s="4">
        <v>32.799999999999997</v>
      </c>
      <c r="D1785" s="4">
        <v>256.7</v>
      </c>
      <c r="E1785" s="4">
        <v>23.4</v>
      </c>
      <c r="F1785" s="4">
        <v>23.08</v>
      </c>
      <c r="G1785" s="4">
        <v>32.5</v>
      </c>
      <c r="H1785" s="4">
        <v>0.43</v>
      </c>
      <c r="I1785" s="4">
        <v>16.600000000000001</v>
      </c>
      <c r="J1785" s="4">
        <v>66.8</v>
      </c>
      <c r="K1785" s="4">
        <v>1.86</v>
      </c>
      <c r="L1785" s="4">
        <v>54.666666666666657</v>
      </c>
      <c r="M1785" s="4">
        <v>256.7</v>
      </c>
      <c r="N1785" s="4">
        <v>29.25</v>
      </c>
      <c r="O1785" s="4">
        <v>57.7</v>
      </c>
      <c r="P1785" s="4">
        <v>81.25</v>
      </c>
      <c r="Q1785" s="4">
        <v>21.5</v>
      </c>
      <c r="R1785" s="4">
        <v>257</v>
      </c>
      <c r="S1785" s="4" t="str" cm="1">
        <f t="array" ref="S1785">_xlfn.IFS($R1785&lt;=50,"Good",$R1785&lt;=100,"Moderate",$R1785&lt;=200,"Poor",$R1785&lt;=300,"Very Poor",$R1785&lt;=500,"Hazardous")</f>
        <v>Very Poor</v>
      </c>
      <c r="T1785" t="s">
        <v>28</v>
      </c>
      <c r="X1785" s="2"/>
      <c r="Y1785" s="2"/>
    </row>
    <row r="1786" spans="1:25" x14ac:dyDescent="0.3">
      <c r="A1786" s="2">
        <v>45648</v>
      </c>
      <c r="B1786" t="s">
        <v>24</v>
      </c>
      <c r="C1786" s="4">
        <v>106.7</v>
      </c>
      <c r="D1786" s="4">
        <v>289.39999999999998</v>
      </c>
      <c r="E1786" s="4">
        <v>72.099999999999994</v>
      </c>
      <c r="F1786" s="4">
        <v>5.83</v>
      </c>
      <c r="G1786" s="4">
        <v>32.200000000000003</v>
      </c>
      <c r="H1786" s="4">
        <v>3.61</v>
      </c>
      <c r="I1786" s="4">
        <v>31.8</v>
      </c>
      <c r="J1786" s="4">
        <v>23.6</v>
      </c>
      <c r="K1786" s="4">
        <v>4.3099999999999996</v>
      </c>
      <c r="L1786" s="4">
        <v>177.83333333333329</v>
      </c>
      <c r="M1786" s="4">
        <v>289.39999999999998</v>
      </c>
      <c r="N1786" s="4">
        <v>90.125</v>
      </c>
      <c r="O1786" s="4">
        <v>14.574999999999999</v>
      </c>
      <c r="P1786" s="4">
        <v>80.5</v>
      </c>
      <c r="Q1786" s="4">
        <v>180.5</v>
      </c>
      <c r="R1786" s="4">
        <v>289</v>
      </c>
      <c r="S1786" s="4" t="str" cm="1">
        <f t="array" ref="S1786">_xlfn.IFS($R1786&lt;=50,"Good",$R1786&lt;=100,"Moderate",$R1786&lt;=200,"Poor",$R1786&lt;=300,"Very Poor",$R1786&lt;=500,"Hazardous")</f>
        <v>Very Poor</v>
      </c>
      <c r="T1786" t="s">
        <v>28</v>
      </c>
      <c r="X1786" s="2"/>
      <c r="Y1786" s="2"/>
    </row>
    <row r="1787" spans="1:25" x14ac:dyDescent="0.3">
      <c r="A1787" s="2">
        <v>45649</v>
      </c>
      <c r="B1787" t="s">
        <v>20</v>
      </c>
      <c r="C1787" s="4">
        <v>124.2</v>
      </c>
      <c r="D1787" s="4">
        <v>322.8</v>
      </c>
      <c r="E1787" s="4">
        <v>62.5</v>
      </c>
      <c r="F1787" s="4">
        <v>0.5</v>
      </c>
      <c r="G1787" s="4">
        <v>56.5</v>
      </c>
      <c r="H1787" s="4">
        <v>1.17</v>
      </c>
      <c r="I1787" s="4">
        <v>10.3</v>
      </c>
      <c r="J1787" s="4">
        <v>36.299999999999997</v>
      </c>
      <c r="K1787" s="4">
        <v>3.22</v>
      </c>
      <c r="L1787" s="4">
        <v>207</v>
      </c>
      <c r="M1787" s="4">
        <v>322.8</v>
      </c>
      <c r="N1787" s="4">
        <v>78.125</v>
      </c>
      <c r="O1787" s="4">
        <v>1.25</v>
      </c>
      <c r="P1787" s="4">
        <v>141.25</v>
      </c>
      <c r="Q1787" s="4">
        <v>58.5</v>
      </c>
      <c r="R1787" s="4">
        <v>323</v>
      </c>
      <c r="S1787" s="4" t="str" cm="1">
        <f t="array" ref="S1787">_xlfn.IFS($R1787&lt;=50,"Good",$R1787&lt;=100,"Moderate",$R1787&lt;=200,"Poor",$R1787&lt;=300,"Very Poor",$R1787&lt;=500,"Hazardous")</f>
        <v>Hazardous</v>
      </c>
      <c r="T1787" t="s">
        <v>28</v>
      </c>
      <c r="X1787" s="2"/>
      <c r="Y1787" s="2"/>
    </row>
    <row r="1788" spans="1:25" x14ac:dyDescent="0.3">
      <c r="A1788" s="2">
        <v>45649</v>
      </c>
      <c r="B1788" t="s">
        <v>21</v>
      </c>
      <c r="C1788" s="4">
        <v>128.4</v>
      </c>
      <c r="D1788" s="4">
        <v>333.9</v>
      </c>
      <c r="E1788" s="4">
        <v>116.8</v>
      </c>
      <c r="F1788" s="4">
        <v>11.79</v>
      </c>
      <c r="G1788" s="4">
        <v>43</v>
      </c>
      <c r="H1788" s="4">
        <v>1.79</v>
      </c>
      <c r="I1788" s="4">
        <v>18.5</v>
      </c>
      <c r="J1788" s="4">
        <v>42.6</v>
      </c>
      <c r="K1788" s="4">
        <v>2.97</v>
      </c>
      <c r="L1788" s="4">
        <v>214</v>
      </c>
      <c r="M1788" s="4">
        <v>333.9</v>
      </c>
      <c r="N1788" s="4">
        <v>146</v>
      </c>
      <c r="O1788" s="4">
        <v>29.475000000000001</v>
      </c>
      <c r="P1788" s="4">
        <v>107.5</v>
      </c>
      <c r="Q1788" s="4">
        <v>89.5</v>
      </c>
      <c r="R1788" s="4">
        <v>334</v>
      </c>
      <c r="S1788" s="4" t="str" cm="1">
        <f t="array" ref="S1788">_xlfn.IFS($R1788&lt;=50,"Good",$R1788&lt;=100,"Moderate",$R1788&lt;=200,"Poor",$R1788&lt;=300,"Very Poor",$R1788&lt;=500,"Hazardous")</f>
        <v>Hazardous</v>
      </c>
      <c r="T1788" t="s">
        <v>28</v>
      </c>
      <c r="X1788" s="2"/>
      <c r="Y1788" s="2"/>
    </row>
    <row r="1789" spans="1:25" x14ac:dyDescent="0.3">
      <c r="A1789" s="2">
        <v>45649</v>
      </c>
      <c r="B1789" t="s">
        <v>22</v>
      </c>
      <c r="C1789" s="4">
        <v>140.19999999999999</v>
      </c>
      <c r="D1789" s="4">
        <v>107.9</v>
      </c>
      <c r="E1789" s="4">
        <v>107.4</v>
      </c>
      <c r="F1789" s="4">
        <v>13.02</v>
      </c>
      <c r="G1789" s="4">
        <v>39.4</v>
      </c>
      <c r="H1789" s="4">
        <v>0.27</v>
      </c>
      <c r="I1789" s="4">
        <v>7.3</v>
      </c>
      <c r="J1789" s="4">
        <v>62.6</v>
      </c>
      <c r="K1789" s="4">
        <v>3.45</v>
      </c>
      <c r="L1789" s="4">
        <v>233.66666666666671</v>
      </c>
      <c r="M1789" s="4">
        <v>107.9</v>
      </c>
      <c r="N1789" s="4">
        <v>134.25</v>
      </c>
      <c r="O1789" s="4">
        <v>32.549999999999997</v>
      </c>
      <c r="P1789" s="4">
        <v>98.499999999999986</v>
      </c>
      <c r="Q1789" s="4">
        <v>13.5</v>
      </c>
      <c r="R1789" s="4">
        <v>234</v>
      </c>
      <c r="S1789" s="4" t="str" cm="1">
        <f t="array" ref="S1789">_xlfn.IFS($R1789&lt;=50,"Good",$R1789&lt;=100,"Moderate",$R1789&lt;=200,"Poor",$R1789&lt;=300,"Very Poor",$R1789&lt;=500,"Hazardous")</f>
        <v>Very Poor</v>
      </c>
      <c r="T1789" t="s">
        <v>25</v>
      </c>
      <c r="X1789" s="2"/>
      <c r="Y1789" s="2"/>
    </row>
    <row r="1790" spans="1:25" x14ac:dyDescent="0.3">
      <c r="A1790" s="2">
        <v>45649</v>
      </c>
      <c r="B1790" t="s">
        <v>23</v>
      </c>
      <c r="C1790" s="4">
        <v>63.8</v>
      </c>
      <c r="D1790" s="4">
        <v>352.3</v>
      </c>
      <c r="E1790" s="4">
        <v>95.5</v>
      </c>
      <c r="F1790" s="4">
        <v>5.53</v>
      </c>
      <c r="G1790" s="4">
        <v>36.700000000000003</v>
      </c>
      <c r="H1790" s="4">
        <v>4.3</v>
      </c>
      <c r="I1790" s="4">
        <v>11.3</v>
      </c>
      <c r="J1790" s="4">
        <v>69.5</v>
      </c>
      <c r="K1790" s="4">
        <v>2.11</v>
      </c>
      <c r="L1790" s="4">
        <v>106.3333333333333</v>
      </c>
      <c r="M1790" s="4">
        <v>352.3</v>
      </c>
      <c r="N1790" s="4">
        <v>119.375</v>
      </c>
      <c r="O1790" s="4">
        <v>13.824999999999999</v>
      </c>
      <c r="P1790" s="4">
        <v>91.750000000000014</v>
      </c>
      <c r="Q1790" s="4">
        <v>215</v>
      </c>
      <c r="R1790" s="4">
        <v>352</v>
      </c>
      <c r="S1790" s="4" t="str" cm="1">
        <f t="array" ref="S1790">_xlfn.IFS($R1790&lt;=50,"Good",$R1790&lt;=100,"Moderate",$R1790&lt;=200,"Poor",$R1790&lt;=300,"Very Poor",$R1790&lt;=500,"Hazardous")</f>
        <v>Hazardous</v>
      </c>
      <c r="T1790" t="s">
        <v>28</v>
      </c>
      <c r="X1790" s="2"/>
      <c r="Y1790" s="2"/>
    </row>
    <row r="1791" spans="1:25" x14ac:dyDescent="0.3">
      <c r="A1791" s="2">
        <v>45649</v>
      </c>
      <c r="B1791" t="s">
        <v>24</v>
      </c>
      <c r="C1791" s="4">
        <v>142.9</v>
      </c>
      <c r="D1791" s="4">
        <v>345</v>
      </c>
      <c r="E1791" s="4">
        <v>65.599999999999994</v>
      </c>
      <c r="F1791" s="4">
        <v>23.93</v>
      </c>
      <c r="G1791" s="4">
        <v>94.6</v>
      </c>
      <c r="H1791" s="4">
        <v>2.1800000000000002</v>
      </c>
      <c r="I1791" s="4">
        <v>25.5</v>
      </c>
      <c r="J1791" s="4">
        <v>49.4</v>
      </c>
      <c r="K1791" s="4">
        <v>3.02</v>
      </c>
      <c r="L1791" s="4">
        <v>238.16666666666671</v>
      </c>
      <c r="M1791" s="4">
        <v>345</v>
      </c>
      <c r="N1791" s="4">
        <v>81.999999999999986</v>
      </c>
      <c r="O1791" s="4">
        <v>59.825000000000003</v>
      </c>
      <c r="P1791" s="4">
        <v>236.5</v>
      </c>
      <c r="Q1791" s="4">
        <v>109</v>
      </c>
      <c r="R1791" s="4">
        <v>345</v>
      </c>
      <c r="S1791" s="4" t="str" cm="1">
        <f t="array" ref="S1791">_xlfn.IFS($R1791&lt;=50,"Good",$R1791&lt;=100,"Moderate",$R1791&lt;=200,"Poor",$R1791&lt;=300,"Very Poor",$R1791&lt;=500,"Hazardous")</f>
        <v>Hazardous</v>
      </c>
      <c r="T1791" t="s">
        <v>28</v>
      </c>
      <c r="X1791" s="2"/>
      <c r="Y1791" s="2"/>
    </row>
    <row r="1792" spans="1:25" x14ac:dyDescent="0.3">
      <c r="A1792" s="2">
        <v>45650</v>
      </c>
      <c r="B1792" t="s">
        <v>20</v>
      </c>
      <c r="C1792" s="4">
        <v>100.6</v>
      </c>
      <c r="D1792" s="4">
        <v>308.8</v>
      </c>
      <c r="E1792" s="4">
        <v>127.1</v>
      </c>
      <c r="F1792" s="4">
        <v>13.71</v>
      </c>
      <c r="G1792" s="4">
        <v>81.099999999999994</v>
      </c>
      <c r="H1792" s="4">
        <v>3.9</v>
      </c>
      <c r="I1792" s="4">
        <v>25.9</v>
      </c>
      <c r="J1792" s="4">
        <v>50.7</v>
      </c>
      <c r="K1792" s="4">
        <v>1.77</v>
      </c>
      <c r="L1792" s="4">
        <v>167.66666666666671</v>
      </c>
      <c r="M1792" s="4">
        <v>308.8</v>
      </c>
      <c r="N1792" s="4">
        <v>158.875</v>
      </c>
      <c r="O1792" s="4">
        <v>34.274999999999999</v>
      </c>
      <c r="P1792" s="4">
        <v>202.75</v>
      </c>
      <c r="Q1792" s="4">
        <v>195</v>
      </c>
      <c r="R1792" s="4">
        <v>309</v>
      </c>
      <c r="S1792" s="4" t="str" cm="1">
        <f t="array" ref="S1792">_xlfn.IFS($R1792&lt;=50,"Good",$R1792&lt;=100,"Moderate",$R1792&lt;=200,"Poor",$R1792&lt;=300,"Very Poor",$R1792&lt;=500,"Hazardous")</f>
        <v>Hazardous</v>
      </c>
      <c r="T1792" t="s">
        <v>28</v>
      </c>
      <c r="X1792" s="2"/>
      <c r="Y1792" s="2"/>
    </row>
    <row r="1793" spans="1:25" x14ac:dyDescent="0.3">
      <c r="A1793" s="2">
        <v>45650</v>
      </c>
      <c r="B1793" t="s">
        <v>21</v>
      </c>
      <c r="C1793" s="4">
        <v>71.3</v>
      </c>
      <c r="D1793" s="4">
        <v>353.9</v>
      </c>
      <c r="E1793" s="4">
        <v>41.5</v>
      </c>
      <c r="F1793" s="4">
        <v>22.77</v>
      </c>
      <c r="G1793" s="4">
        <v>14.6</v>
      </c>
      <c r="H1793" s="4">
        <v>3.39</v>
      </c>
      <c r="I1793" s="4">
        <v>20.100000000000001</v>
      </c>
      <c r="J1793" s="4">
        <v>84</v>
      </c>
      <c r="K1793" s="4">
        <v>3.87</v>
      </c>
      <c r="L1793" s="4">
        <v>118.8333333333333</v>
      </c>
      <c r="M1793" s="4">
        <v>353.9</v>
      </c>
      <c r="N1793" s="4">
        <v>51.875</v>
      </c>
      <c r="O1793" s="4">
        <v>56.924999999999997</v>
      </c>
      <c r="P1793" s="4">
        <v>36.5</v>
      </c>
      <c r="Q1793" s="4">
        <v>169.5</v>
      </c>
      <c r="R1793" s="4">
        <v>354</v>
      </c>
      <c r="S1793" s="4" t="str" cm="1">
        <f t="array" ref="S1793">_xlfn.IFS($R1793&lt;=50,"Good",$R1793&lt;=100,"Moderate",$R1793&lt;=200,"Poor",$R1793&lt;=300,"Very Poor",$R1793&lt;=500,"Hazardous")</f>
        <v>Hazardous</v>
      </c>
      <c r="T1793" t="s">
        <v>28</v>
      </c>
      <c r="X1793" s="2"/>
      <c r="Y1793" s="2"/>
    </row>
    <row r="1794" spans="1:25" x14ac:dyDescent="0.3">
      <c r="A1794" s="2">
        <v>45650</v>
      </c>
      <c r="B1794" t="s">
        <v>22</v>
      </c>
      <c r="C1794" s="4">
        <v>156.6</v>
      </c>
      <c r="D1794" s="4">
        <v>315.60000000000002</v>
      </c>
      <c r="E1794" s="4">
        <v>72.8</v>
      </c>
      <c r="F1794" s="4">
        <v>3.35</v>
      </c>
      <c r="G1794" s="4">
        <v>11.7</v>
      </c>
      <c r="H1794" s="4">
        <v>0.05</v>
      </c>
      <c r="I1794" s="4">
        <v>12.4</v>
      </c>
      <c r="J1794" s="4">
        <v>61.2</v>
      </c>
      <c r="K1794" s="4">
        <v>1.83</v>
      </c>
      <c r="L1794" s="4">
        <v>261</v>
      </c>
      <c r="M1794" s="4">
        <v>315.60000000000002</v>
      </c>
      <c r="N1794" s="4">
        <v>91</v>
      </c>
      <c r="O1794" s="4">
        <v>8.375</v>
      </c>
      <c r="P1794" s="4">
        <v>29.25</v>
      </c>
      <c r="Q1794" s="4">
        <v>2.5</v>
      </c>
      <c r="R1794" s="4">
        <v>316</v>
      </c>
      <c r="S1794" s="4" t="str" cm="1">
        <f t="array" ref="S1794">_xlfn.IFS($R1794&lt;=50,"Good",$R1794&lt;=100,"Moderate",$R1794&lt;=200,"Poor",$R1794&lt;=300,"Very Poor",$R1794&lt;=500,"Hazardous")</f>
        <v>Hazardous</v>
      </c>
      <c r="T1794" t="s">
        <v>28</v>
      </c>
      <c r="X1794" s="2"/>
      <c r="Y1794" s="2"/>
    </row>
    <row r="1795" spans="1:25" x14ac:dyDescent="0.3">
      <c r="A1795" s="2">
        <v>45650</v>
      </c>
      <c r="B1795" t="s">
        <v>23</v>
      </c>
      <c r="C1795" s="4">
        <v>87.4</v>
      </c>
      <c r="D1795" s="4">
        <v>239.3</v>
      </c>
      <c r="E1795" s="4">
        <v>62.3</v>
      </c>
      <c r="F1795" s="4">
        <v>3.83</v>
      </c>
      <c r="G1795" s="4">
        <v>34.799999999999997</v>
      </c>
      <c r="H1795" s="4">
        <v>1.06</v>
      </c>
      <c r="I1795" s="4">
        <v>18.100000000000001</v>
      </c>
      <c r="J1795" s="4">
        <v>84.2</v>
      </c>
      <c r="K1795" s="4">
        <v>2.1800000000000002</v>
      </c>
      <c r="L1795" s="4">
        <v>145.66666666666671</v>
      </c>
      <c r="M1795" s="4">
        <v>239.3</v>
      </c>
      <c r="N1795" s="4">
        <v>77.875</v>
      </c>
      <c r="O1795" s="4">
        <v>9.5749999999999993</v>
      </c>
      <c r="P1795" s="4">
        <v>87</v>
      </c>
      <c r="Q1795" s="4">
        <v>53.000000000000007</v>
      </c>
      <c r="R1795" s="4">
        <v>239</v>
      </c>
      <c r="S1795" s="4" t="str" cm="1">
        <f t="array" ref="S1795">_xlfn.IFS($R1795&lt;=50,"Good",$R1795&lt;=100,"Moderate",$R1795&lt;=200,"Poor",$R1795&lt;=300,"Very Poor",$R1795&lt;=500,"Hazardous")</f>
        <v>Very Poor</v>
      </c>
      <c r="T1795" t="s">
        <v>28</v>
      </c>
      <c r="X1795" s="2"/>
      <c r="Y1795" s="2"/>
    </row>
    <row r="1796" spans="1:25" x14ac:dyDescent="0.3">
      <c r="A1796" s="2">
        <v>45650</v>
      </c>
      <c r="B1796" t="s">
        <v>24</v>
      </c>
      <c r="C1796" s="4">
        <v>199.1</v>
      </c>
      <c r="D1796" s="4">
        <v>362.4</v>
      </c>
      <c r="E1796" s="4">
        <v>58.8</v>
      </c>
      <c r="F1796" s="4">
        <v>4.3</v>
      </c>
      <c r="G1796" s="4">
        <v>38.299999999999997</v>
      </c>
      <c r="H1796" s="4">
        <v>3.33</v>
      </c>
      <c r="I1796" s="4">
        <v>16.600000000000001</v>
      </c>
      <c r="J1796" s="4">
        <v>76.3</v>
      </c>
      <c r="K1796" s="4">
        <v>4.45</v>
      </c>
      <c r="L1796" s="4">
        <v>331.83333333333331</v>
      </c>
      <c r="M1796" s="4">
        <v>362.4</v>
      </c>
      <c r="N1796" s="4">
        <v>73.5</v>
      </c>
      <c r="O1796" s="4">
        <v>10.75</v>
      </c>
      <c r="P1796" s="4">
        <v>95.749999999999986</v>
      </c>
      <c r="Q1796" s="4">
        <v>166.5</v>
      </c>
      <c r="R1796" s="4">
        <v>362</v>
      </c>
      <c r="S1796" s="4" t="str" cm="1">
        <f t="array" ref="S1796">_xlfn.IFS($R1796&lt;=50,"Good",$R1796&lt;=100,"Moderate",$R1796&lt;=200,"Poor",$R1796&lt;=300,"Very Poor",$R1796&lt;=500,"Hazardous")</f>
        <v>Hazardous</v>
      </c>
      <c r="T1796" t="s">
        <v>28</v>
      </c>
      <c r="X1796" s="2"/>
      <c r="Y1796" s="2"/>
    </row>
    <row r="1797" spans="1:25" x14ac:dyDescent="0.3">
      <c r="A1797" s="2">
        <v>45651</v>
      </c>
      <c r="B1797" t="s">
        <v>20</v>
      </c>
      <c r="C1797" s="4">
        <v>67.7</v>
      </c>
      <c r="D1797" s="4">
        <v>146.19999999999999</v>
      </c>
      <c r="E1797" s="4">
        <v>109</v>
      </c>
      <c r="F1797" s="4">
        <v>16.12</v>
      </c>
      <c r="G1797" s="4">
        <v>23.6</v>
      </c>
      <c r="H1797" s="4">
        <v>1.82</v>
      </c>
      <c r="I1797" s="4">
        <v>19.5</v>
      </c>
      <c r="J1797" s="4">
        <v>31.8</v>
      </c>
      <c r="K1797" s="4">
        <v>3.42</v>
      </c>
      <c r="L1797" s="4">
        <v>112.8333333333333</v>
      </c>
      <c r="M1797" s="4">
        <v>146.19999999999999</v>
      </c>
      <c r="N1797" s="4">
        <v>136.25</v>
      </c>
      <c r="O1797" s="4">
        <v>40.299999999999997</v>
      </c>
      <c r="P1797" s="4">
        <v>59.000000000000007</v>
      </c>
      <c r="Q1797" s="4">
        <v>91</v>
      </c>
      <c r="R1797" s="4">
        <v>146</v>
      </c>
      <c r="S1797" s="4" t="str" cm="1">
        <f t="array" ref="S1797">_xlfn.IFS($R1797&lt;=50,"Good",$R1797&lt;=100,"Moderate",$R1797&lt;=200,"Poor",$R1797&lt;=300,"Very Poor",$R1797&lt;=500,"Hazardous")</f>
        <v>Poor</v>
      </c>
      <c r="T1797" t="s">
        <v>28</v>
      </c>
      <c r="X1797" s="2"/>
      <c r="Y1797" s="2"/>
    </row>
    <row r="1798" spans="1:25" x14ac:dyDescent="0.3">
      <c r="A1798" s="2">
        <v>45651</v>
      </c>
      <c r="B1798" t="s">
        <v>21</v>
      </c>
      <c r="C1798" s="4">
        <v>91.3</v>
      </c>
      <c r="D1798" s="4">
        <v>5</v>
      </c>
      <c r="E1798" s="4">
        <v>89</v>
      </c>
      <c r="F1798" s="4">
        <v>8.58</v>
      </c>
      <c r="G1798" s="4">
        <v>92.5</v>
      </c>
      <c r="H1798" s="4">
        <v>1.7</v>
      </c>
      <c r="I1798" s="4">
        <v>12.3</v>
      </c>
      <c r="J1798" s="4">
        <v>69.099999999999994</v>
      </c>
      <c r="K1798" s="4">
        <v>1.71</v>
      </c>
      <c r="L1798" s="4">
        <v>152.16666666666671</v>
      </c>
      <c r="M1798" s="4">
        <v>5</v>
      </c>
      <c r="N1798" s="4">
        <v>111.25</v>
      </c>
      <c r="O1798" s="4">
        <v>21.45</v>
      </c>
      <c r="P1798" s="4">
        <v>231.25</v>
      </c>
      <c r="Q1798" s="4">
        <v>84.999999999999986</v>
      </c>
      <c r="R1798" s="4">
        <v>231</v>
      </c>
      <c r="S1798" s="4" t="str" cm="1">
        <f t="array" ref="S1798">_xlfn.IFS($R1798&lt;=50,"Good",$R1798&lt;=100,"Moderate",$R1798&lt;=200,"Poor",$R1798&lt;=300,"Very Poor",$R1798&lt;=500,"Hazardous")</f>
        <v>Very Poor</v>
      </c>
      <c r="T1798" t="s">
        <v>27</v>
      </c>
      <c r="X1798" s="2"/>
      <c r="Y1798" s="2"/>
    </row>
    <row r="1799" spans="1:25" x14ac:dyDescent="0.3">
      <c r="A1799" s="2">
        <v>45651</v>
      </c>
      <c r="B1799" t="s">
        <v>22</v>
      </c>
      <c r="C1799" s="4">
        <v>55.7</v>
      </c>
      <c r="D1799" s="4">
        <v>228.9</v>
      </c>
      <c r="E1799" s="4">
        <v>36.799999999999997</v>
      </c>
      <c r="F1799" s="4">
        <v>1.08</v>
      </c>
      <c r="G1799" s="4">
        <v>71.099999999999994</v>
      </c>
      <c r="H1799" s="4">
        <v>2.35</v>
      </c>
      <c r="I1799" s="4">
        <v>18.2</v>
      </c>
      <c r="J1799" s="4">
        <v>59.9</v>
      </c>
      <c r="K1799" s="4">
        <v>3.11</v>
      </c>
      <c r="L1799" s="4">
        <v>92.833333333333343</v>
      </c>
      <c r="M1799" s="4">
        <v>228.9</v>
      </c>
      <c r="N1799" s="4">
        <v>46</v>
      </c>
      <c r="O1799" s="4">
        <v>2.7</v>
      </c>
      <c r="P1799" s="4">
        <v>177.75</v>
      </c>
      <c r="Q1799" s="4">
        <v>117.5</v>
      </c>
      <c r="R1799" s="4">
        <v>229</v>
      </c>
      <c r="S1799" s="4" t="str" cm="1">
        <f t="array" ref="S1799">_xlfn.IFS($R1799&lt;=50,"Good",$R1799&lt;=100,"Moderate",$R1799&lt;=200,"Poor",$R1799&lt;=300,"Very Poor",$R1799&lt;=500,"Hazardous")</f>
        <v>Very Poor</v>
      </c>
      <c r="T1799" t="s">
        <v>28</v>
      </c>
      <c r="X1799" s="2"/>
      <c r="Y1799" s="2"/>
    </row>
    <row r="1800" spans="1:25" x14ac:dyDescent="0.3">
      <c r="A1800" s="2">
        <v>45651</v>
      </c>
      <c r="B1800" t="s">
        <v>23</v>
      </c>
      <c r="C1800" s="4">
        <v>142.69999999999999</v>
      </c>
      <c r="D1800" s="4">
        <v>119.4</v>
      </c>
      <c r="E1800" s="4">
        <v>83.7</v>
      </c>
      <c r="F1800" s="4">
        <v>8.75</v>
      </c>
      <c r="G1800" s="4">
        <v>31.7</v>
      </c>
      <c r="H1800" s="4">
        <v>2.0699999999999998</v>
      </c>
      <c r="I1800" s="4">
        <v>20</v>
      </c>
      <c r="J1800" s="4">
        <v>73.2</v>
      </c>
      <c r="K1800" s="4">
        <v>3.08</v>
      </c>
      <c r="L1800" s="4">
        <v>237.83333333333329</v>
      </c>
      <c r="M1800" s="4">
        <v>119.4</v>
      </c>
      <c r="N1800" s="4">
        <v>104.625</v>
      </c>
      <c r="O1800" s="4">
        <v>21.875</v>
      </c>
      <c r="P1800" s="4">
        <v>79.25</v>
      </c>
      <c r="Q1800" s="4">
        <v>103.5</v>
      </c>
      <c r="R1800" s="4">
        <v>238</v>
      </c>
      <c r="S1800" s="4" t="str" cm="1">
        <f t="array" ref="S1800">_xlfn.IFS($R1800&lt;=50,"Good",$R1800&lt;=100,"Moderate",$R1800&lt;=200,"Poor",$R1800&lt;=300,"Very Poor",$R1800&lt;=500,"Hazardous")</f>
        <v>Very Poor</v>
      </c>
      <c r="T1800" t="s">
        <v>25</v>
      </c>
      <c r="X1800" s="2"/>
      <c r="Y1800" s="2"/>
    </row>
    <row r="1801" spans="1:25" x14ac:dyDescent="0.3">
      <c r="A1801" s="2">
        <v>45651</v>
      </c>
      <c r="B1801" t="s">
        <v>24</v>
      </c>
      <c r="C1801" s="4">
        <v>26</v>
      </c>
      <c r="D1801" s="4">
        <v>67.8</v>
      </c>
      <c r="E1801" s="4">
        <v>66.2</v>
      </c>
      <c r="F1801" s="4">
        <v>30.17</v>
      </c>
      <c r="G1801" s="4">
        <v>18.5</v>
      </c>
      <c r="H1801" s="4">
        <v>1.89</v>
      </c>
      <c r="I1801" s="4">
        <v>16.2</v>
      </c>
      <c r="J1801" s="4">
        <v>50</v>
      </c>
      <c r="K1801" s="4">
        <v>3.21</v>
      </c>
      <c r="L1801" s="4">
        <v>43.333333333333343</v>
      </c>
      <c r="M1801" s="4">
        <v>67.8</v>
      </c>
      <c r="N1801" s="4">
        <v>82.75</v>
      </c>
      <c r="O1801" s="4">
        <v>75.425000000000011</v>
      </c>
      <c r="P1801" s="4">
        <v>46.25</v>
      </c>
      <c r="Q1801" s="4">
        <v>94.5</v>
      </c>
      <c r="R1801" s="4">
        <v>94</v>
      </c>
      <c r="S1801" s="4" t="str" cm="1">
        <f t="array" ref="S1801">_xlfn.IFS($R1801&lt;=50,"Good",$R1801&lt;=100,"Moderate",$R1801&lt;=200,"Poor",$R1801&lt;=300,"Very Poor",$R1801&lt;=500,"Hazardous")</f>
        <v>Moderate</v>
      </c>
      <c r="T1801" t="s">
        <v>29</v>
      </c>
      <c r="X1801" s="2"/>
      <c r="Y1801" s="2"/>
    </row>
    <row r="1802" spans="1:25" x14ac:dyDescent="0.3">
      <c r="A1802" s="2">
        <v>45652</v>
      </c>
      <c r="B1802" t="s">
        <v>20</v>
      </c>
      <c r="C1802" s="4">
        <v>187.7</v>
      </c>
      <c r="D1802" s="4">
        <v>271.10000000000002</v>
      </c>
      <c r="E1802" s="4">
        <v>53.2</v>
      </c>
      <c r="F1802" s="4">
        <v>40.049999999999997</v>
      </c>
      <c r="G1802" s="4">
        <v>43.4</v>
      </c>
      <c r="H1802" s="4">
        <v>1.57</v>
      </c>
      <c r="I1802" s="4">
        <v>29.9</v>
      </c>
      <c r="J1802" s="4">
        <v>51.6</v>
      </c>
      <c r="K1802" s="4">
        <v>4.5</v>
      </c>
      <c r="L1802" s="4">
        <v>312.83333333333331</v>
      </c>
      <c r="M1802" s="4">
        <v>271.10000000000002</v>
      </c>
      <c r="N1802" s="4">
        <v>66.5</v>
      </c>
      <c r="O1802" s="4">
        <v>100.125</v>
      </c>
      <c r="P1802" s="4">
        <v>108.5</v>
      </c>
      <c r="Q1802" s="4">
        <v>78.5</v>
      </c>
      <c r="R1802" s="4">
        <v>313</v>
      </c>
      <c r="S1802" s="4" t="str" cm="1">
        <f t="array" ref="S1802">_xlfn.IFS($R1802&lt;=50,"Good",$R1802&lt;=100,"Moderate",$R1802&lt;=200,"Poor",$R1802&lt;=300,"Very Poor",$R1802&lt;=500,"Hazardous")</f>
        <v>Hazardous</v>
      </c>
      <c r="T1802" t="s">
        <v>25</v>
      </c>
      <c r="X1802" s="2"/>
      <c r="Y1802" s="2"/>
    </row>
    <row r="1803" spans="1:25" x14ac:dyDescent="0.3">
      <c r="A1803" s="2">
        <v>45652</v>
      </c>
      <c r="B1803" t="s">
        <v>21</v>
      </c>
      <c r="C1803" s="4">
        <v>67.8</v>
      </c>
      <c r="D1803" s="4">
        <v>411.6</v>
      </c>
      <c r="E1803" s="4">
        <v>98</v>
      </c>
      <c r="F1803" s="4">
        <v>28.91</v>
      </c>
      <c r="G1803" s="4">
        <v>98.5</v>
      </c>
      <c r="H1803" s="4">
        <v>1.04</v>
      </c>
      <c r="I1803" s="4">
        <v>28.9</v>
      </c>
      <c r="J1803" s="4">
        <v>34.6</v>
      </c>
      <c r="K1803" s="4">
        <v>1.24</v>
      </c>
      <c r="L1803" s="4">
        <v>113</v>
      </c>
      <c r="M1803" s="4">
        <v>411.6</v>
      </c>
      <c r="N1803" s="4">
        <v>122.5</v>
      </c>
      <c r="O1803" s="4">
        <v>72.275000000000006</v>
      </c>
      <c r="P1803" s="4">
        <v>246.25</v>
      </c>
      <c r="Q1803" s="4">
        <v>52.000000000000007</v>
      </c>
      <c r="R1803" s="4">
        <v>412</v>
      </c>
      <c r="S1803" s="4" t="str" cm="1">
        <f t="array" ref="S1803">_xlfn.IFS($R1803&lt;=50,"Good",$R1803&lt;=100,"Moderate",$R1803&lt;=200,"Poor",$R1803&lt;=300,"Very Poor",$R1803&lt;=500,"Hazardous")</f>
        <v>Hazardous</v>
      </c>
      <c r="T1803" t="s">
        <v>28</v>
      </c>
      <c r="X1803" s="2"/>
      <c r="Y1803" s="2"/>
    </row>
    <row r="1804" spans="1:25" x14ac:dyDescent="0.3">
      <c r="A1804" s="2">
        <v>45652</v>
      </c>
      <c r="B1804" t="s">
        <v>22</v>
      </c>
      <c r="C1804" s="4">
        <v>54.6</v>
      </c>
      <c r="D1804" s="4">
        <v>228.3</v>
      </c>
      <c r="E1804" s="4">
        <v>69.400000000000006</v>
      </c>
      <c r="F1804" s="4">
        <v>10.89</v>
      </c>
      <c r="G1804" s="4">
        <v>37.299999999999997</v>
      </c>
      <c r="H1804" s="4">
        <v>2.36</v>
      </c>
      <c r="I1804" s="4">
        <v>24.7</v>
      </c>
      <c r="J1804" s="4">
        <v>79.7</v>
      </c>
      <c r="K1804" s="4">
        <v>4.68</v>
      </c>
      <c r="L1804" s="4">
        <v>91</v>
      </c>
      <c r="M1804" s="4">
        <v>228.3</v>
      </c>
      <c r="N1804" s="4">
        <v>86.750000000000014</v>
      </c>
      <c r="O1804" s="4">
        <v>27.225000000000001</v>
      </c>
      <c r="P1804" s="4">
        <v>93.25</v>
      </c>
      <c r="Q1804" s="4">
        <v>118</v>
      </c>
      <c r="R1804" s="4">
        <v>228</v>
      </c>
      <c r="S1804" s="4" t="str" cm="1">
        <f t="array" ref="S1804">_xlfn.IFS($R1804&lt;=50,"Good",$R1804&lt;=100,"Moderate",$R1804&lt;=200,"Poor",$R1804&lt;=300,"Very Poor",$R1804&lt;=500,"Hazardous")</f>
        <v>Very Poor</v>
      </c>
      <c r="T1804" t="s">
        <v>28</v>
      </c>
      <c r="X1804" s="2"/>
      <c r="Y1804" s="2"/>
    </row>
    <row r="1805" spans="1:25" x14ac:dyDescent="0.3">
      <c r="A1805" s="2">
        <v>45652</v>
      </c>
      <c r="B1805" t="s">
        <v>23</v>
      </c>
      <c r="C1805" s="4">
        <v>95</v>
      </c>
      <c r="D1805" s="4">
        <v>142</v>
      </c>
      <c r="E1805" s="4">
        <v>91.6</v>
      </c>
      <c r="F1805" s="4">
        <v>3.65</v>
      </c>
      <c r="G1805" s="4">
        <v>20.7</v>
      </c>
      <c r="H1805" s="4">
        <v>2.88</v>
      </c>
      <c r="I1805" s="4">
        <v>19.100000000000001</v>
      </c>
      <c r="J1805" s="4">
        <v>38.299999999999997</v>
      </c>
      <c r="K1805" s="4">
        <v>0.71</v>
      </c>
      <c r="L1805" s="4">
        <v>158.33333333333329</v>
      </c>
      <c r="M1805" s="4">
        <v>142</v>
      </c>
      <c r="N1805" s="4">
        <v>114.5</v>
      </c>
      <c r="O1805" s="4">
        <v>9.125</v>
      </c>
      <c r="P1805" s="4">
        <v>51.75</v>
      </c>
      <c r="Q1805" s="4">
        <v>144</v>
      </c>
      <c r="R1805" s="4">
        <v>158</v>
      </c>
      <c r="S1805" s="4" t="str" cm="1">
        <f t="array" ref="S1805">_xlfn.IFS($R1805&lt;=50,"Good",$R1805&lt;=100,"Moderate",$R1805&lt;=200,"Poor",$R1805&lt;=300,"Very Poor",$R1805&lt;=500,"Hazardous")</f>
        <v>Poor</v>
      </c>
      <c r="T1805" t="s">
        <v>25</v>
      </c>
      <c r="X1805" s="2"/>
      <c r="Y1805" s="2"/>
    </row>
    <row r="1806" spans="1:25" x14ac:dyDescent="0.3">
      <c r="A1806" s="2">
        <v>45652</v>
      </c>
      <c r="B1806" t="s">
        <v>24</v>
      </c>
      <c r="C1806" s="4">
        <v>108.2</v>
      </c>
      <c r="D1806" s="4">
        <v>331.8</v>
      </c>
      <c r="E1806" s="4">
        <v>118.9</v>
      </c>
      <c r="F1806" s="4">
        <v>15.06</v>
      </c>
      <c r="G1806" s="4">
        <v>89.3</v>
      </c>
      <c r="H1806" s="4">
        <v>2</v>
      </c>
      <c r="I1806" s="4">
        <v>19</v>
      </c>
      <c r="J1806" s="4">
        <v>13.8</v>
      </c>
      <c r="K1806" s="4">
        <v>2.46</v>
      </c>
      <c r="L1806" s="4">
        <v>180.33333333333329</v>
      </c>
      <c r="M1806" s="4">
        <v>331.8</v>
      </c>
      <c r="N1806" s="4">
        <v>148.625</v>
      </c>
      <c r="O1806" s="4">
        <v>37.650000000000013</v>
      </c>
      <c r="P1806" s="4">
        <v>223.25</v>
      </c>
      <c r="Q1806" s="4">
        <v>100</v>
      </c>
      <c r="R1806" s="4">
        <v>332</v>
      </c>
      <c r="S1806" s="4" t="str" cm="1">
        <f t="array" ref="S1806">_xlfn.IFS($R1806&lt;=50,"Good",$R1806&lt;=100,"Moderate",$R1806&lt;=200,"Poor",$R1806&lt;=300,"Very Poor",$R1806&lt;=500,"Hazardous")</f>
        <v>Hazardous</v>
      </c>
      <c r="T1806" t="s">
        <v>28</v>
      </c>
      <c r="X1806" s="2"/>
      <c r="Y1806" s="2"/>
    </row>
    <row r="1807" spans="1:25" x14ac:dyDescent="0.3">
      <c r="A1807" s="2">
        <v>45653</v>
      </c>
      <c r="B1807" t="s">
        <v>20</v>
      </c>
      <c r="C1807" s="4">
        <v>157.4</v>
      </c>
      <c r="D1807" s="4">
        <v>393.5</v>
      </c>
      <c r="E1807" s="4">
        <v>52.2</v>
      </c>
      <c r="F1807" s="4">
        <v>18.97</v>
      </c>
      <c r="G1807" s="4">
        <v>68.5</v>
      </c>
      <c r="H1807" s="4">
        <v>2.2200000000000002</v>
      </c>
      <c r="I1807" s="4">
        <v>4</v>
      </c>
      <c r="J1807" s="4">
        <v>64.5</v>
      </c>
      <c r="K1807" s="4">
        <v>3.41</v>
      </c>
      <c r="L1807" s="4">
        <v>262.33333333333343</v>
      </c>
      <c r="M1807" s="4">
        <v>393.5</v>
      </c>
      <c r="N1807" s="4">
        <v>65.25</v>
      </c>
      <c r="O1807" s="4">
        <v>47.424999999999997</v>
      </c>
      <c r="P1807" s="4">
        <v>171.25</v>
      </c>
      <c r="Q1807" s="4">
        <v>111</v>
      </c>
      <c r="R1807" s="4">
        <v>394</v>
      </c>
      <c r="S1807" s="4" t="str" cm="1">
        <f t="array" ref="S1807">_xlfn.IFS($R1807&lt;=50,"Good",$R1807&lt;=100,"Moderate",$R1807&lt;=200,"Poor",$R1807&lt;=300,"Very Poor",$R1807&lt;=500,"Hazardous")</f>
        <v>Hazardous</v>
      </c>
      <c r="T1807" t="s">
        <v>28</v>
      </c>
      <c r="X1807" s="2"/>
      <c r="Y1807" s="2"/>
    </row>
    <row r="1808" spans="1:25" x14ac:dyDescent="0.3">
      <c r="A1808" s="2">
        <v>45653</v>
      </c>
      <c r="B1808" t="s">
        <v>21</v>
      </c>
      <c r="C1808" s="4">
        <v>63.2</v>
      </c>
      <c r="D1808" s="4">
        <v>209.5</v>
      </c>
      <c r="E1808" s="4">
        <v>43.8</v>
      </c>
      <c r="F1808" s="4">
        <v>0.5</v>
      </c>
      <c r="G1808" s="4">
        <v>73.900000000000006</v>
      </c>
      <c r="H1808" s="4">
        <v>2.4</v>
      </c>
      <c r="I1808" s="4">
        <v>31.2</v>
      </c>
      <c r="J1808" s="4">
        <v>75.400000000000006</v>
      </c>
      <c r="K1808" s="4">
        <v>2.0699999999999998</v>
      </c>
      <c r="L1808" s="4">
        <v>105.3333333333333</v>
      </c>
      <c r="M1808" s="4">
        <v>209.5</v>
      </c>
      <c r="N1808" s="4">
        <v>54.749999999999993</v>
      </c>
      <c r="O1808" s="4">
        <v>1.25</v>
      </c>
      <c r="P1808" s="4">
        <v>184.75</v>
      </c>
      <c r="Q1808" s="4">
        <v>120</v>
      </c>
      <c r="R1808" s="4">
        <v>210</v>
      </c>
      <c r="S1808" s="4" t="str" cm="1">
        <f t="array" ref="S1808">_xlfn.IFS($R1808&lt;=50,"Good",$R1808&lt;=100,"Moderate",$R1808&lt;=200,"Poor",$R1808&lt;=300,"Very Poor",$R1808&lt;=500,"Hazardous")</f>
        <v>Very Poor</v>
      </c>
      <c r="T1808" t="s">
        <v>28</v>
      </c>
      <c r="X1808" s="2"/>
      <c r="Y1808" s="2"/>
    </row>
    <row r="1809" spans="1:25" x14ac:dyDescent="0.3">
      <c r="A1809" s="2">
        <v>45653</v>
      </c>
      <c r="B1809" t="s">
        <v>22</v>
      </c>
      <c r="C1809" s="4">
        <v>87.4</v>
      </c>
      <c r="D1809" s="4">
        <v>234</v>
      </c>
      <c r="E1809" s="4">
        <v>97.8</v>
      </c>
      <c r="F1809" s="4">
        <v>14.61</v>
      </c>
      <c r="G1809" s="4">
        <v>57.8</v>
      </c>
      <c r="H1809" s="4">
        <v>1.55</v>
      </c>
      <c r="I1809" s="4">
        <v>13</v>
      </c>
      <c r="J1809" s="4">
        <v>58.8</v>
      </c>
      <c r="K1809" s="4">
        <v>2.75</v>
      </c>
      <c r="L1809" s="4">
        <v>145.66666666666671</v>
      </c>
      <c r="M1809" s="4">
        <v>234</v>
      </c>
      <c r="N1809" s="4">
        <v>122.25</v>
      </c>
      <c r="O1809" s="4">
        <v>36.524999999999999</v>
      </c>
      <c r="P1809" s="4">
        <v>144.5</v>
      </c>
      <c r="Q1809" s="4">
        <v>77.5</v>
      </c>
      <c r="R1809" s="4">
        <v>234</v>
      </c>
      <c r="S1809" s="4" t="str" cm="1">
        <f t="array" ref="S1809">_xlfn.IFS($R1809&lt;=50,"Good",$R1809&lt;=100,"Moderate",$R1809&lt;=200,"Poor",$R1809&lt;=300,"Very Poor",$R1809&lt;=500,"Hazardous")</f>
        <v>Very Poor</v>
      </c>
      <c r="T1809" t="s">
        <v>28</v>
      </c>
      <c r="X1809" s="2"/>
      <c r="Y1809" s="2"/>
    </row>
    <row r="1810" spans="1:25" x14ac:dyDescent="0.3">
      <c r="A1810" s="2">
        <v>45653</v>
      </c>
      <c r="B1810" t="s">
        <v>23</v>
      </c>
      <c r="C1810" s="4">
        <v>38.299999999999997</v>
      </c>
      <c r="D1810" s="4">
        <v>63.7</v>
      </c>
      <c r="E1810" s="4">
        <v>86.3</v>
      </c>
      <c r="F1810" s="4">
        <v>9.5500000000000007</v>
      </c>
      <c r="G1810" s="4">
        <v>32.299999999999997</v>
      </c>
      <c r="H1810" s="4">
        <v>1.57</v>
      </c>
      <c r="I1810" s="4">
        <v>30.6</v>
      </c>
      <c r="J1810" s="4">
        <v>82.7</v>
      </c>
      <c r="K1810" s="4">
        <v>1.02</v>
      </c>
      <c r="L1810" s="4">
        <v>63.833333333333329</v>
      </c>
      <c r="M1810" s="4">
        <v>63.70000000000001</v>
      </c>
      <c r="N1810" s="4">
        <v>107.875</v>
      </c>
      <c r="O1810" s="4">
        <v>23.875</v>
      </c>
      <c r="P1810" s="4">
        <v>80.749999999999986</v>
      </c>
      <c r="Q1810" s="4">
        <v>78.5</v>
      </c>
      <c r="R1810" s="4">
        <v>108</v>
      </c>
      <c r="S1810" s="4" t="str" cm="1">
        <f t="array" ref="S1810">_xlfn.IFS($R1810&lt;=50,"Good",$R1810&lt;=100,"Moderate",$R1810&lt;=200,"Poor",$R1810&lt;=300,"Very Poor",$R1810&lt;=500,"Hazardous")</f>
        <v>Poor</v>
      </c>
      <c r="T1810" t="s">
        <v>26</v>
      </c>
      <c r="X1810" s="2"/>
      <c r="Y1810" s="2"/>
    </row>
    <row r="1811" spans="1:25" x14ac:dyDescent="0.3">
      <c r="A1811" s="2">
        <v>45653</v>
      </c>
      <c r="B1811" t="s">
        <v>24</v>
      </c>
      <c r="C1811" s="4">
        <v>77.5</v>
      </c>
      <c r="D1811" s="4">
        <v>301</v>
      </c>
      <c r="E1811" s="4">
        <v>100.4</v>
      </c>
      <c r="F1811" s="4">
        <v>13.72</v>
      </c>
      <c r="G1811" s="4">
        <v>11.4</v>
      </c>
      <c r="H1811" s="4">
        <v>1.39</v>
      </c>
      <c r="I1811" s="4">
        <v>16.399999999999999</v>
      </c>
      <c r="J1811" s="4">
        <v>65</v>
      </c>
      <c r="K1811" s="4">
        <v>5.04</v>
      </c>
      <c r="L1811" s="4">
        <v>129.16666666666671</v>
      </c>
      <c r="M1811" s="4">
        <v>301</v>
      </c>
      <c r="N1811" s="4">
        <v>125.5</v>
      </c>
      <c r="O1811" s="4">
        <v>34.299999999999997</v>
      </c>
      <c r="P1811" s="4">
        <v>28.5</v>
      </c>
      <c r="Q1811" s="4">
        <v>69.499999999999986</v>
      </c>
      <c r="R1811" s="4">
        <v>301</v>
      </c>
      <c r="S1811" s="4" t="str" cm="1">
        <f t="array" ref="S1811">_xlfn.IFS($R1811&lt;=50,"Good",$R1811&lt;=100,"Moderate",$R1811&lt;=200,"Poor",$R1811&lt;=300,"Very Poor",$R1811&lt;=500,"Hazardous")</f>
        <v>Hazardous</v>
      </c>
      <c r="T1811" t="s">
        <v>28</v>
      </c>
      <c r="X1811" s="2"/>
      <c r="Y1811" s="2"/>
    </row>
    <row r="1812" spans="1:25" x14ac:dyDescent="0.3">
      <c r="A1812" s="2">
        <v>45654</v>
      </c>
      <c r="B1812" t="s">
        <v>20</v>
      </c>
      <c r="C1812" s="4">
        <v>72.5</v>
      </c>
      <c r="D1812" s="4">
        <v>107.5</v>
      </c>
      <c r="E1812" s="4">
        <v>78.8</v>
      </c>
      <c r="F1812" s="4">
        <v>24.21</v>
      </c>
      <c r="G1812" s="4">
        <v>4</v>
      </c>
      <c r="H1812" s="4">
        <v>3.81</v>
      </c>
      <c r="I1812" s="4">
        <v>18.8</v>
      </c>
      <c r="J1812" s="4">
        <v>46.8</v>
      </c>
      <c r="K1812" s="4">
        <v>0.57999999999999996</v>
      </c>
      <c r="L1812" s="4">
        <v>120.8333333333333</v>
      </c>
      <c r="M1812" s="4">
        <v>107.5</v>
      </c>
      <c r="N1812" s="4">
        <v>98.499999999999986</v>
      </c>
      <c r="O1812" s="4">
        <v>60.525000000000013</v>
      </c>
      <c r="P1812" s="4">
        <v>10</v>
      </c>
      <c r="Q1812" s="4">
        <v>190.5</v>
      </c>
      <c r="R1812" s="4">
        <v>190</v>
      </c>
      <c r="S1812" s="4" t="str" cm="1">
        <f t="array" ref="S1812">_xlfn.IFS($R1812&lt;=50,"Good",$R1812&lt;=100,"Moderate",$R1812&lt;=200,"Poor",$R1812&lt;=300,"Very Poor",$R1812&lt;=500,"Hazardous")</f>
        <v>Poor</v>
      </c>
      <c r="T1812" t="s">
        <v>29</v>
      </c>
      <c r="X1812" s="2"/>
      <c r="Y1812" s="2"/>
    </row>
    <row r="1813" spans="1:25" x14ac:dyDescent="0.3">
      <c r="A1813" s="2">
        <v>45654</v>
      </c>
      <c r="B1813" t="s">
        <v>21</v>
      </c>
      <c r="C1813" s="4">
        <v>162.4</v>
      </c>
      <c r="D1813" s="4">
        <v>219.5</v>
      </c>
      <c r="E1813" s="4">
        <v>96.8</v>
      </c>
      <c r="F1813" s="4">
        <v>6.99</v>
      </c>
      <c r="G1813" s="4">
        <v>36</v>
      </c>
      <c r="H1813" s="4">
        <v>1.82</v>
      </c>
      <c r="I1813" s="4">
        <v>19.3</v>
      </c>
      <c r="J1813" s="4">
        <v>47.9</v>
      </c>
      <c r="K1813" s="4">
        <v>0.66</v>
      </c>
      <c r="L1813" s="4">
        <v>270.66666666666669</v>
      </c>
      <c r="M1813" s="4">
        <v>219.5</v>
      </c>
      <c r="N1813" s="4">
        <v>121</v>
      </c>
      <c r="O1813" s="4">
        <v>17.475000000000001</v>
      </c>
      <c r="P1813" s="4">
        <v>90</v>
      </c>
      <c r="Q1813" s="4">
        <v>91</v>
      </c>
      <c r="R1813" s="4">
        <v>271</v>
      </c>
      <c r="S1813" s="4" t="str" cm="1">
        <f t="array" ref="S1813">_xlfn.IFS($R1813&lt;=50,"Good",$R1813&lt;=100,"Moderate",$R1813&lt;=200,"Poor",$R1813&lt;=300,"Very Poor",$R1813&lt;=500,"Hazardous")</f>
        <v>Very Poor</v>
      </c>
      <c r="T1813" t="s">
        <v>25</v>
      </c>
      <c r="X1813" s="2"/>
      <c r="Y1813" s="2"/>
    </row>
    <row r="1814" spans="1:25" x14ac:dyDescent="0.3">
      <c r="A1814" s="2">
        <v>45654</v>
      </c>
      <c r="B1814" t="s">
        <v>22</v>
      </c>
      <c r="C1814" s="4">
        <v>215.6</v>
      </c>
      <c r="D1814" s="4">
        <v>58.1</v>
      </c>
      <c r="E1814" s="4">
        <v>73.900000000000006</v>
      </c>
      <c r="F1814" s="4">
        <v>0.5</v>
      </c>
      <c r="G1814" s="4">
        <v>1</v>
      </c>
      <c r="H1814" s="4">
        <v>1.91</v>
      </c>
      <c r="I1814" s="4">
        <v>21.2</v>
      </c>
      <c r="J1814" s="4">
        <v>82.7</v>
      </c>
      <c r="K1814" s="4">
        <v>2.98</v>
      </c>
      <c r="L1814" s="4">
        <v>359.33333333333331</v>
      </c>
      <c r="M1814" s="4">
        <v>58.1</v>
      </c>
      <c r="N1814" s="4">
        <v>92.375000000000014</v>
      </c>
      <c r="O1814" s="4">
        <v>1.25</v>
      </c>
      <c r="P1814" s="4">
        <v>2.5</v>
      </c>
      <c r="Q1814" s="4">
        <v>95.5</v>
      </c>
      <c r="R1814" s="4">
        <v>359</v>
      </c>
      <c r="S1814" s="4" t="str" cm="1">
        <f t="array" ref="S1814">_xlfn.IFS($R1814&lt;=50,"Good",$R1814&lt;=100,"Moderate",$R1814&lt;=200,"Poor",$R1814&lt;=300,"Very Poor",$R1814&lt;=500,"Hazardous")</f>
        <v>Hazardous</v>
      </c>
      <c r="T1814" t="s">
        <v>25</v>
      </c>
      <c r="X1814" s="2"/>
      <c r="Y1814" s="2"/>
    </row>
    <row r="1815" spans="1:25" x14ac:dyDescent="0.3">
      <c r="A1815" s="2">
        <v>45654</v>
      </c>
      <c r="B1815" t="s">
        <v>23</v>
      </c>
      <c r="C1815" s="4">
        <v>88.8</v>
      </c>
      <c r="D1815" s="4">
        <v>100.8</v>
      </c>
      <c r="E1815" s="4">
        <v>120</v>
      </c>
      <c r="F1815" s="4">
        <v>20.23</v>
      </c>
      <c r="G1815" s="4">
        <v>8</v>
      </c>
      <c r="H1815" s="4">
        <v>1.96</v>
      </c>
      <c r="I1815" s="4">
        <v>21</v>
      </c>
      <c r="J1815" s="4">
        <v>53.8</v>
      </c>
      <c r="K1815" s="4">
        <v>3.43</v>
      </c>
      <c r="L1815" s="4">
        <v>148</v>
      </c>
      <c r="M1815" s="4">
        <v>100.8</v>
      </c>
      <c r="N1815" s="4">
        <v>150</v>
      </c>
      <c r="O1815" s="4">
        <v>50.575000000000003</v>
      </c>
      <c r="P1815" s="4">
        <v>20</v>
      </c>
      <c r="Q1815" s="4">
        <v>98</v>
      </c>
      <c r="R1815" s="4">
        <v>150</v>
      </c>
      <c r="S1815" s="4" t="str" cm="1">
        <f t="array" ref="S1815">_xlfn.IFS($R1815&lt;=50,"Good",$R1815&lt;=100,"Moderate",$R1815&lt;=200,"Poor",$R1815&lt;=300,"Very Poor",$R1815&lt;=500,"Hazardous")</f>
        <v>Poor</v>
      </c>
      <c r="T1815" t="s">
        <v>26</v>
      </c>
      <c r="X1815" s="2"/>
      <c r="Y1815" s="2"/>
    </row>
    <row r="1816" spans="1:25" x14ac:dyDescent="0.3">
      <c r="A1816" s="2">
        <v>45654</v>
      </c>
      <c r="B1816" t="s">
        <v>24</v>
      </c>
      <c r="C1816" s="4">
        <v>149.5</v>
      </c>
      <c r="D1816" s="4">
        <v>191.1</v>
      </c>
      <c r="E1816" s="4">
        <v>69.3</v>
      </c>
      <c r="F1816" s="4">
        <v>27.27</v>
      </c>
      <c r="G1816" s="4">
        <v>62.7</v>
      </c>
      <c r="H1816" s="4">
        <v>2.19</v>
      </c>
      <c r="I1816" s="4">
        <v>8.6</v>
      </c>
      <c r="J1816" s="4">
        <v>66.2</v>
      </c>
      <c r="K1816" s="4">
        <v>3.84</v>
      </c>
      <c r="L1816" s="4">
        <v>249.16666666666671</v>
      </c>
      <c r="M1816" s="4">
        <v>191.1</v>
      </c>
      <c r="N1816" s="4">
        <v>86.625</v>
      </c>
      <c r="O1816" s="4">
        <v>68.174999999999997</v>
      </c>
      <c r="P1816" s="4">
        <v>156.75</v>
      </c>
      <c r="Q1816" s="4">
        <v>109.5</v>
      </c>
      <c r="R1816" s="4">
        <v>249</v>
      </c>
      <c r="S1816" s="4" t="str" cm="1">
        <f t="array" ref="S1816">_xlfn.IFS($R1816&lt;=50,"Good",$R1816&lt;=100,"Moderate",$R1816&lt;=200,"Poor",$R1816&lt;=300,"Very Poor",$R1816&lt;=500,"Hazardous")</f>
        <v>Very Poor</v>
      </c>
      <c r="T1816" t="s">
        <v>25</v>
      </c>
      <c r="X1816" s="2"/>
      <c r="Y1816" s="2"/>
    </row>
    <row r="1817" spans="1:25" x14ac:dyDescent="0.3">
      <c r="A1817" s="2">
        <v>45655</v>
      </c>
      <c r="B1817" t="s">
        <v>20</v>
      </c>
      <c r="C1817" s="4">
        <v>2</v>
      </c>
      <c r="D1817" s="4">
        <v>248.6</v>
      </c>
      <c r="E1817" s="4">
        <v>67.5</v>
      </c>
      <c r="F1817" s="4">
        <v>12.69</v>
      </c>
      <c r="G1817" s="4">
        <v>17.899999999999999</v>
      </c>
      <c r="H1817" s="4">
        <v>2.04</v>
      </c>
      <c r="I1817" s="4">
        <v>29.7</v>
      </c>
      <c r="J1817" s="4">
        <v>52</v>
      </c>
      <c r="K1817" s="4">
        <v>3.66</v>
      </c>
      <c r="L1817" s="4">
        <v>3.333333333333333</v>
      </c>
      <c r="M1817" s="4">
        <v>248.6</v>
      </c>
      <c r="N1817" s="4">
        <v>84.375</v>
      </c>
      <c r="O1817" s="4">
        <v>31.725000000000001</v>
      </c>
      <c r="P1817" s="4">
        <v>44.75</v>
      </c>
      <c r="Q1817" s="4">
        <v>102</v>
      </c>
      <c r="R1817" s="4">
        <v>249</v>
      </c>
      <c r="S1817" s="4" t="str" cm="1">
        <f t="array" ref="S1817">_xlfn.IFS($R1817&lt;=50,"Good",$R1817&lt;=100,"Moderate",$R1817&lt;=200,"Poor",$R1817&lt;=300,"Very Poor",$R1817&lt;=500,"Hazardous")</f>
        <v>Very Poor</v>
      </c>
      <c r="T1817" t="s">
        <v>28</v>
      </c>
      <c r="X1817" s="2"/>
      <c r="Y1817" s="2"/>
    </row>
    <row r="1818" spans="1:25" x14ac:dyDescent="0.3">
      <c r="A1818" s="2">
        <v>45655</v>
      </c>
      <c r="B1818" t="s">
        <v>21</v>
      </c>
      <c r="C1818" s="4">
        <v>71.599999999999994</v>
      </c>
      <c r="D1818" s="4">
        <v>331.1</v>
      </c>
      <c r="E1818" s="4">
        <v>90.1</v>
      </c>
      <c r="F1818" s="4">
        <v>19.52</v>
      </c>
      <c r="G1818" s="4">
        <v>45.2</v>
      </c>
      <c r="H1818" s="4">
        <v>3.17</v>
      </c>
      <c r="I1818" s="4">
        <v>2</v>
      </c>
      <c r="J1818" s="4">
        <v>34.4</v>
      </c>
      <c r="K1818" s="4">
        <v>3</v>
      </c>
      <c r="L1818" s="4">
        <v>119.3333333333333</v>
      </c>
      <c r="M1818" s="4">
        <v>331.1</v>
      </c>
      <c r="N1818" s="4">
        <v>112.625</v>
      </c>
      <c r="O1818" s="4">
        <v>48.8</v>
      </c>
      <c r="P1818" s="4">
        <v>113</v>
      </c>
      <c r="Q1818" s="4">
        <v>158.5</v>
      </c>
      <c r="R1818" s="4">
        <v>331</v>
      </c>
      <c r="S1818" s="4" t="str" cm="1">
        <f t="array" ref="S1818">_xlfn.IFS($R1818&lt;=50,"Good",$R1818&lt;=100,"Moderate",$R1818&lt;=200,"Poor",$R1818&lt;=300,"Very Poor",$R1818&lt;=500,"Hazardous")</f>
        <v>Hazardous</v>
      </c>
      <c r="T1818" t="s">
        <v>28</v>
      </c>
      <c r="X1818" s="2"/>
      <c r="Y1818" s="2"/>
    </row>
    <row r="1819" spans="1:25" x14ac:dyDescent="0.3">
      <c r="A1819" s="2">
        <v>45655</v>
      </c>
      <c r="B1819" t="s">
        <v>22</v>
      </c>
      <c r="C1819" s="4">
        <v>2</v>
      </c>
      <c r="D1819" s="4">
        <v>134</v>
      </c>
      <c r="E1819" s="4">
        <v>66.7</v>
      </c>
      <c r="F1819" s="4">
        <v>5.87</v>
      </c>
      <c r="G1819" s="4">
        <v>19.399999999999999</v>
      </c>
      <c r="H1819" s="4">
        <v>2.0699999999999998</v>
      </c>
      <c r="I1819" s="4">
        <v>27.1</v>
      </c>
      <c r="J1819" s="4">
        <v>42.7</v>
      </c>
      <c r="K1819" s="4">
        <v>1.81</v>
      </c>
      <c r="L1819" s="4">
        <v>3.333333333333333</v>
      </c>
      <c r="M1819" s="4">
        <v>134</v>
      </c>
      <c r="N1819" s="4">
        <v>83.375</v>
      </c>
      <c r="O1819" s="4">
        <v>14.675000000000001</v>
      </c>
      <c r="P1819" s="4">
        <v>48.499999999999993</v>
      </c>
      <c r="Q1819" s="4">
        <v>103.5</v>
      </c>
      <c r="R1819" s="4">
        <v>134</v>
      </c>
      <c r="S1819" s="4" t="str" cm="1">
        <f t="array" ref="S1819">_xlfn.IFS($R1819&lt;=50,"Good",$R1819&lt;=100,"Moderate",$R1819&lt;=200,"Poor",$R1819&lt;=300,"Very Poor",$R1819&lt;=500,"Hazardous")</f>
        <v>Poor</v>
      </c>
      <c r="T1819" t="s">
        <v>28</v>
      </c>
      <c r="X1819" s="2"/>
      <c r="Y1819" s="2"/>
    </row>
    <row r="1820" spans="1:25" x14ac:dyDescent="0.3">
      <c r="A1820" s="2">
        <v>45655</v>
      </c>
      <c r="B1820" t="s">
        <v>23</v>
      </c>
      <c r="C1820" s="4">
        <v>60.9</v>
      </c>
      <c r="D1820" s="4">
        <v>5</v>
      </c>
      <c r="E1820" s="4">
        <v>76.5</v>
      </c>
      <c r="F1820" s="4">
        <v>20.28</v>
      </c>
      <c r="G1820" s="4">
        <v>58.9</v>
      </c>
      <c r="H1820" s="4">
        <v>1.08</v>
      </c>
      <c r="I1820" s="4">
        <v>11.2</v>
      </c>
      <c r="J1820" s="4">
        <v>60.4</v>
      </c>
      <c r="K1820" s="4">
        <v>3.5</v>
      </c>
      <c r="L1820" s="4">
        <v>101.5</v>
      </c>
      <c r="M1820" s="4">
        <v>5</v>
      </c>
      <c r="N1820" s="4">
        <v>95.625</v>
      </c>
      <c r="O1820" s="4">
        <v>50.7</v>
      </c>
      <c r="P1820" s="4">
        <v>147.25</v>
      </c>
      <c r="Q1820" s="4">
        <v>54.000000000000007</v>
      </c>
      <c r="R1820" s="4">
        <v>147</v>
      </c>
      <c r="S1820" s="4" t="str" cm="1">
        <f t="array" ref="S1820">_xlfn.IFS($R1820&lt;=50,"Good",$R1820&lt;=100,"Moderate",$R1820&lt;=200,"Poor",$R1820&lt;=300,"Very Poor",$R1820&lt;=500,"Hazardous")</f>
        <v>Poor</v>
      </c>
      <c r="T1820" t="s">
        <v>27</v>
      </c>
      <c r="X1820" s="2"/>
      <c r="Y1820" s="2"/>
    </row>
    <row r="1821" spans="1:25" x14ac:dyDescent="0.3">
      <c r="A1821" s="2">
        <v>45655</v>
      </c>
      <c r="B1821" t="s">
        <v>24</v>
      </c>
      <c r="C1821" s="4">
        <v>113.8</v>
      </c>
      <c r="D1821" s="4">
        <v>241.8</v>
      </c>
      <c r="E1821" s="4">
        <v>119.4</v>
      </c>
      <c r="F1821" s="4">
        <v>7.58</v>
      </c>
      <c r="G1821" s="4">
        <v>34.200000000000003</v>
      </c>
      <c r="H1821" s="4">
        <v>3.84</v>
      </c>
      <c r="I1821" s="4">
        <v>18.600000000000001</v>
      </c>
      <c r="J1821" s="4">
        <v>37.200000000000003</v>
      </c>
      <c r="K1821" s="4">
        <v>2.2000000000000002</v>
      </c>
      <c r="L1821" s="4">
        <v>189.66666666666671</v>
      </c>
      <c r="M1821" s="4">
        <v>241.8</v>
      </c>
      <c r="N1821" s="4">
        <v>149.25</v>
      </c>
      <c r="O1821" s="4">
        <v>18.95</v>
      </c>
      <c r="P1821" s="4">
        <v>85.5</v>
      </c>
      <c r="Q1821" s="4">
        <v>192</v>
      </c>
      <c r="R1821" s="4">
        <v>242</v>
      </c>
      <c r="S1821" s="4" t="str" cm="1">
        <f t="array" ref="S1821">_xlfn.IFS($R1821&lt;=50,"Good",$R1821&lt;=100,"Moderate",$R1821&lt;=200,"Poor",$R1821&lt;=300,"Very Poor",$R1821&lt;=500,"Hazardous")</f>
        <v>Very Poor</v>
      </c>
      <c r="T1821" t="s">
        <v>28</v>
      </c>
      <c r="X1821" s="2"/>
      <c r="Y1821" s="2"/>
    </row>
    <row r="1822" spans="1:25" x14ac:dyDescent="0.3">
      <c r="A1822" s="2">
        <v>45656</v>
      </c>
      <c r="B1822" t="s">
        <v>20</v>
      </c>
      <c r="C1822" s="4">
        <v>58.6</v>
      </c>
      <c r="D1822" s="4">
        <v>260.2</v>
      </c>
      <c r="E1822" s="4">
        <v>49.8</v>
      </c>
      <c r="F1822" s="4">
        <v>17.21</v>
      </c>
      <c r="G1822" s="4">
        <v>22.4</v>
      </c>
      <c r="H1822" s="4">
        <v>0.05</v>
      </c>
      <c r="I1822" s="4">
        <v>22.1</v>
      </c>
      <c r="J1822" s="4">
        <v>62.7</v>
      </c>
      <c r="K1822" s="4">
        <v>3.12</v>
      </c>
      <c r="L1822" s="4">
        <v>97.666666666666671</v>
      </c>
      <c r="M1822" s="4">
        <v>260.2</v>
      </c>
      <c r="N1822" s="4">
        <v>62.25</v>
      </c>
      <c r="O1822" s="4">
        <v>43.024999999999999</v>
      </c>
      <c r="P1822" s="4">
        <v>55.999999999999993</v>
      </c>
      <c r="Q1822" s="4">
        <v>2.5</v>
      </c>
      <c r="R1822" s="4">
        <v>260</v>
      </c>
      <c r="S1822" s="4" t="str" cm="1">
        <f t="array" ref="S1822">_xlfn.IFS($R1822&lt;=50,"Good",$R1822&lt;=100,"Moderate",$R1822&lt;=200,"Poor",$R1822&lt;=300,"Very Poor",$R1822&lt;=500,"Hazardous")</f>
        <v>Very Poor</v>
      </c>
      <c r="T1822" t="s">
        <v>28</v>
      </c>
      <c r="X1822" s="2"/>
      <c r="Y1822" s="2"/>
    </row>
    <row r="1823" spans="1:25" x14ac:dyDescent="0.3">
      <c r="A1823" s="2">
        <v>45656</v>
      </c>
      <c r="B1823" t="s">
        <v>21</v>
      </c>
      <c r="C1823" s="4">
        <v>79.599999999999994</v>
      </c>
      <c r="D1823" s="4">
        <v>146.5</v>
      </c>
      <c r="E1823" s="4">
        <v>106.1</v>
      </c>
      <c r="F1823" s="4">
        <v>31.19</v>
      </c>
      <c r="G1823" s="4">
        <v>45.3</v>
      </c>
      <c r="H1823" s="4">
        <v>2.91</v>
      </c>
      <c r="I1823" s="4">
        <v>17.7</v>
      </c>
      <c r="J1823" s="4">
        <v>32.200000000000003</v>
      </c>
      <c r="K1823" s="4">
        <v>3.66</v>
      </c>
      <c r="L1823" s="4">
        <v>132.66666666666671</v>
      </c>
      <c r="M1823" s="4">
        <v>146.5</v>
      </c>
      <c r="N1823" s="4">
        <v>132.625</v>
      </c>
      <c r="O1823" s="4">
        <v>77.975000000000009</v>
      </c>
      <c r="P1823" s="4">
        <v>113.25</v>
      </c>
      <c r="Q1823" s="4">
        <v>145.5</v>
      </c>
      <c r="R1823" s="4">
        <v>146</v>
      </c>
      <c r="S1823" s="4" t="str" cm="1">
        <f t="array" ref="S1823">_xlfn.IFS($R1823&lt;=50,"Good",$R1823&lt;=100,"Moderate",$R1823&lt;=200,"Poor",$R1823&lt;=300,"Very Poor",$R1823&lt;=500,"Hazardous")</f>
        <v>Poor</v>
      </c>
      <c r="T1823" t="s">
        <v>28</v>
      </c>
      <c r="X1823" s="2"/>
      <c r="Y1823" s="2"/>
    </row>
    <row r="1824" spans="1:25" x14ac:dyDescent="0.3">
      <c r="A1824" s="2">
        <v>45656</v>
      </c>
      <c r="B1824" t="s">
        <v>22</v>
      </c>
      <c r="C1824" s="4">
        <v>132.6</v>
      </c>
      <c r="D1824" s="4">
        <v>247.2</v>
      </c>
      <c r="E1824" s="4">
        <v>62.9</v>
      </c>
      <c r="F1824" s="4">
        <v>16.7</v>
      </c>
      <c r="G1824" s="4">
        <v>53.3</v>
      </c>
      <c r="H1824" s="4">
        <v>3.3</v>
      </c>
      <c r="I1824" s="4">
        <v>26.9</v>
      </c>
      <c r="J1824" s="4">
        <v>61.1</v>
      </c>
      <c r="K1824" s="4">
        <v>0.93</v>
      </c>
      <c r="L1824" s="4">
        <v>221</v>
      </c>
      <c r="M1824" s="4">
        <v>247.2</v>
      </c>
      <c r="N1824" s="4">
        <v>78.625</v>
      </c>
      <c r="O1824" s="4">
        <v>41.749999999999993</v>
      </c>
      <c r="P1824" s="4">
        <v>133.25</v>
      </c>
      <c r="Q1824" s="4">
        <v>165</v>
      </c>
      <c r="R1824" s="4">
        <v>247</v>
      </c>
      <c r="S1824" s="4" t="str" cm="1">
        <f t="array" ref="S1824">_xlfn.IFS($R1824&lt;=50,"Good",$R1824&lt;=100,"Moderate",$R1824&lt;=200,"Poor",$R1824&lt;=300,"Very Poor",$R1824&lt;=500,"Hazardous")</f>
        <v>Very Poor</v>
      </c>
      <c r="T1824" t="s">
        <v>28</v>
      </c>
      <c r="X1824" s="2"/>
      <c r="Y1824" s="2"/>
    </row>
    <row r="1825" spans="1:25" x14ac:dyDescent="0.3">
      <c r="A1825" s="2">
        <v>45656</v>
      </c>
      <c r="B1825" t="s">
        <v>23</v>
      </c>
      <c r="C1825" s="4">
        <v>103.5</v>
      </c>
      <c r="D1825" s="4">
        <v>216.6</v>
      </c>
      <c r="E1825" s="4">
        <v>94.7</v>
      </c>
      <c r="F1825" s="4">
        <v>23.63</v>
      </c>
      <c r="G1825" s="4">
        <v>33.9</v>
      </c>
      <c r="H1825" s="4">
        <v>3.94</v>
      </c>
      <c r="I1825" s="4">
        <v>7.7</v>
      </c>
      <c r="J1825" s="4">
        <v>67.5</v>
      </c>
      <c r="K1825" s="4">
        <v>1.54</v>
      </c>
      <c r="L1825" s="4">
        <v>172.5</v>
      </c>
      <c r="M1825" s="4">
        <v>216.6</v>
      </c>
      <c r="N1825" s="4">
        <v>118.375</v>
      </c>
      <c r="O1825" s="4">
        <v>59.075000000000003</v>
      </c>
      <c r="P1825" s="4">
        <v>84.749999999999986</v>
      </c>
      <c r="Q1825" s="4">
        <v>197</v>
      </c>
      <c r="R1825" s="4">
        <v>217</v>
      </c>
      <c r="S1825" s="4" t="str" cm="1">
        <f t="array" ref="S1825">_xlfn.IFS($R1825&lt;=50,"Good",$R1825&lt;=100,"Moderate",$R1825&lt;=200,"Poor",$R1825&lt;=300,"Very Poor",$R1825&lt;=500,"Hazardous")</f>
        <v>Very Poor</v>
      </c>
      <c r="T1825" t="s">
        <v>28</v>
      </c>
      <c r="X1825" s="2"/>
      <c r="Y1825" s="2"/>
    </row>
    <row r="1826" spans="1:25" x14ac:dyDescent="0.3">
      <c r="A1826" s="2">
        <v>45656</v>
      </c>
      <c r="B1826" t="s">
        <v>24</v>
      </c>
      <c r="C1826" s="4">
        <v>4.9000000000000004</v>
      </c>
      <c r="D1826" s="4">
        <v>189.9</v>
      </c>
      <c r="E1826" s="4">
        <v>27.9</v>
      </c>
      <c r="F1826" s="4">
        <v>12.66</v>
      </c>
      <c r="G1826" s="4">
        <v>40.5</v>
      </c>
      <c r="H1826" s="4">
        <v>3.29</v>
      </c>
      <c r="I1826" s="4">
        <v>9.4</v>
      </c>
      <c r="J1826" s="4">
        <v>76.400000000000006</v>
      </c>
      <c r="K1826" s="4">
        <v>3.12</v>
      </c>
      <c r="L1826" s="4">
        <v>8.1666666666666679</v>
      </c>
      <c r="M1826" s="4">
        <v>189.9</v>
      </c>
      <c r="N1826" s="4">
        <v>34.874999999999993</v>
      </c>
      <c r="O1826" s="4">
        <v>31.65</v>
      </c>
      <c r="P1826" s="4">
        <v>101.25</v>
      </c>
      <c r="Q1826" s="4">
        <v>164.5</v>
      </c>
      <c r="R1826" s="4">
        <v>190</v>
      </c>
      <c r="S1826" s="4" t="str" cm="1">
        <f t="array" ref="S1826">_xlfn.IFS($R1826&lt;=50,"Good",$R1826&lt;=100,"Moderate",$R1826&lt;=200,"Poor",$R1826&lt;=300,"Very Poor",$R1826&lt;=500,"Hazardous")</f>
        <v>Poor</v>
      </c>
      <c r="T1826" t="s">
        <v>28</v>
      </c>
      <c r="X1826" s="2"/>
      <c r="Y1826" s="2"/>
    </row>
  </sheetData>
  <autoFilter ref="A1:T1826"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Objective Requirement</vt:lpstr>
      <vt:lpstr>Dashboard</vt:lpstr>
      <vt:lpstr>KPIs</vt:lpstr>
      <vt:lpstr>Zones level analysis</vt:lpstr>
      <vt:lpstr>Seasonal level analysis</vt:lpstr>
      <vt:lpstr>Polluntant level Analysis</vt:lpstr>
      <vt:lpstr>AQI Category Analysis</vt:lpstr>
      <vt:lpstr>Delhi AQI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Anshpal</dc:creator>
  <cp:lastModifiedBy>skpal187@gmail.com</cp:lastModifiedBy>
  <cp:lastPrinted>2025-12-01T10:42:42Z</cp:lastPrinted>
  <dcterms:created xsi:type="dcterms:W3CDTF">2025-12-01T07:58:18Z</dcterms:created>
  <dcterms:modified xsi:type="dcterms:W3CDTF">2025-12-09T15:41:21Z</dcterms:modified>
</cp:coreProperties>
</file>